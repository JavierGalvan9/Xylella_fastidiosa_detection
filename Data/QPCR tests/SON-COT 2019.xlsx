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istema\Usuario\Desktop\publicaciones\EN PREPARACIÓN\Almond varietal response to Xylella fastidiosa\"/>
    </mc:Choice>
  </mc:AlternateContent>
  <bookViews>
    <workbookView xWindow="0" yWindow="0" windowWidth="16380" windowHeight="8190" tabRatio="500" firstSheet="3"/>
  </bookViews>
  <sheets>
    <sheet name="Hoja1" sheetId="1" r:id="rId1"/>
    <sheet name="Hoja4" sheetId="4" r:id="rId2"/>
    <sheet name="Hoja2" sheetId="2" r:id="rId3"/>
    <sheet name="Hoja3" sheetId="3" r:id="rId4"/>
    <sheet name="Hoja5" sheetId="5" r:id="rId5"/>
  </sheets>
  <definedNames>
    <definedName name="_xlnm._FilterDatabase" localSheetId="0" hidden="1">Hoja1!$A$4:$AMM$2392</definedName>
    <definedName name="_xlnm._FilterDatabase" localSheetId="2" hidden="1">Hoja2!$A$1:$B$782</definedName>
    <definedName name="_xlnm.Print_Titles" localSheetId="0">Hoja1!$B:$B,Hoja1!$2:$4</definedName>
  </definedNames>
  <calcPr calcId="162913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3" l="1"/>
  <c r="D14" i="4" l="1"/>
  <c r="C14" i="4"/>
  <c r="B14" i="4"/>
  <c r="E13" i="4"/>
  <c r="E12" i="4"/>
  <c r="E11" i="4"/>
  <c r="E10" i="4"/>
  <c r="E9" i="4"/>
  <c r="E8" i="4"/>
  <c r="E7" i="4"/>
  <c r="E6" i="4"/>
  <c r="E5" i="4"/>
  <c r="E4" i="4"/>
  <c r="E3" i="4"/>
  <c r="D16" i="2"/>
  <c r="C16" i="2"/>
  <c r="B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2" i="1"/>
  <c r="N1" i="1"/>
  <c r="E3" i="3"/>
  <c r="E4" i="3"/>
  <c r="E6" i="3"/>
  <c r="E7" i="3"/>
  <c r="E8" i="3"/>
  <c r="E9" i="3"/>
  <c r="E10" i="3"/>
  <c r="E11" i="3"/>
  <c r="E12" i="3"/>
  <c r="E13" i="3"/>
  <c r="E14" i="3"/>
  <c r="E15" i="3"/>
  <c r="E16" i="3"/>
  <c r="E2" i="3"/>
  <c r="D17" i="3"/>
  <c r="C17" i="3"/>
  <c r="B17" i="3"/>
  <c r="N2" i="1"/>
  <c r="E16" i="2" l="1"/>
  <c r="E17" i="3"/>
  <c r="E14" i="4"/>
  <c r="G3" i="4" s="1"/>
  <c r="A1288" i="1"/>
</calcChain>
</file>

<file path=xl/sharedStrings.xml><?xml version="1.0" encoding="utf-8"?>
<sst xmlns="http://schemas.openxmlformats.org/spreadsheetml/2006/main" count="18794" uniqueCount="3642">
  <si>
    <t>Codi Mostra Laboratori</t>
  </si>
  <si>
    <t>Nº Acta S.V</t>
  </si>
  <si>
    <t>ESPECIE VEG.</t>
  </si>
  <si>
    <t>VARIEDAD</t>
  </si>
  <si>
    <t>Fecha Muestreo</t>
  </si>
  <si>
    <t>PCR (Harper)</t>
  </si>
  <si>
    <t>Ct</t>
  </si>
  <si>
    <t>PCR (Francis)</t>
  </si>
  <si>
    <t>Data anàlisi</t>
  </si>
  <si>
    <t>Nº Mostra Laboratori</t>
  </si>
  <si>
    <t>CODIGO XYL</t>
  </si>
  <si>
    <t>Acta</t>
  </si>
  <si>
    <t xml:space="preserve">Variedad </t>
  </si>
  <si>
    <t>Especie</t>
  </si>
  <si>
    <t>Variedad</t>
  </si>
  <si>
    <t>SÍNTOMAS</t>
  </si>
  <si>
    <t>Origen Muestra</t>
  </si>
  <si>
    <t>Edad (años)</t>
  </si>
  <si>
    <t>Tipo de cultivo</t>
  </si>
  <si>
    <t>SON-COT-025</t>
  </si>
  <si>
    <t>1</t>
  </si>
  <si>
    <t>Guarin</t>
  </si>
  <si>
    <t>Prunus dulcis</t>
  </si>
  <si>
    <t>SON COTONER</t>
  </si>
  <si>
    <t>29/04/2019</t>
  </si>
  <si>
    <t>-</t>
  </si>
  <si>
    <t>SON-COT-041</t>
  </si>
  <si>
    <t>02/06/2019</t>
  </si>
  <si>
    <t>SON-COT-818</t>
  </si>
  <si>
    <t>10/07/2019</t>
  </si>
  <si>
    <t>26/07/2019</t>
  </si>
  <si>
    <t>SON-COT-1607</t>
  </si>
  <si>
    <t>13/08/2019</t>
  </si>
  <si>
    <t>24/09/2019</t>
  </si>
  <si>
    <t>SON-COT-042</t>
  </si>
  <si>
    <t>2</t>
  </si>
  <si>
    <t>Morro de vaca</t>
  </si>
  <si>
    <t>+</t>
  </si>
  <si>
    <t>32</t>
  </si>
  <si>
    <t>SON-COT-819</t>
  </si>
  <si>
    <t>35.31</t>
  </si>
  <si>
    <t>SON-COT-1608</t>
  </si>
  <si>
    <t>SON-COT-043</t>
  </si>
  <si>
    <t>3</t>
  </si>
  <si>
    <t>Verdereta</t>
  </si>
  <si>
    <t>34</t>
  </si>
  <si>
    <t>SON-COT-820</t>
  </si>
  <si>
    <t>31.45</t>
  </si>
  <si>
    <t>SON-COT-1609</t>
  </si>
  <si>
    <t>34.49</t>
  </si>
  <si>
    <t>SON-COT-044</t>
  </si>
  <si>
    <t>4</t>
  </si>
  <si>
    <t>31</t>
  </si>
  <si>
    <t>SON-COT-821</t>
  </si>
  <si>
    <t>28.67</t>
  </si>
  <si>
    <t>SON-COT-1610</t>
  </si>
  <si>
    <t>33.26</t>
  </si>
  <si>
    <t>SON-COT-045</t>
  </si>
  <si>
    <t>5</t>
  </si>
  <si>
    <t>SON-COT-822</t>
  </si>
  <si>
    <t>SON-COT-1611</t>
  </si>
  <si>
    <t>SON-COT-010</t>
  </si>
  <si>
    <t>6</t>
  </si>
  <si>
    <t>SON-COT-046</t>
  </si>
  <si>
    <t>SON-COT-823</t>
  </si>
  <si>
    <t>33.56</t>
  </si>
  <si>
    <t>SON-COT-1612</t>
  </si>
  <si>
    <t>31.92</t>
  </si>
  <si>
    <t>SON-COT-047</t>
  </si>
  <si>
    <t>7</t>
  </si>
  <si>
    <t>SON-COT-824</t>
  </si>
  <si>
    <t>31.36</t>
  </si>
  <si>
    <t>SON-COT-1613</t>
  </si>
  <si>
    <t>33.42</t>
  </si>
  <si>
    <t>SON-COT-048</t>
  </si>
  <si>
    <t>8</t>
  </si>
  <si>
    <t>SON-COT-825</t>
  </si>
  <si>
    <t>SON-COT-1614</t>
  </si>
  <si>
    <t>SON-COT-049</t>
  </si>
  <si>
    <t>9</t>
  </si>
  <si>
    <t>30</t>
  </si>
  <si>
    <t>SON-COT-826</t>
  </si>
  <si>
    <t>32.7</t>
  </si>
  <si>
    <t>SON-COT-1615</t>
  </si>
  <si>
    <t>34.34</t>
  </si>
  <si>
    <t>SON-COT-050</t>
  </si>
  <si>
    <t>10</t>
  </si>
  <si>
    <t>SON-COT-827</t>
  </si>
  <si>
    <t>SON-COT-1616</t>
  </si>
  <si>
    <t>34.6</t>
  </si>
  <si>
    <t>SON-COT-051</t>
  </si>
  <si>
    <t>11</t>
  </si>
  <si>
    <t>Brot penjat</t>
  </si>
  <si>
    <t>SON-COT-828</t>
  </si>
  <si>
    <t>SON-COT-1617</t>
  </si>
  <si>
    <t>SON-COT-016</t>
  </si>
  <si>
    <t>12</t>
  </si>
  <si>
    <t>SON-COT-052</t>
  </si>
  <si>
    <t>SON-COT-829</t>
  </si>
  <si>
    <t>SON-COT-1618</t>
  </si>
  <si>
    <t>SON-COT-053</t>
  </si>
  <si>
    <t>13</t>
  </si>
  <si>
    <t>SON-COT-830</t>
  </si>
  <si>
    <t>SON-COT-1619</t>
  </si>
  <si>
    <t>SON-COT-054</t>
  </si>
  <si>
    <t>14</t>
  </si>
  <si>
    <t>SON-COT-831</t>
  </si>
  <si>
    <t>SON-COT-1620</t>
  </si>
  <si>
    <t>SON-COT-055</t>
  </si>
  <si>
    <t>15</t>
  </si>
  <si>
    <t>SON-COT-832</t>
  </si>
  <si>
    <t>SON-COT-1621</t>
  </si>
  <si>
    <t>34.15</t>
  </si>
  <si>
    <t>SON-COT-056</t>
  </si>
  <si>
    <t>16</t>
  </si>
  <si>
    <t xml:space="preserve">Jordi </t>
  </si>
  <si>
    <t>SON-COT-833</t>
  </si>
  <si>
    <t>SON-COT-1622</t>
  </si>
  <si>
    <t>SON-COT-057</t>
  </si>
  <si>
    <t>17</t>
  </si>
  <si>
    <t>SON-COT-834</t>
  </si>
  <si>
    <t>SON-COT-1623</t>
  </si>
  <si>
    <t>34.84</t>
  </si>
  <si>
    <t>SON-COT-058</t>
  </si>
  <si>
    <t>18</t>
  </si>
  <si>
    <t>SON-COT-835</t>
  </si>
  <si>
    <t>SON-COT-1624</t>
  </si>
  <si>
    <t>SON-COT-059</t>
  </si>
  <si>
    <t>19</t>
  </si>
  <si>
    <t>SON-COT-836</t>
  </si>
  <si>
    <t>SON-COT-1625</t>
  </si>
  <si>
    <t>SON-COT-060</t>
  </si>
  <si>
    <t>20</t>
  </si>
  <si>
    <t>SON-COT-837</t>
  </si>
  <si>
    <t>SON-COT-1626</t>
  </si>
  <si>
    <t>SON-COT-061</t>
  </si>
  <si>
    <t>21</t>
  </si>
  <si>
    <t xml:space="preserve">Poteta </t>
  </si>
  <si>
    <t>36</t>
  </si>
  <si>
    <t>SON-COT-838</t>
  </si>
  <si>
    <t>32.6</t>
  </si>
  <si>
    <t>SON-COT-1627</t>
  </si>
  <si>
    <t>33.19</t>
  </si>
  <si>
    <t>SON-COT-062</t>
  </si>
  <si>
    <t>22</t>
  </si>
  <si>
    <t>SON-COT-839</t>
  </si>
  <si>
    <t>SON-COT-1628</t>
  </si>
  <si>
    <t>SON-COT-036</t>
  </si>
  <si>
    <t>23</t>
  </si>
  <si>
    <t>SON-COT-063</t>
  </si>
  <si>
    <t>SON-COT-840</t>
  </si>
  <si>
    <t>31.59</t>
  </si>
  <si>
    <t>SON-COT-1629</t>
  </si>
  <si>
    <t>30.09</t>
  </si>
  <si>
    <t>SON-COT-064</t>
  </si>
  <si>
    <t>24</t>
  </si>
  <si>
    <t>SON-COT-841</t>
  </si>
  <si>
    <t>28.75</t>
  </si>
  <si>
    <t>23/07/2019</t>
  </si>
  <si>
    <t>SON-COT-1630</t>
  </si>
  <si>
    <t>30.85</t>
  </si>
  <si>
    <t>SON-COT-023</t>
  </si>
  <si>
    <t>25</t>
  </si>
  <si>
    <t>SON-COT-065</t>
  </si>
  <si>
    <t>SON-COT-842</t>
  </si>
  <si>
    <t>SON-COT-1631</t>
  </si>
  <si>
    <t>SON-COT-066</t>
  </si>
  <si>
    <t>26</t>
  </si>
  <si>
    <t>SON-COT-843</t>
  </si>
  <si>
    <t>SON-COT-1632</t>
  </si>
  <si>
    <t>SON-COT-067</t>
  </si>
  <si>
    <t>27</t>
  </si>
  <si>
    <t>?</t>
  </si>
  <si>
    <t>28</t>
  </si>
  <si>
    <t>SON-COT-844</t>
  </si>
  <si>
    <t>25.79</t>
  </si>
  <si>
    <t>SON-COT-1633</t>
  </si>
  <si>
    <t>26.53</t>
  </si>
  <si>
    <t>SON-COT-068</t>
  </si>
  <si>
    <t>33</t>
  </si>
  <si>
    <t>SON-COT-845</t>
  </si>
  <si>
    <t>29.45</t>
  </si>
  <si>
    <t>SON-COT-1634</t>
  </si>
  <si>
    <t>32.77</t>
  </si>
  <si>
    <t>SON-COT-069</t>
  </si>
  <si>
    <t>29</t>
  </si>
  <si>
    <t>SON-COT-846</t>
  </si>
  <si>
    <t>SON-COT-1635</t>
  </si>
  <si>
    <t>SON-COT-070</t>
  </si>
  <si>
    <t>35</t>
  </si>
  <si>
    <t>SON-COT-847</t>
  </si>
  <si>
    <t>32.99</t>
  </si>
  <si>
    <t>SON-COT-1636</t>
  </si>
  <si>
    <t>SON-COT-071</t>
  </si>
  <si>
    <t>DUDOSO</t>
  </si>
  <si>
    <t>SON-COT-848</t>
  </si>
  <si>
    <t>SON-COT-1637</t>
  </si>
  <si>
    <t>SON-COT-030</t>
  </si>
  <si>
    <t>SON-COT-072</t>
  </si>
  <si>
    <t>SON-COT-849</t>
  </si>
  <si>
    <t>32.04</t>
  </si>
  <si>
    <t>SON-COT-1638</t>
  </si>
  <si>
    <t>30.55</t>
  </si>
  <si>
    <t>SON-COT-073</t>
  </si>
  <si>
    <t>SON-COT-850</t>
  </si>
  <si>
    <t>SON-COT-1639</t>
  </si>
  <si>
    <t>SON-COT-074</t>
  </si>
  <si>
    <t>SON-COT-851</t>
  </si>
  <si>
    <t>35.7</t>
  </si>
  <si>
    <t>SON-COT-1640</t>
  </si>
  <si>
    <t>34.53</t>
  </si>
  <si>
    <t>SON-COT-075</t>
  </si>
  <si>
    <t>SON-COT-852</t>
  </si>
  <si>
    <t>SON-COT-1641</t>
  </si>
  <si>
    <t>SON-COT-076</t>
  </si>
  <si>
    <t>Metzina</t>
  </si>
  <si>
    <t>SON-COT-853</t>
  </si>
  <si>
    <t>29.65</t>
  </si>
  <si>
    <t>SON-COT-1642</t>
  </si>
  <si>
    <t>31.42</t>
  </si>
  <si>
    <t>SON-COT-077</t>
  </si>
  <si>
    <t>37</t>
  </si>
  <si>
    <t>SON-COT-854</t>
  </si>
  <si>
    <t>32.47</t>
  </si>
  <si>
    <t>SON-COT-1643</t>
  </si>
  <si>
    <t>30.84</t>
  </si>
  <si>
    <t>SON-COT-078</t>
  </si>
  <si>
    <t>38</t>
  </si>
  <si>
    <t>SON-COT-855</t>
  </si>
  <si>
    <t>SON-COT-1644</t>
  </si>
  <si>
    <t>SON-COT-079</t>
  </si>
  <si>
    <t>39</t>
  </si>
  <si>
    <t>SON-COT-856</t>
  </si>
  <si>
    <t>SON-COT-1645</t>
  </si>
  <si>
    <t>SON-COT-017</t>
  </si>
  <si>
    <t>40</t>
  </si>
  <si>
    <t>Bord</t>
  </si>
  <si>
    <t>SON-COT-080</t>
  </si>
  <si>
    <t>SON-COT-857</t>
  </si>
  <si>
    <t>34.12</t>
  </si>
  <si>
    <t>SON-COT-1646</t>
  </si>
  <si>
    <t>SON-COT-081</t>
  </si>
  <si>
    <t>41</t>
  </si>
  <si>
    <t>SON-COT-858</t>
  </si>
  <si>
    <t>SON-COT-1647</t>
  </si>
  <si>
    <t>SON-COT-082</t>
  </si>
  <si>
    <t>42</t>
  </si>
  <si>
    <t>SON-COT-859</t>
  </si>
  <si>
    <t>SON-COT-1648</t>
  </si>
  <si>
    <t>SON-COT-083</t>
  </si>
  <si>
    <t>43</t>
  </si>
  <si>
    <t>SON-COT-860</t>
  </si>
  <si>
    <t>32.12</t>
  </si>
  <si>
    <t>SON-COT-1649</t>
  </si>
  <si>
    <t>33.11</t>
  </si>
  <si>
    <t>SON-COT-022</t>
  </si>
  <si>
    <t>44</t>
  </si>
  <si>
    <t>SON-COT-084</t>
  </si>
  <si>
    <t>SON-COT-861</t>
  </si>
  <si>
    <t>31.53</t>
  </si>
  <si>
    <t>SON-COT-1650</t>
  </si>
  <si>
    <t>35.28</t>
  </si>
  <si>
    <t>SON-COT-085</t>
  </si>
  <si>
    <t>45</t>
  </si>
  <si>
    <t>SON-COT-862</t>
  </si>
  <si>
    <t>31.27</t>
  </si>
  <si>
    <t>SON-COT-1651</t>
  </si>
  <si>
    <t>34.54</t>
  </si>
  <si>
    <t>SON-COT-086</t>
  </si>
  <si>
    <t>46</t>
  </si>
  <si>
    <t>SON-COT-863</t>
  </si>
  <si>
    <t>33.35</t>
  </si>
  <si>
    <t>SON-COT-1652</t>
  </si>
  <si>
    <t>34.62</t>
  </si>
  <si>
    <t>SON-COT-087</t>
  </si>
  <si>
    <t>47</t>
  </si>
  <si>
    <t>SON-COT-864</t>
  </si>
  <si>
    <t>35.32</t>
  </si>
  <si>
    <t>SON-COT-1653</t>
  </si>
  <si>
    <t>31.41</t>
  </si>
  <si>
    <t>SON-COT-088</t>
  </si>
  <si>
    <t>48</t>
  </si>
  <si>
    <t>SON-COT-865</t>
  </si>
  <si>
    <t>33.84</t>
  </si>
  <si>
    <t>SON-COT-1654</t>
  </si>
  <si>
    <t>32.15</t>
  </si>
  <si>
    <t>SON-COT-089</t>
  </si>
  <si>
    <t>49</t>
  </si>
  <si>
    <t>SON-COT-866</t>
  </si>
  <si>
    <t>LD</t>
  </si>
  <si>
    <t>36.33</t>
  </si>
  <si>
    <t>SON-COT-1655</t>
  </si>
  <si>
    <t>SON-COT-090</t>
  </si>
  <si>
    <t>50</t>
  </si>
  <si>
    <t>SON-COT-867</t>
  </si>
  <si>
    <t>SON-COT-1656</t>
  </si>
  <si>
    <t>SON-COT-091</t>
  </si>
  <si>
    <t>51</t>
  </si>
  <si>
    <t>SON-COT-868</t>
  </si>
  <si>
    <t>34.75</t>
  </si>
  <si>
    <t>SON-COT-1657</t>
  </si>
  <si>
    <t>33.85</t>
  </si>
  <si>
    <t>SON-COT-014</t>
  </si>
  <si>
    <t>52</t>
  </si>
  <si>
    <t>SON-COT-092</t>
  </si>
  <si>
    <t>SON-COT-869</t>
  </si>
  <si>
    <t>35.36</t>
  </si>
  <si>
    <t>SON-COT-1658</t>
  </si>
  <si>
    <t>25/09/2019</t>
  </si>
  <si>
    <t>SON-COT-093</t>
  </si>
  <si>
    <t>53</t>
  </si>
  <si>
    <t>SON-COT-870</t>
  </si>
  <si>
    <t>33.92</t>
  </si>
  <si>
    <t>SON-COT-1659</t>
  </si>
  <si>
    <t>32.81</t>
  </si>
  <si>
    <t>SON-COT-094</t>
  </si>
  <si>
    <t>54</t>
  </si>
  <si>
    <t>SON-COT-871</t>
  </si>
  <si>
    <t>SON-COT-1660</t>
  </si>
  <si>
    <t>SON-COT-095</t>
  </si>
  <si>
    <t>55</t>
  </si>
  <si>
    <t>Pons</t>
  </si>
  <si>
    <t>SON-COT-872</t>
  </si>
  <si>
    <t>SON-COT-1661</t>
  </si>
  <si>
    <t>SON-COT-096</t>
  </si>
  <si>
    <t>56</t>
  </si>
  <si>
    <t>SON-COT-873</t>
  </si>
  <si>
    <t>31.64</t>
  </si>
  <si>
    <t>SON-COT-1662</t>
  </si>
  <si>
    <t>31.98</t>
  </si>
  <si>
    <t>SON-COT-097</t>
  </si>
  <si>
    <t>57</t>
  </si>
  <si>
    <t>SON-COT-874</t>
  </si>
  <si>
    <t>SON-COT-1663</t>
  </si>
  <si>
    <t>SON-COT-033</t>
  </si>
  <si>
    <t>58</t>
  </si>
  <si>
    <t>SON-COT-098</t>
  </si>
  <si>
    <t>SON-COT-875</t>
  </si>
  <si>
    <t>SON-COT-1664</t>
  </si>
  <si>
    <t>33.8</t>
  </si>
  <si>
    <t>SON-COT-099</t>
  </si>
  <si>
    <t>59</t>
  </si>
  <si>
    <t>SON-COT-876</t>
  </si>
  <si>
    <t>SON-COT-1665</t>
  </si>
  <si>
    <t>30.76</t>
  </si>
  <si>
    <t>SON-COT-100</t>
  </si>
  <si>
    <t>60</t>
  </si>
  <si>
    <t>SON-COT-877</t>
  </si>
  <si>
    <t>SON-COT-1666</t>
  </si>
  <si>
    <t>SON-COT-101</t>
  </si>
  <si>
    <t>61</t>
  </si>
  <si>
    <t>SON-COT-878</t>
  </si>
  <si>
    <t>SON-COT-1667</t>
  </si>
  <si>
    <t>SON-COT-102</t>
  </si>
  <si>
    <t>62</t>
  </si>
  <si>
    <t>SON-COT-879</t>
  </si>
  <si>
    <t>31.99</t>
  </si>
  <si>
    <t>SON-COT-1668</t>
  </si>
  <si>
    <t>28.42</t>
  </si>
  <si>
    <t>SON-COT-103</t>
  </si>
  <si>
    <t>63</t>
  </si>
  <si>
    <t>SON-COT-880</t>
  </si>
  <si>
    <t>31.62</t>
  </si>
  <si>
    <t>SON-COT-1669</t>
  </si>
  <si>
    <t>29.74</t>
  </si>
  <si>
    <t>SON-COT-104</t>
  </si>
  <si>
    <t>64</t>
  </si>
  <si>
    <t>SON-COT-881</t>
  </si>
  <si>
    <t>SON-COT-1670</t>
  </si>
  <si>
    <t>33.49</t>
  </si>
  <si>
    <t>SON-COT-105</t>
  </si>
  <si>
    <t>65</t>
  </si>
  <si>
    <t>SON-COT-882</t>
  </si>
  <si>
    <t>SON-COT-1671</t>
  </si>
  <si>
    <t>SON-COT-106</t>
  </si>
  <si>
    <t>66</t>
  </si>
  <si>
    <t>SON-COT-883</t>
  </si>
  <si>
    <t>34.04</t>
  </si>
  <si>
    <t>SON-COT-1672</t>
  </si>
  <si>
    <t>33.01</t>
  </si>
  <si>
    <t>SON-COT-107</t>
  </si>
  <si>
    <t>67</t>
  </si>
  <si>
    <t>SON-COT-884</t>
  </si>
  <si>
    <t>32.68</t>
  </si>
  <si>
    <t>SON-COT-1673</t>
  </si>
  <si>
    <t>32.31</t>
  </si>
  <si>
    <t>SON-COT-108</t>
  </si>
  <si>
    <t>68</t>
  </si>
  <si>
    <t>SON-COT-885</t>
  </si>
  <si>
    <t>32.22</t>
  </si>
  <si>
    <t>SON-COT-1674</t>
  </si>
  <si>
    <t>33.36</t>
  </si>
  <si>
    <t>SON-COT-109</t>
  </si>
  <si>
    <t>69</t>
  </si>
  <si>
    <t>SON-COT-886</t>
  </si>
  <si>
    <t>SON-COT-1675</t>
  </si>
  <si>
    <t>SON-COT-037</t>
  </si>
  <si>
    <t>70</t>
  </si>
  <si>
    <t>SON-COT-110</t>
  </si>
  <si>
    <t>SON-COT-887</t>
  </si>
  <si>
    <t>32.84</t>
  </si>
  <si>
    <t>SON-COT-1676</t>
  </si>
  <si>
    <t>31.13</t>
  </si>
  <si>
    <t>SON-COT-111</t>
  </si>
  <si>
    <t>71</t>
  </si>
  <si>
    <t>SON-COT-888</t>
  </si>
  <si>
    <t>32.27</t>
  </si>
  <si>
    <t>SON-COT-1677</t>
  </si>
  <si>
    <t>31.3</t>
  </si>
  <si>
    <t>SON-COT-112</t>
  </si>
  <si>
    <t>72</t>
  </si>
  <si>
    <t>SON-COT-889</t>
  </si>
  <si>
    <t>34.26</t>
  </si>
  <si>
    <t>SON-COT-1678</t>
  </si>
  <si>
    <t>SON-COT-113</t>
  </si>
  <si>
    <t>73</t>
  </si>
  <si>
    <t>SON-COT-890</t>
  </si>
  <si>
    <t>guarin</t>
  </si>
  <si>
    <t>SON-COT-1679</t>
  </si>
  <si>
    <t>SON-COT-114</t>
  </si>
  <si>
    <t>74</t>
  </si>
  <si>
    <t>SON-COT-891</t>
  </si>
  <si>
    <t>35.92</t>
  </si>
  <si>
    <t>SON-COT-1680</t>
  </si>
  <si>
    <t>35.07</t>
  </si>
  <si>
    <t>SON-COT-115</t>
  </si>
  <si>
    <t>75</t>
  </si>
  <si>
    <t>SON-COT-892</t>
  </si>
  <si>
    <t>31.79</t>
  </si>
  <si>
    <t>SON-COT-1681</t>
  </si>
  <si>
    <t>32.64</t>
  </si>
  <si>
    <t>SON-COT-116</t>
  </si>
  <si>
    <t>76</t>
  </si>
  <si>
    <t>SON-COT-893</t>
  </si>
  <si>
    <t>33.05</t>
  </si>
  <si>
    <t>SON-COT-1682</t>
  </si>
  <si>
    <t>29.34</t>
  </si>
  <si>
    <t>SON-COT-117</t>
  </si>
  <si>
    <t>77</t>
  </si>
  <si>
    <t>SON-COT-894</t>
  </si>
  <si>
    <t>SON-COT-1683</t>
  </si>
  <si>
    <t>SON-COT-118</t>
  </si>
  <si>
    <t>78</t>
  </si>
  <si>
    <t>SON-COT-895</t>
  </si>
  <si>
    <t>33.79</t>
  </si>
  <si>
    <t>SON-COT-1684</t>
  </si>
  <si>
    <t>33.33</t>
  </si>
  <si>
    <t>SON-COT-119</t>
  </si>
  <si>
    <t>79</t>
  </si>
  <si>
    <t>SON-COT-896</t>
  </si>
  <si>
    <t>32.62</t>
  </si>
  <si>
    <t>SON-COT-1685</t>
  </si>
  <si>
    <t>30.45</t>
  </si>
  <si>
    <t>SON-COT-120</t>
  </si>
  <si>
    <t>80</t>
  </si>
  <si>
    <t>SON-COT-897</t>
  </si>
  <si>
    <t>33.37</t>
  </si>
  <si>
    <t>SON-COT-1686</t>
  </si>
  <si>
    <t>SON-COT-121</t>
  </si>
  <si>
    <t>81</t>
  </si>
  <si>
    <t>SON-COT-898</t>
  </si>
  <si>
    <t>SON-COT-1687</t>
  </si>
  <si>
    <t>34.64</t>
  </si>
  <si>
    <t>SON-COT-122</t>
  </si>
  <si>
    <t>82</t>
  </si>
  <si>
    <t>SON-COT-899</t>
  </si>
  <si>
    <t>32.93</t>
  </si>
  <si>
    <t>SON-COT-1688</t>
  </si>
  <si>
    <t>SON-COT-035</t>
  </si>
  <si>
    <t>83</t>
  </si>
  <si>
    <t>SON-COT-123</t>
  </si>
  <si>
    <t>SON-COT-900</t>
  </si>
  <si>
    <t>35.01</t>
  </si>
  <si>
    <t>SON-COT-1689</t>
  </si>
  <si>
    <t>SON-COT-124</t>
  </si>
  <si>
    <t>84</t>
  </si>
  <si>
    <t>SON-COT-901</t>
  </si>
  <si>
    <t>33.48</t>
  </si>
  <si>
    <t>SON-COT-1690</t>
  </si>
  <si>
    <t>33.09</t>
  </si>
  <si>
    <t>SON-COT-125</t>
  </si>
  <si>
    <t>85</t>
  </si>
  <si>
    <t>SON-COT-902</t>
  </si>
  <si>
    <t>35.73</t>
  </si>
  <si>
    <t>SON-COT-1691</t>
  </si>
  <si>
    <t>35.19</t>
  </si>
  <si>
    <t>SON-COT-126</t>
  </si>
  <si>
    <t>86</t>
  </si>
  <si>
    <t>SON-COT-903</t>
  </si>
  <si>
    <t>SON-COT-1692</t>
  </si>
  <si>
    <t>34.19</t>
  </si>
  <si>
    <t>SON-COT-127</t>
  </si>
  <si>
    <t>87</t>
  </si>
  <si>
    <t>SON-COT-904</t>
  </si>
  <si>
    <t>SON-COT-1693</t>
  </si>
  <si>
    <t>SON-COT-128</t>
  </si>
  <si>
    <t>88</t>
  </si>
  <si>
    <t>Ribes</t>
  </si>
  <si>
    <t>SON-COT-905</t>
  </si>
  <si>
    <t>SON-COT-1694</t>
  </si>
  <si>
    <t>SON-COT-129</t>
  </si>
  <si>
    <t>89</t>
  </si>
  <si>
    <t>SON-COT-906</t>
  </si>
  <si>
    <t>SON-COT-1695</t>
  </si>
  <si>
    <t>SON-COT-130</t>
  </si>
  <si>
    <t>90</t>
  </si>
  <si>
    <t>SON-COT-907</t>
  </si>
  <si>
    <t>34.5</t>
  </si>
  <si>
    <t>SON-COT-1696</t>
  </si>
  <si>
    <t>SON-COT-028</t>
  </si>
  <si>
    <t>91</t>
  </si>
  <si>
    <t>SON-COT-131</t>
  </si>
  <si>
    <t>SON-COT-908</t>
  </si>
  <si>
    <t>SON-COT-1697</t>
  </si>
  <si>
    <t>SON-COT-132</t>
  </si>
  <si>
    <t>92</t>
  </si>
  <si>
    <t>SON-COT-909</t>
  </si>
  <si>
    <t>SON-COT-1698</t>
  </si>
  <si>
    <t>SON-COT-133</t>
  </si>
  <si>
    <t>93</t>
  </si>
  <si>
    <t>SON-COT-910</t>
  </si>
  <si>
    <t>SON-COT-1699</t>
  </si>
  <si>
    <t>SON-COT-134</t>
  </si>
  <si>
    <t>94</t>
  </si>
  <si>
    <t>SON-COT-911</t>
  </si>
  <si>
    <t>SON-COT-1700</t>
  </si>
  <si>
    <t>SON-COT-029</t>
  </si>
  <si>
    <t>95</t>
  </si>
  <si>
    <t>SON-COT-135</t>
  </si>
  <si>
    <t>SON-COT-912</t>
  </si>
  <si>
    <t>35.02</t>
  </si>
  <si>
    <t>SON-COT-1701</t>
  </si>
  <si>
    <t>31.09</t>
  </si>
  <si>
    <t>SON-COT-136</t>
  </si>
  <si>
    <t>96</t>
  </si>
  <si>
    <t>SON-COT-913</t>
  </si>
  <si>
    <t>SON-COT-1702</t>
  </si>
  <si>
    <t>SON-COT-137</t>
  </si>
  <si>
    <t>97</t>
  </si>
  <si>
    <t>SON-COT-914</t>
  </si>
  <si>
    <t>SON-COT-1703</t>
  </si>
  <si>
    <t>SON-COT-138</t>
  </si>
  <si>
    <t>98</t>
  </si>
  <si>
    <t>SON-COT-915</t>
  </si>
  <si>
    <t>SON-COT-1704</t>
  </si>
  <si>
    <t>SON-COT-139</t>
  </si>
  <si>
    <t>99</t>
  </si>
  <si>
    <t>SON-COT-916</t>
  </si>
  <si>
    <t>37.85</t>
  </si>
  <si>
    <t>SON-COT-1705</t>
  </si>
  <si>
    <t>SON-COT-140</t>
  </si>
  <si>
    <t>100</t>
  </si>
  <si>
    <t>SON-COT-917</t>
  </si>
  <si>
    <t>SON-COT-1706</t>
  </si>
  <si>
    <t>SON-COT-141</t>
  </si>
  <si>
    <t>101</t>
  </si>
  <si>
    <t>SON-COT-918</t>
  </si>
  <si>
    <t>SON-COT-1707</t>
  </si>
  <si>
    <t>SON-COT-142</t>
  </si>
  <si>
    <t>102</t>
  </si>
  <si>
    <t>SON-COT-919</t>
  </si>
  <si>
    <t>SON-COT-1708</t>
  </si>
  <si>
    <t>SON-COT-143</t>
  </si>
  <si>
    <t>103</t>
  </si>
  <si>
    <t>SON-COT-920</t>
  </si>
  <si>
    <t>SON-COT-1709</t>
  </si>
  <si>
    <t>SON-COT-144</t>
  </si>
  <si>
    <t>104</t>
  </si>
  <si>
    <t>SON-COT-921</t>
  </si>
  <si>
    <t>SON-COT-1710</t>
  </si>
  <si>
    <t>SON-COT-145</t>
  </si>
  <si>
    <t>105</t>
  </si>
  <si>
    <t>SON-COT-922</t>
  </si>
  <si>
    <t>SON-COT-1711</t>
  </si>
  <si>
    <t>SON-COT-146</t>
  </si>
  <si>
    <t>106</t>
  </si>
  <si>
    <t>SON-COT-923</t>
  </si>
  <si>
    <t>SON-COT-1712</t>
  </si>
  <si>
    <t>SON-COT-147</t>
  </si>
  <si>
    <t>107</t>
  </si>
  <si>
    <t>canaleta</t>
  </si>
  <si>
    <t>SON-COT-924</t>
  </si>
  <si>
    <t>SON-COT-1713</t>
  </si>
  <si>
    <t>SON-COT-148</t>
  </si>
  <si>
    <t>108</t>
  </si>
  <si>
    <t>SON-COT-925</t>
  </si>
  <si>
    <t>27.93</t>
  </si>
  <si>
    <t>SON-COT-1714</t>
  </si>
  <si>
    <t>29.73</t>
  </si>
  <si>
    <t>SON-COT-149</t>
  </si>
  <si>
    <t>109</t>
  </si>
  <si>
    <t>SON-COT-926</t>
  </si>
  <si>
    <t>SON-COT-1715</t>
  </si>
  <si>
    <t>SON-COT-150</t>
  </si>
  <si>
    <t>110</t>
  </si>
  <si>
    <t>SON-COT-927</t>
  </si>
  <si>
    <t>SON-COT-1716</t>
  </si>
  <si>
    <t>SON-COT-151</t>
  </si>
  <si>
    <t>111</t>
  </si>
  <si>
    <t>SON-COT-928</t>
  </si>
  <si>
    <t>SON-COT-1717</t>
  </si>
  <si>
    <t>SON-COT-152</t>
  </si>
  <si>
    <t>112</t>
  </si>
  <si>
    <t>SON-COT-929</t>
  </si>
  <si>
    <t>SON-COT-1718</t>
  </si>
  <si>
    <t>SON-COT-153</t>
  </si>
  <si>
    <t>113</t>
  </si>
  <si>
    <t>SON-COT-930</t>
  </si>
  <si>
    <t>30.29</t>
  </si>
  <si>
    <t>SON-COT-1719</t>
  </si>
  <si>
    <t>31.66</t>
  </si>
  <si>
    <t>SON-COT-154</t>
  </si>
  <si>
    <t>114</t>
  </si>
  <si>
    <t>SON-COT-931</t>
  </si>
  <si>
    <t>29.83</t>
  </si>
  <si>
    <t>SON-COT-1720</t>
  </si>
  <si>
    <t>30.96</t>
  </si>
  <si>
    <t>SON-COT-155</t>
  </si>
  <si>
    <t>115</t>
  </si>
  <si>
    <t>SON-COT-932</t>
  </si>
  <si>
    <t>31.47</t>
  </si>
  <si>
    <t>SON-COT-1721</t>
  </si>
  <si>
    <t>SON-COT-156</t>
  </si>
  <si>
    <t>116</t>
  </si>
  <si>
    <t>SON-COT-933</t>
  </si>
  <si>
    <t>SON-COT-1722</t>
  </si>
  <si>
    <t>SON-COT-157</t>
  </si>
  <si>
    <t>117</t>
  </si>
  <si>
    <t>SON-COT-934</t>
  </si>
  <si>
    <t>SON-COT-1723</t>
  </si>
  <si>
    <t>SON-COT-158</t>
  </si>
  <si>
    <t>118</t>
  </si>
  <si>
    <t>SON-COT-935</t>
  </si>
  <si>
    <t>SON-COT-1724</t>
  </si>
  <si>
    <t>SON-COT-159</t>
  </si>
  <si>
    <t>119</t>
  </si>
  <si>
    <t>SON-COT-936</t>
  </si>
  <si>
    <t>32.91</t>
  </si>
  <si>
    <t>SON-COT-1725</t>
  </si>
  <si>
    <t>33.67</t>
  </si>
  <si>
    <t>SON-COT-160</t>
  </si>
  <si>
    <t>120</t>
  </si>
  <si>
    <t>SON-COT-937</t>
  </si>
  <si>
    <t>28.98</t>
  </si>
  <si>
    <t>SON-COT-1726</t>
  </si>
  <si>
    <t>31.01</t>
  </si>
  <si>
    <t>SON-COT-031</t>
  </si>
  <si>
    <t>121</t>
  </si>
  <si>
    <t>SON-COT-161</t>
  </si>
  <si>
    <t>SON-COT-938</t>
  </si>
  <si>
    <t>29/07/2019</t>
  </si>
  <si>
    <t>SON-COT-1727</t>
  </si>
  <si>
    <t>SON-COT-162</t>
  </si>
  <si>
    <t>122</t>
  </si>
  <si>
    <t>20/06/2019</t>
  </si>
  <si>
    <t>SON-COT-939</t>
  </si>
  <si>
    <t>SON-COT-1728</t>
  </si>
  <si>
    <t>34.95</t>
  </si>
  <si>
    <t>SON-COT-163</t>
  </si>
  <si>
    <t>123</t>
  </si>
  <si>
    <t>SON-COT-940</t>
  </si>
  <si>
    <t>31.87</t>
  </si>
  <si>
    <t>SON-COT-1729</t>
  </si>
  <si>
    <t>33.55</t>
  </si>
  <si>
    <t>SON-COT-164</t>
  </si>
  <si>
    <t>124</t>
  </si>
  <si>
    <t>SON-COT-941</t>
  </si>
  <si>
    <t>26.59</t>
  </si>
  <si>
    <t>SON-COT-1730</t>
  </si>
  <si>
    <t>32.53</t>
  </si>
  <si>
    <t>SON-COT-165</t>
  </si>
  <si>
    <t>125</t>
  </si>
  <si>
    <t>SON-COT-942</t>
  </si>
  <si>
    <t>SON-COT-1731</t>
  </si>
  <si>
    <t>SON-COT-166</t>
  </si>
  <si>
    <t>126</t>
  </si>
  <si>
    <t>SON-COT-943</t>
  </si>
  <si>
    <t>SON-COT-1732</t>
  </si>
  <si>
    <t>SON-COT-039</t>
  </si>
  <si>
    <t>127</t>
  </si>
  <si>
    <t>SON-COT-167</t>
  </si>
  <si>
    <t>SON-COT-944</t>
  </si>
  <si>
    <t>SON-COT-1733</t>
  </si>
  <si>
    <t>SON-COT-168</t>
  </si>
  <si>
    <t>128</t>
  </si>
  <si>
    <t>SON-COT-945</t>
  </si>
  <si>
    <t>SON-COT-1734</t>
  </si>
  <si>
    <t>SON-COT-169</t>
  </si>
  <si>
    <t>129</t>
  </si>
  <si>
    <t>04/06/2019</t>
  </si>
  <si>
    <t>SON-COT-1735</t>
  </si>
  <si>
    <t>33.39</t>
  </si>
  <si>
    <t>SON-COT-170</t>
  </si>
  <si>
    <t>130</t>
  </si>
  <si>
    <t>Den Domingo</t>
  </si>
  <si>
    <t>SON-COT-946</t>
  </si>
  <si>
    <t>29.7</t>
  </si>
  <si>
    <t>SON-COT-171</t>
  </si>
  <si>
    <t>131</t>
  </si>
  <si>
    <t>SON-COT-947</t>
  </si>
  <si>
    <t>SON-COT-1736</t>
  </si>
  <si>
    <t>SON-COT-172</t>
  </si>
  <si>
    <t>132</t>
  </si>
  <si>
    <t>SON-COT-948</t>
  </si>
  <si>
    <t>SON-COT-1737</t>
  </si>
  <si>
    <t>SON-COT-173</t>
  </si>
  <si>
    <t>133</t>
  </si>
  <si>
    <t>SON-COT-949</t>
  </si>
  <si>
    <t>SON-COT-1738</t>
  </si>
  <si>
    <t>SON-COT-174</t>
  </si>
  <si>
    <t>134</t>
  </si>
  <si>
    <t>SON-COT-950</t>
  </si>
  <si>
    <t>SON-COT-1739</t>
  </si>
  <si>
    <t>31.83</t>
  </si>
  <si>
    <t>SON-COT-175</t>
  </si>
  <si>
    <t>135</t>
  </si>
  <si>
    <t>SON-COT-951</t>
  </si>
  <si>
    <t>SON-COT-1740</t>
  </si>
  <si>
    <t>SON-COT-176</t>
  </si>
  <si>
    <t>136</t>
  </si>
  <si>
    <t>SON-COT-952</t>
  </si>
  <si>
    <t>SON-COT-1741</t>
  </si>
  <si>
    <t>SON-COT-177</t>
  </si>
  <si>
    <t>137</t>
  </si>
  <si>
    <t>SON-COT-953</t>
  </si>
  <si>
    <t>SON-COT-1742</t>
  </si>
  <si>
    <t>SON-COT-178</t>
  </si>
  <si>
    <t>138</t>
  </si>
  <si>
    <t>SON-COT-954</t>
  </si>
  <si>
    <t>30.54</t>
  </si>
  <si>
    <t>SON-COT-1743</t>
  </si>
  <si>
    <t>29.21</t>
  </si>
  <si>
    <t>SON-COT-179</t>
  </si>
  <si>
    <t>139</t>
  </si>
  <si>
    <t>SON-COT-955</t>
  </si>
  <si>
    <t>SON-COT-1744</t>
  </si>
  <si>
    <t>SON-COT-180</t>
  </si>
  <si>
    <t>140</t>
  </si>
  <si>
    <t>SON-COT-956</t>
  </si>
  <si>
    <t>SON-COT-1745</t>
  </si>
  <si>
    <t>SON-COT-013</t>
  </si>
  <si>
    <t>141</t>
  </si>
  <si>
    <t>SON-COT-181</t>
  </si>
  <si>
    <t>SON-COT-957</t>
  </si>
  <si>
    <t>SON-COT-1746</t>
  </si>
  <si>
    <t>27.61</t>
  </si>
  <si>
    <t>SON-COT-182</t>
  </si>
  <si>
    <t>142</t>
  </si>
  <si>
    <t>SON-COT-958</t>
  </si>
  <si>
    <t>SON-COT-1747</t>
  </si>
  <si>
    <t>SON-COT-183</t>
  </si>
  <si>
    <t>143</t>
  </si>
  <si>
    <t>SON-COT-959</t>
  </si>
  <si>
    <t>29.29</t>
  </si>
  <si>
    <t>SON-COT-1748</t>
  </si>
  <si>
    <t>27.84</t>
  </si>
  <si>
    <t>SON-COT-184</t>
  </si>
  <si>
    <t>144</t>
  </si>
  <si>
    <t>SON-COT-960</t>
  </si>
  <si>
    <t>SON-COT-1749</t>
  </si>
  <si>
    <t>29.09</t>
  </si>
  <si>
    <t>SON-COT-185</t>
  </si>
  <si>
    <t>145</t>
  </si>
  <si>
    <t>SON-COT-961</t>
  </si>
  <si>
    <t>28.21</t>
  </si>
  <si>
    <t>SON-COT-1750</t>
  </si>
  <si>
    <t>SON-COT-186</t>
  </si>
  <si>
    <t>146</t>
  </si>
  <si>
    <t>Redonets</t>
  </si>
  <si>
    <t>SON-COT-962</t>
  </si>
  <si>
    <t>SON-COT-1751</t>
  </si>
  <si>
    <t>SON-COT-187</t>
  </si>
  <si>
    <t>147</t>
  </si>
  <si>
    <t>SON-COT-963</t>
  </si>
  <si>
    <t>SON-COT-1752</t>
  </si>
  <si>
    <t>SON-COT-188</t>
  </si>
  <si>
    <t>148</t>
  </si>
  <si>
    <t>SON-COT-964</t>
  </si>
  <si>
    <t>SON-COT-1753</t>
  </si>
  <si>
    <t>SON-COT-189</t>
  </si>
  <si>
    <t>149</t>
  </si>
  <si>
    <t>SON-COT-965</t>
  </si>
  <si>
    <t>30.52</t>
  </si>
  <si>
    <t>SON-COT-1754</t>
  </si>
  <si>
    <t>28.83</t>
  </si>
  <si>
    <t>SON-COT-038</t>
  </si>
  <si>
    <t>150</t>
  </si>
  <si>
    <t>SON-COT-190</t>
  </si>
  <si>
    <t>SON-COT-966</t>
  </si>
  <si>
    <t>31.05</t>
  </si>
  <si>
    <t>SON-COT-1755</t>
  </si>
  <si>
    <t>27.59</t>
  </si>
  <si>
    <t>SON-COT-191</t>
  </si>
  <si>
    <t>151</t>
  </si>
  <si>
    <t>SON-COT-967</t>
  </si>
  <si>
    <t>32.2</t>
  </si>
  <si>
    <t>SON-COT-1756</t>
  </si>
  <si>
    <t>28.25</t>
  </si>
  <si>
    <t>SON-COT-192</t>
  </si>
  <si>
    <t>152</t>
  </si>
  <si>
    <t>SON-COT-968</t>
  </si>
  <si>
    <t>SON-COT-1757</t>
  </si>
  <si>
    <t>SON-COT-193</t>
  </si>
  <si>
    <t>153</t>
  </si>
  <si>
    <t>SON-COT-969</t>
  </si>
  <si>
    <t>SON-COT-1758</t>
  </si>
  <si>
    <t>SON-COT-194</t>
  </si>
  <si>
    <t>154</t>
  </si>
  <si>
    <t>SON-COT-970</t>
  </si>
  <si>
    <t>SON-COT-1759</t>
  </si>
  <si>
    <t>SON-COT-195</t>
  </si>
  <si>
    <t>155</t>
  </si>
  <si>
    <t>SON-COT-971</t>
  </si>
  <si>
    <t>29.22</t>
  </si>
  <si>
    <t>SON-COT-1760</t>
  </si>
  <si>
    <t>26.85</t>
  </si>
  <si>
    <t>SON-COT-196</t>
  </si>
  <si>
    <t>156</t>
  </si>
  <si>
    <t>SON-COT-972</t>
  </si>
  <si>
    <t>SON-COT-1761</t>
  </si>
  <si>
    <t>SON-COT-197</t>
  </si>
  <si>
    <t>157</t>
  </si>
  <si>
    <t>SON-COT-973</t>
  </si>
  <si>
    <t>SON-COT-1762</t>
  </si>
  <si>
    <t>SON-COT-198</t>
  </si>
  <si>
    <t>158</t>
  </si>
  <si>
    <t>SON-COT-974</t>
  </si>
  <si>
    <t>34.13</t>
  </si>
  <si>
    <t>SON-COT-1763</t>
  </si>
  <si>
    <t>29.26</t>
  </si>
  <si>
    <t>SON-COT-199</t>
  </si>
  <si>
    <t>159</t>
  </si>
  <si>
    <t>SON-COT-975</t>
  </si>
  <si>
    <t>SON-COT-1764</t>
  </si>
  <si>
    <t>31.8</t>
  </si>
  <si>
    <t>SON-COT-200</t>
  </si>
  <si>
    <t>160</t>
  </si>
  <si>
    <t>SON-COT-976</t>
  </si>
  <si>
    <t>29.54</t>
  </si>
  <si>
    <t>SON-COT-1765</t>
  </si>
  <si>
    <t>30.81</t>
  </si>
  <si>
    <t>SON-COT-201</t>
  </si>
  <si>
    <t>161</t>
  </si>
  <si>
    <t>SON-COT-977</t>
  </si>
  <si>
    <t>34.14</t>
  </si>
  <si>
    <t>SON-COT-1766</t>
  </si>
  <si>
    <t>31.35</t>
  </si>
  <si>
    <t>SON-COT-202</t>
  </si>
  <si>
    <t>162</t>
  </si>
  <si>
    <t>SON-COT-978</t>
  </si>
  <si>
    <t>29.9</t>
  </si>
  <si>
    <t>30/07/2019</t>
  </si>
  <si>
    <t>SON-COT-1767</t>
  </si>
  <si>
    <t>SON-COT-203</t>
  </si>
  <si>
    <t>163</t>
  </si>
  <si>
    <t>SON-COT-979</t>
  </si>
  <si>
    <t>SON-COT-1768</t>
  </si>
  <si>
    <t>SON-COT-204</t>
  </si>
  <si>
    <t>164</t>
  </si>
  <si>
    <t>SON-COT-980</t>
  </si>
  <si>
    <t>31.19</t>
  </si>
  <si>
    <t>SON-COT-1769</t>
  </si>
  <si>
    <t>SON-COT-205</t>
  </si>
  <si>
    <t>165</t>
  </si>
  <si>
    <t>SON-COT-981</t>
  </si>
  <si>
    <t>SON-COT-1770</t>
  </si>
  <si>
    <t>SON-COT-206</t>
  </si>
  <si>
    <t>166</t>
  </si>
  <si>
    <t>SON-COT-982</t>
  </si>
  <si>
    <t>SON-COT-1771</t>
  </si>
  <si>
    <t>SON-COT-207</t>
  </si>
  <si>
    <t>167</t>
  </si>
  <si>
    <t>SON-COT-983</t>
  </si>
  <si>
    <t>SON-COT-1772</t>
  </si>
  <si>
    <t>SON-COT-208</t>
  </si>
  <si>
    <t>168</t>
  </si>
  <si>
    <t>SON-COT-984</t>
  </si>
  <si>
    <t>30.27</t>
  </si>
  <si>
    <t>SON-COT-1773</t>
  </si>
  <si>
    <t>29.72</t>
  </si>
  <si>
    <t>SON-COT-209</t>
  </si>
  <si>
    <t>169</t>
  </si>
  <si>
    <t>SON-COT-985</t>
  </si>
  <si>
    <t>30.16</t>
  </si>
  <si>
    <t>SON-COT-1774</t>
  </si>
  <si>
    <t>SON-COT-210</t>
  </si>
  <si>
    <t>170</t>
  </si>
  <si>
    <t>SON-COT-986</t>
  </si>
  <si>
    <t>31.88</t>
  </si>
  <si>
    <t>SON-COT-1775</t>
  </si>
  <si>
    <t>26.64</t>
  </si>
  <si>
    <t>SON-COT-211</t>
  </si>
  <si>
    <t>171</t>
  </si>
  <si>
    <t>SON-COT-987</t>
  </si>
  <si>
    <t>30.18</t>
  </si>
  <si>
    <t>SON-COT-1776</t>
  </si>
  <si>
    <t>30.89</t>
  </si>
  <si>
    <t>SON-COT-212</t>
  </si>
  <si>
    <t>172</t>
  </si>
  <si>
    <t>SON-COT-988</t>
  </si>
  <si>
    <t>SON-COT-1777</t>
  </si>
  <si>
    <t>SON-COT-213</t>
  </si>
  <si>
    <t>173</t>
  </si>
  <si>
    <t>SON-COT-989</t>
  </si>
  <si>
    <t>30.6</t>
  </si>
  <si>
    <t>SON-COT-1778</t>
  </si>
  <si>
    <t>27.98</t>
  </si>
  <si>
    <t>SON-COT-214</t>
  </si>
  <si>
    <t>174</t>
  </si>
  <si>
    <t>SON-COT-990</t>
  </si>
  <si>
    <t>SON-COT-1779</t>
  </si>
  <si>
    <t>SON-COT-215</t>
  </si>
  <si>
    <t>175</t>
  </si>
  <si>
    <t>SON-COT-991</t>
  </si>
  <si>
    <t>29.68</t>
  </si>
  <si>
    <t>SON-COT-1780</t>
  </si>
  <si>
    <t>SON-COT-216</t>
  </si>
  <si>
    <t>176</t>
  </si>
  <si>
    <t>SON-COT-992</t>
  </si>
  <si>
    <t>SON-COT-1781</t>
  </si>
  <si>
    <t>30.7</t>
  </si>
  <si>
    <t>SON-COT-217</t>
  </si>
  <si>
    <t>177</t>
  </si>
  <si>
    <t>SON-COT-993</t>
  </si>
  <si>
    <t>31.56</t>
  </si>
  <si>
    <t>SON-COT-1782</t>
  </si>
  <si>
    <t>30.92</t>
  </si>
  <si>
    <t>SON-COT-218</t>
  </si>
  <si>
    <t>178</t>
  </si>
  <si>
    <t>SON-COT-994</t>
  </si>
  <si>
    <t>SON-COT-1783</t>
  </si>
  <si>
    <t>SON-COT-219</t>
  </si>
  <si>
    <t>179</t>
  </si>
  <si>
    <t>SON-COT-995</t>
  </si>
  <si>
    <t>34.45</t>
  </si>
  <si>
    <t>SON-COT-1784</t>
  </si>
  <si>
    <t>29.35</t>
  </si>
  <si>
    <t>SON-COT-220</t>
  </si>
  <si>
    <t>180</t>
  </si>
  <si>
    <t>SON-COT-996</t>
  </si>
  <si>
    <t>33.63</t>
  </si>
  <si>
    <t>SON-COT-1785</t>
  </si>
  <si>
    <t>SON-COT-221</t>
  </si>
  <si>
    <t>181</t>
  </si>
  <si>
    <t>SON-COT-997</t>
  </si>
  <si>
    <t>29.79</t>
  </si>
  <si>
    <t>SON-COT-1786</t>
  </si>
  <si>
    <t>SON-COT-222</t>
  </si>
  <si>
    <t>182</t>
  </si>
  <si>
    <t>SON-COT-998</t>
  </si>
  <si>
    <t>27.31</t>
  </si>
  <si>
    <t>SON-COT-1787</t>
  </si>
  <si>
    <t>27.88</t>
  </si>
  <si>
    <t>SON-COT-223</t>
  </si>
  <si>
    <t>183</t>
  </si>
  <si>
    <t>SON-COT-999</t>
  </si>
  <si>
    <t>30.28</t>
  </si>
  <si>
    <t>SON-COT-1788</t>
  </si>
  <si>
    <t>28.6</t>
  </si>
  <si>
    <t>SON-COT-224</t>
  </si>
  <si>
    <t>184</t>
  </si>
  <si>
    <t>SON-COT-1000</t>
  </si>
  <si>
    <t>SON-COT-1789</t>
  </si>
  <si>
    <t>33.9</t>
  </si>
  <si>
    <t>SON-COT-225</t>
  </si>
  <si>
    <t>185</t>
  </si>
  <si>
    <t>SON-COT-1001</t>
  </si>
  <si>
    <t>SON-COT-1790</t>
  </si>
  <si>
    <t>SON-COT-226</t>
  </si>
  <si>
    <t>186</t>
  </si>
  <si>
    <t>SON-COT-1002</t>
  </si>
  <si>
    <t>SON-COT-1791</t>
  </si>
  <si>
    <t>SON-COT-027</t>
  </si>
  <si>
    <t>187</t>
  </si>
  <si>
    <t>SON-COT-227</t>
  </si>
  <si>
    <t>SON-COT-1003</t>
  </si>
  <si>
    <t>33.86</t>
  </si>
  <si>
    <t>SON-COT-1792</t>
  </si>
  <si>
    <t>31.33</t>
  </si>
  <si>
    <t>SON-COT-228</t>
  </si>
  <si>
    <t>188</t>
  </si>
  <si>
    <t>SON-COT-1004</t>
  </si>
  <si>
    <t>SON-COT-1793</t>
  </si>
  <si>
    <t>SON-COT-032</t>
  </si>
  <si>
    <t>189</t>
  </si>
  <si>
    <t>SON-COT-229</t>
  </si>
  <si>
    <t>SON-COT-1005</t>
  </si>
  <si>
    <t>SON-COT-1794</t>
  </si>
  <si>
    <t>SON-COT-230</t>
  </si>
  <si>
    <t>190</t>
  </si>
  <si>
    <t>SON-COT-1006</t>
  </si>
  <si>
    <t>SON-COT-1795</t>
  </si>
  <si>
    <t>32.06</t>
  </si>
  <si>
    <t>SON-COT-231</t>
  </si>
  <si>
    <t>191</t>
  </si>
  <si>
    <t>SON-COT-1007</t>
  </si>
  <si>
    <t>SON-COT-1796</t>
  </si>
  <si>
    <t>30.01</t>
  </si>
  <si>
    <t>SON-COT-232</t>
  </si>
  <si>
    <t>192</t>
  </si>
  <si>
    <t>SON-COT-1008</t>
  </si>
  <si>
    <t>SON-COT-1797</t>
  </si>
  <si>
    <t>33.13</t>
  </si>
  <si>
    <t>SON-COT-233</t>
  </si>
  <si>
    <t>193</t>
  </si>
  <si>
    <t>SON-COT-1009</t>
  </si>
  <si>
    <t>SON-COT-1798</t>
  </si>
  <si>
    <t>SON-COT-234</t>
  </si>
  <si>
    <t>194</t>
  </si>
  <si>
    <t>SON-COT-1010</t>
  </si>
  <si>
    <t>29.44</t>
  </si>
  <si>
    <t>SON-COT-1799</t>
  </si>
  <si>
    <t>27.1</t>
  </si>
  <si>
    <t>SON-COT-235</t>
  </si>
  <si>
    <t>195</t>
  </si>
  <si>
    <t>SON-COT-1011</t>
  </si>
  <si>
    <t>33.64</t>
  </si>
  <si>
    <t>SON-COT-1800</t>
  </si>
  <si>
    <t>30.39</t>
  </si>
  <si>
    <t>SON-COT-236</t>
  </si>
  <si>
    <t>196</t>
  </si>
  <si>
    <t>SON-COT-1012</t>
  </si>
  <si>
    <t>SON-COT-1801</t>
  </si>
  <si>
    <t>SON-COT-237</t>
  </si>
  <si>
    <t>197</t>
  </si>
  <si>
    <t>SON-COT-1013</t>
  </si>
  <si>
    <t>30.93</t>
  </si>
  <si>
    <t>SON-COT-1802</t>
  </si>
  <si>
    <t>32.75</t>
  </si>
  <si>
    <t>SON-COT-238</t>
  </si>
  <si>
    <t>198</t>
  </si>
  <si>
    <t>SON-COT-1014</t>
  </si>
  <si>
    <t>34.42</t>
  </si>
  <si>
    <t>SON-COT-1803</t>
  </si>
  <si>
    <t>30.83</t>
  </si>
  <si>
    <t>SON-COT-239</t>
  </si>
  <si>
    <t>199</t>
  </si>
  <si>
    <t>SON-COT-1015</t>
  </si>
  <si>
    <t>SON-COT-1804</t>
  </si>
  <si>
    <t>SON-COT-240</t>
  </si>
  <si>
    <t>200</t>
  </si>
  <si>
    <t>SON-COT-1016</t>
  </si>
  <si>
    <t>33.43</t>
  </si>
  <si>
    <t>SON-COT-1805</t>
  </si>
  <si>
    <t>SON-COT-241</t>
  </si>
  <si>
    <t>201</t>
  </si>
  <si>
    <t>SON-COT-1017</t>
  </si>
  <si>
    <t>32.44</t>
  </si>
  <si>
    <t>SON-COT-1806</t>
  </si>
  <si>
    <t>31.11</t>
  </si>
  <si>
    <t>SON-COT-242</t>
  </si>
  <si>
    <t>202</t>
  </si>
  <si>
    <t>SON-COT-1018</t>
  </si>
  <si>
    <t>34.7</t>
  </si>
  <si>
    <t>SON-COT-1807</t>
  </si>
  <si>
    <t>32.72</t>
  </si>
  <si>
    <t>SON-COT-243</t>
  </si>
  <si>
    <t>203</t>
  </si>
  <si>
    <t>SON-COT-1019</t>
  </si>
  <si>
    <t>SON-COT-1808</t>
  </si>
  <si>
    <t>SON-COT-244</t>
  </si>
  <si>
    <t>204</t>
  </si>
  <si>
    <t>SON-COT-1020</t>
  </si>
  <si>
    <t>32.23</t>
  </si>
  <si>
    <t>SON-COT-1809</t>
  </si>
  <si>
    <t>28.3</t>
  </si>
  <si>
    <t>SON-COT-245</t>
  </si>
  <si>
    <t>205</t>
  </si>
  <si>
    <t>SON-COT-1021</t>
  </si>
  <si>
    <t>SON-COT-1810</t>
  </si>
  <si>
    <t>27.2</t>
  </si>
  <si>
    <t>SON-COT-246</t>
  </si>
  <si>
    <t>206</t>
  </si>
  <si>
    <t>SON-COT-1022</t>
  </si>
  <si>
    <t>30.68</t>
  </si>
  <si>
    <t>SON-COT-1811</t>
  </si>
  <si>
    <t>27.22</t>
  </si>
  <si>
    <t>SON-COT-247</t>
  </si>
  <si>
    <t>207</t>
  </si>
  <si>
    <t>SON-COT-1023</t>
  </si>
  <si>
    <t>27.77</t>
  </si>
  <si>
    <t>SON-COT-1812</t>
  </si>
  <si>
    <t>28.7</t>
  </si>
  <si>
    <t>SON-COT-248</t>
  </si>
  <si>
    <t>208</t>
  </si>
  <si>
    <t>SON-COT-1024</t>
  </si>
  <si>
    <t>30.02</t>
  </si>
  <si>
    <t>SON-COT-1813</t>
  </si>
  <si>
    <t>30.59</t>
  </si>
  <si>
    <t>SON-COT-249</t>
  </si>
  <si>
    <t>209</t>
  </si>
  <si>
    <t>SON-COT-1025</t>
  </si>
  <si>
    <t>SON-COT-1814</t>
  </si>
  <si>
    <t>32.16</t>
  </si>
  <si>
    <t>SON-COT-250</t>
  </si>
  <si>
    <t>210</t>
  </si>
  <si>
    <t>SON-COT-1026</t>
  </si>
  <si>
    <t>28.57</t>
  </si>
  <si>
    <t>SON-COT-1815</t>
  </si>
  <si>
    <t>32.19</t>
  </si>
  <si>
    <t>SON-COT-251</t>
  </si>
  <si>
    <t>211</t>
  </si>
  <si>
    <t>jordi</t>
  </si>
  <si>
    <t>SON-COT-1816</t>
  </si>
  <si>
    <t>32.87</t>
  </si>
  <si>
    <t>SON-COT-252</t>
  </si>
  <si>
    <t>212</t>
  </si>
  <si>
    <t>SON-COT-1817</t>
  </si>
  <si>
    <t>30.34</t>
  </si>
  <si>
    <t>SON-COT-253</t>
  </si>
  <si>
    <t>213</t>
  </si>
  <si>
    <t>SON-COT-1818</t>
  </si>
  <si>
    <t>28.99</t>
  </si>
  <si>
    <t>27/09/2019</t>
  </si>
  <si>
    <t>SON-COT-254</t>
  </si>
  <si>
    <t>214</t>
  </si>
  <si>
    <t>SON-COT-1027</t>
  </si>
  <si>
    <t>29.43</t>
  </si>
  <si>
    <t>SON-COT-1819</t>
  </si>
  <si>
    <t>31.24</t>
  </si>
  <si>
    <t>SON-COT-255</t>
  </si>
  <si>
    <t>215</t>
  </si>
  <si>
    <t>SON-COT-1028</t>
  </si>
  <si>
    <t>SON-COT-1820</t>
  </si>
  <si>
    <t>SON-COT-256</t>
  </si>
  <si>
    <t>216</t>
  </si>
  <si>
    <t>SON-COT-1029</t>
  </si>
  <si>
    <t>SON-COT-1821</t>
  </si>
  <si>
    <t>SON-COT-257</t>
  </si>
  <si>
    <t>217</t>
  </si>
  <si>
    <t>SON-COT-1030</t>
  </si>
  <si>
    <t>34.27</t>
  </si>
  <si>
    <t>SON-COT-1822</t>
  </si>
  <si>
    <t>32.08</t>
  </si>
  <si>
    <t>SON-COT-258</t>
  </si>
  <si>
    <t>218</t>
  </si>
  <si>
    <t>SON-COT-1031</t>
  </si>
  <si>
    <t>SON-COT-1823</t>
  </si>
  <si>
    <t>SON-COT-024</t>
  </si>
  <si>
    <t>219</t>
  </si>
  <si>
    <t>SON-COT-259</t>
  </si>
  <si>
    <t>SON-COT-1032</t>
  </si>
  <si>
    <t>31.34</t>
  </si>
  <si>
    <t>SON-COT-1824</t>
  </si>
  <si>
    <t>28.63</t>
  </si>
  <si>
    <t>SON-COT-007</t>
  </si>
  <si>
    <t>220</t>
  </si>
  <si>
    <t>SON-COT-260</t>
  </si>
  <si>
    <t>SON-COT-1825</t>
  </si>
  <si>
    <t>29.49</t>
  </si>
  <si>
    <t>SON-COT-261</t>
  </si>
  <si>
    <t>221</t>
  </si>
  <si>
    <t>SON-COT-1033</t>
  </si>
  <si>
    <t>29.98</t>
  </si>
  <si>
    <t>SON-COT-1826</t>
  </si>
  <si>
    <t>32.28</t>
  </si>
  <si>
    <t>SON-COT-262</t>
  </si>
  <si>
    <t>222</t>
  </si>
  <si>
    <t>SON-COT-1034</t>
  </si>
  <si>
    <t>SON-COT-1827</t>
  </si>
  <si>
    <t>33.46</t>
  </si>
  <si>
    <t>SON-COT-263</t>
  </si>
  <si>
    <t>223</t>
  </si>
  <si>
    <t>SON-COT-1035</t>
  </si>
  <si>
    <t>SON-COT-1828</t>
  </si>
  <si>
    <t>SON-COT-264</t>
  </si>
  <si>
    <t>224</t>
  </si>
  <si>
    <t>SON-COT-1036</t>
  </si>
  <si>
    <t>SON-COT-1829</t>
  </si>
  <si>
    <t>SON-COT-265</t>
  </si>
  <si>
    <t>225</t>
  </si>
  <si>
    <t>SON-COT-1037</t>
  </si>
  <si>
    <t>SON-COT-1830</t>
  </si>
  <si>
    <t>SON-COT-266</t>
  </si>
  <si>
    <t>226</t>
  </si>
  <si>
    <t>SON-COT-1038</t>
  </si>
  <si>
    <t>SON-COT-1831</t>
  </si>
  <si>
    <t>SON-COT-267</t>
  </si>
  <si>
    <t>227</t>
  </si>
  <si>
    <t>SON-COT-1039</t>
  </si>
  <si>
    <t>33.5</t>
  </si>
  <si>
    <t>SON-COT-1832</t>
  </si>
  <si>
    <t>SON-COT-268</t>
  </si>
  <si>
    <t>228</t>
  </si>
  <si>
    <t>SON-COT-1040</t>
  </si>
  <si>
    <t>SON-COT-1833</t>
  </si>
  <si>
    <t>33.04</t>
  </si>
  <si>
    <t>SON-COT-269</t>
  </si>
  <si>
    <t>229</t>
  </si>
  <si>
    <t>SON-COT-1834</t>
  </si>
  <si>
    <t>SON-COT-270</t>
  </si>
  <si>
    <t>230</t>
  </si>
  <si>
    <t>SON-COT-1041</t>
  </si>
  <si>
    <t>SON-COT-1835</t>
  </si>
  <si>
    <t>SON-COT-271</t>
  </si>
  <si>
    <t>231</t>
  </si>
  <si>
    <t>SON-COT-1836</t>
  </si>
  <si>
    <t>SON-COT-272</t>
  </si>
  <si>
    <t>232</t>
  </si>
  <si>
    <t>SON-COT-1042</t>
  </si>
  <si>
    <t>Jordi</t>
  </si>
  <si>
    <t>SON-COT-1837</t>
  </si>
  <si>
    <t>SON-COT-273</t>
  </si>
  <si>
    <t>233</t>
  </si>
  <si>
    <t>SON-COT-1043</t>
  </si>
  <si>
    <t>SON-COT-1838</t>
  </si>
  <si>
    <t>SON-COT-274</t>
  </si>
  <si>
    <t>234</t>
  </si>
  <si>
    <t>SON-COT-1044</t>
  </si>
  <si>
    <t>SON-COT-1839</t>
  </si>
  <si>
    <t>SON-COT-275</t>
  </si>
  <si>
    <t>235</t>
  </si>
  <si>
    <t>SON-COT-1045</t>
  </si>
  <si>
    <t>SON-COT-1840</t>
  </si>
  <si>
    <t>33.27</t>
  </si>
  <si>
    <t>SON-COT-276</t>
  </si>
  <si>
    <t>236</t>
  </si>
  <si>
    <t>SON-COT-1046</t>
  </si>
  <si>
    <t>31.1</t>
  </si>
  <si>
    <t>SON-COT-1841</t>
  </si>
  <si>
    <t>SON-COT-277</t>
  </si>
  <si>
    <t>237</t>
  </si>
  <si>
    <t>SON-COT-1047</t>
  </si>
  <si>
    <t>SON-COT-1842</t>
  </si>
  <si>
    <t>SON-COT-278</t>
  </si>
  <si>
    <t>238</t>
  </si>
  <si>
    <t>SON-COT-1048</t>
  </si>
  <si>
    <t>SON-COT-1843</t>
  </si>
  <si>
    <t>SON-COT-279</t>
  </si>
  <si>
    <t>239</t>
  </si>
  <si>
    <t>SON-COT-1049</t>
  </si>
  <si>
    <t>SON-COT-1844</t>
  </si>
  <si>
    <t>SON-COT-280</t>
  </si>
  <si>
    <t>240</t>
  </si>
  <si>
    <t>SON-COT-1050</t>
  </si>
  <si>
    <t>SON-COT-1845</t>
  </si>
  <si>
    <t>SON-COT-281</t>
  </si>
  <si>
    <t>241</t>
  </si>
  <si>
    <t>SON-COT-1051</t>
  </si>
  <si>
    <t>SON-COT-1846</t>
  </si>
  <si>
    <t>SON-COT-282</t>
  </si>
  <si>
    <t>242</t>
  </si>
  <si>
    <t>25/06/2019</t>
  </si>
  <si>
    <t>SON-COT-1052</t>
  </si>
  <si>
    <t>SON-COT-1847</t>
  </si>
  <si>
    <t>SON-COT-283</t>
  </si>
  <si>
    <t>243</t>
  </si>
  <si>
    <t>SON-COT-1053</t>
  </si>
  <si>
    <t>SON-COT-1848</t>
  </si>
  <si>
    <t>SON-COT-284</t>
  </si>
  <si>
    <t>244</t>
  </si>
  <si>
    <t>SON-COT-1054</t>
  </si>
  <si>
    <t>SON-COT-1849</t>
  </si>
  <si>
    <t>SON-COT-285</t>
  </si>
  <si>
    <t>245</t>
  </si>
  <si>
    <t>SON-COT-1055</t>
  </si>
  <si>
    <t>30.61</t>
  </si>
  <si>
    <t>SON-COT-1850</t>
  </si>
  <si>
    <t>SON-COT-286</t>
  </si>
  <si>
    <t>246</t>
  </si>
  <si>
    <t>SON-COT-1056</t>
  </si>
  <si>
    <t>SON-COT-1851</t>
  </si>
  <si>
    <t>SON-COT-287</t>
  </si>
  <si>
    <t>247</t>
  </si>
  <si>
    <t>SON-COT-1057</t>
  </si>
  <si>
    <t>SON-COT-1852</t>
  </si>
  <si>
    <t>SON-COT-288</t>
  </si>
  <si>
    <t>248</t>
  </si>
  <si>
    <t>SON-COT-1058</t>
  </si>
  <si>
    <t>28.32</t>
  </si>
  <si>
    <t>SON-COT-1853</t>
  </si>
  <si>
    <t>31.97</t>
  </si>
  <si>
    <t>SON-COT-289</t>
  </si>
  <si>
    <t>249</t>
  </si>
  <si>
    <t>SON-COT-1059</t>
  </si>
  <si>
    <t>SON-COT-1854</t>
  </si>
  <si>
    <t>SON-COT-290</t>
  </si>
  <si>
    <t>250</t>
  </si>
  <si>
    <t>¿?</t>
  </si>
  <si>
    <t>SON-COT-1060</t>
  </si>
  <si>
    <t>SON-COT-1855</t>
  </si>
  <si>
    <t>SON-COT-291</t>
  </si>
  <si>
    <t>251</t>
  </si>
  <si>
    <t>SON-COT-1061</t>
  </si>
  <si>
    <t>30.67</t>
  </si>
  <si>
    <t>SON-COT-1856</t>
  </si>
  <si>
    <t>30.63</t>
  </si>
  <si>
    <t>SON-COT-292</t>
  </si>
  <si>
    <t>252</t>
  </si>
  <si>
    <t>SON-COT-1062</t>
  </si>
  <si>
    <t>30.98</t>
  </si>
  <si>
    <t>SON-COT-1857</t>
  </si>
  <si>
    <t>SON-COT-293</t>
  </si>
  <si>
    <t>253</t>
  </si>
  <si>
    <t>SON-COT-1063</t>
  </si>
  <si>
    <t>SON-COT-1858</t>
  </si>
  <si>
    <t>SON-COT-294</t>
  </si>
  <si>
    <t>254</t>
  </si>
  <si>
    <t>SON-COT-1064</t>
  </si>
  <si>
    <t>SON-COT-1859</t>
  </si>
  <si>
    <t>33.65</t>
  </si>
  <si>
    <t>SON-COT-295</t>
  </si>
  <si>
    <t>255</t>
  </si>
  <si>
    <t>SON-COT-1065</t>
  </si>
  <si>
    <t>SON-COT-1860</t>
  </si>
  <si>
    <t>SON-COT-296</t>
  </si>
  <si>
    <t>256</t>
  </si>
  <si>
    <t>SON-COT-1066</t>
  </si>
  <si>
    <t>SON-COT-1861</t>
  </si>
  <si>
    <t>SON-COT-297</t>
  </si>
  <si>
    <t>257</t>
  </si>
  <si>
    <t>SON-COT-1067</t>
  </si>
  <si>
    <t>34.33</t>
  </si>
  <si>
    <t>SON-COT-1862</t>
  </si>
  <si>
    <t>SON-COT-298</t>
  </si>
  <si>
    <t>258</t>
  </si>
  <si>
    <t>SON-COT-1068</t>
  </si>
  <si>
    <t>SON-COT-1863</t>
  </si>
  <si>
    <t>SON-COT-299</t>
  </si>
  <si>
    <t>259</t>
  </si>
  <si>
    <t>SON-COT-1069</t>
  </si>
  <si>
    <t>SON-COT-1864</t>
  </si>
  <si>
    <t>34.8</t>
  </si>
  <si>
    <t>SON-COT-300</t>
  </si>
  <si>
    <t>260</t>
  </si>
  <si>
    <t>SON-COT-1070</t>
  </si>
  <si>
    <t>SON-COT-1865</t>
  </si>
  <si>
    <t>SON-COT-301</t>
  </si>
  <si>
    <t>261</t>
  </si>
  <si>
    <t>SON-COT-1071</t>
  </si>
  <si>
    <t>SON-COT-1866</t>
  </si>
  <si>
    <t>SON-COT-302</t>
  </si>
  <si>
    <t>262</t>
  </si>
  <si>
    <t>SON-COT-1072</t>
  </si>
  <si>
    <t>SON-COT-1867</t>
  </si>
  <si>
    <t>SON-COT-303</t>
  </si>
  <si>
    <t>263</t>
  </si>
  <si>
    <t>SON-COT-304</t>
  </si>
  <si>
    <t>264</t>
  </si>
  <si>
    <t>SON-COT-1073</t>
  </si>
  <si>
    <t>SON-COT-1868</t>
  </si>
  <si>
    <t>SON-COT-305</t>
  </si>
  <si>
    <t>265</t>
  </si>
  <si>
    <t>SON-COT-1074</t>
  </si>
  <si>
    <t>SON-COT-1869</t>
  </si>
  <si>
    <t>SON-COT-018</t>
  </si>
  <si>
    <t>266</t>
  </si>
  <si>
    <t>SON-COT-306</t>
  </si>
  <si>
    <t>SON-COT-1075</t>
  </si>
  <si>
    <t>SON-COT-1870</t>
  </si>
  <si>
    <t>SON-COT-307</t>
  </si>
  <si>
    <t>267</t>
  </si>
  <si>
    <t>SON-COT-1076</t>
  </si>
  <si>
    <t>28.5</t>
  </si>
  <si>
    <t>SON-COT-1871</t>
  </si>
  <si>
    <t>31.31</t>
  </si>
  <si>
    <t>SON-COT-308</t>
  </si>
  <si>
    <t>268</t>
  </si>
  <si>
    <t>SON-COT-1077</t>
  </si>
  <si>
    <t>33.57</t>
  </si>
  <si>
    <t>SON-COT-1872</t>
  </si>
  <si>
    <t>31.12</t>
  </si>
  <si>
    <t>SON-COT-309</t>
  </si>
  <si>
    <t>269</t>
  </si>
  <si>
    <t>SON-COT-1078</t>
  </si>
  <si>
    <t>SON-COT-1873</t>
  </si>
  <si>
    <t>SON-COT-310</t>
  </si>
  <si>
    <t>270</t>
  </si>
  <si>
    <t>SON-COT-1079</t>
  </si>
  <si>
    <t>33.88</t>
  </si>
  <si>
    <t>SON-COT-1874</t>
  </si>
  <si>
    <t>SON-COT-311</t>
  </si>
  <si>
    <t>271</t>
  </si>
  <si>
    <t>SON-COT-1080</t>
  </si>
  <si>
    <t>SON-COT-1875</t>
  </si>
  <si>
    <t>SON-COT-312</t>
  </si>
  <si>
    <t>272</t>
  </si>
  <si>
    <t>SON-COT-1081</t>
  </si>
  <si>
    <t>SON-COT-1876</t>
  </si>
  <si>
    <t>SON-COT-313</t>
  </si>
  <si>
    <t>273</t>
  </si>
  <si>
    <t>SON-COT-1082</t>
  </si>
  <si>
    <t>SON-COT-1877</t>
  </si>
  <si>
    <t>SON-COT-314</t>
  </si>
  <si>
    <t>274</t>
  </si>
  <si>
    <t>SON-COT-1083</t>
  </si>
  <si>
    <t>SON-COT-1878</t>
  </si>
  <si>
    <t>SON-COT-315</t>
  </si>
  <si>
    <t>275</t>
  </si>
  <si>
    <t>SON-COT-1084</t>
  </si>
  <si>
    <t>35.14</t>
  </si>
  <si>
    <t>SON-COT-1879</t>
  </si>
  <si>
    <t>SON-COT-316</t>
  </si>
  <si>
    <t>276</t>
  </si>
  <si>
    <t>SON-COT-1085</t>
  </si>
  <si>
    <t>SON-COT-1880</t>
  </si>
  <si>
    <t>SON-COT-317</t>
  </si>
  <si>
    <t>277</t>
  </si>
  <si>
    <t>SON-COT-1086</t>
  </si>
  <si>
    <t>SON-COT-318</t>
  </si>
  <si>
    <t>278</t>
  </si>
  <si>
    <t>SON-COT-1087</t>
  </si>
  <si>
    <t>SON-COT-1881</t>
  </si>
  <si>
    <t>SON-COT-319</t>
  </si>
  <si>
    <t>279</t>
  </si>
  <si>
    <t>SON-COT-1088</t>
  </si>
  <si>
    <t>SON-COT-1882</t>
  </si>
  <si>
    <t>SON-COT-320</t>
  </si>
  <si>
    <t>280</t>
  </si>
  <si>
    <t>SON-COT-1089</t>
  </si>
  <si>
    <t>SON-COT-1883</t>
  </si>
  <si>
    <t>SON-COT-321</t>
  </si>
  <si>
    <t>281</t>
  </si>
  <si>
    <t>SON-COT-1090</t>
  </si>
  <si>
    <t>SON-COT-1884</t>
  </si>
  <si>
    <t>SON-COT-322</t>
  </si>
  <si>
    <t>282</t>
  </si>
  <si>
    <t>SON-COT-1091</t>
  </si>
  <si>
    <t>SON-COT-1885</t>
  </si>
  <si>
    <t>SON-COT-323</t>
  </si>
  <si>
    <t>283</t>
  </si>
  <si>
    <t>SON-COT-1092</t>
  </si>
  <si>
    <t>SON-COT-1886</t>
  </si>
  <si>
    <t>SON-COT-324</t>
  </si>
  <si>
    <t>284</t>
  </si>
  <si>
    <t>SON-COT-1093</t>
  </si>
  <si>
    <t>SON-COT-1887</t>
  </si>
  <si>
    <t>SON-COT-325</t>
  </si>
  <si>
    <t>285</t>
  </si>
  <si>
    <t>SON-COT-1094</t>
  </si>
  <si>
    <t>SON-COT-1888</t>
  </si>
  <si>
    <t>SON-COT-326</t>
  </si>
  <si>
    <t>286</t>
  </si>
  <si>
    <t>SON-COT-1095</t>
  </si>
  <si>
    <t>SON-COT-1889</t>
  </si>
  <si>
    <t>SON-COT-327</t>
  </si>
  <si>
    <t>287</t>
  </si>
  <si>
    <t>SON-COT-1096</t>
  </si>
  <si>
    <t>30.47</t>
  </si>
  <si>
    <t>SON-COT-1890</t>
  </si>
  <si>
    <t>34.76</t>
  </si>
  <si>
    <t>SON-COT-328</t>
  </si>
  <si>
    <t>288</t>
  </si>
  <si>
    <t>SON-COT-1097</t>
  </si>
  <si>
    <t>SON-COT-1891</t>
  </si>
  <si>
    <t>SON-COT-329</t>
  </si>
  <si>
    <t>289</t>
  </si>
  <si>
    <t>SON-COT-1098</t>
  </si>
  <si>
    <t>29.96</t>
  </si>
  <si>
    <t>31/07/2019</t>
  </si>
  <si>
    <t>SON-COT-1892</t>
  </si>
  <si>
    <t>34.99</t>
  </si>
  <si>
    <t>SON-COT-330</t>
  </si>
  <si>
    <t>290</t>
  </si>
  <si>
    <t>SON-COT-1099</t>
  </si>
  <si>
    <t>SON-COT-1893</t>
  </si>
  <si>
    <t>SON-COT-331</t>
  </si>
  <si>
    <t>291</t>
  </si>
  <si>
    <t>SON-COT-1100</t>
  </si>
  <si>
    <t>SON-COT-1894</t>
  </si>
  <si>
    <t>SON-COT-332</t>
  </si>
  <si>
    <t>292</t>
  </si>
  <si>
    <t>SON-COT-1101</t>
  </si>
  <si>
    <t>SON-COT-1895</t>
  </si>
  <si>
    <t>SON-COT-333</t>
  </si>
  <si>
    <t>293</t>
  </si>
  <si>
    <t>SON-COT-1102</t>
  </si>
  <si>
    <t>SON-COT-1896</t>
  </si>
  <si>
    <t>30.72</t>
  </si>
  <si>
    <t>SON-COT-334</t>
  </si>
  <si>
    <t>294</t>
  </si>
  <si>
    <t>SON-COT-1103</t>
  </si>
  <si>
    <t>SON-COT-1897</t>
  </si>
  <si>
    <t>SON-COT-335</t>
  </si>
  <si>
    <t>295</t>
  </si>
  <si>
    <t>SON-COT-1104</t>
  </si>
  <si>
    <t>SON-COT-1898</t>
  </si>
  <si>
    <t>SON-COT-336</t>
  </si>
  <si>
    <t>296</t>
  </si>
  <si>
    <t>SON-COT-1105</t>
  </si>
  <si>
    <t>SON-COT-1899</t>
  </si>
  <si>
    <t>SON-COT-337</t>
  </si>
  <si>
    <t>297</t>
  </si>
  <si>
    <t>SON-COT-1106</t>
  </si>
  <si>
    <t>SON-COT-1900</t>
  </si>
  <si>
    <t>SON-COT-338</t>
  </si>
  <si>
    <t>298</t>
  </si>
  <si>
    <t>SON-COT-1107</t>
  </si>
  <si>
    <t>SON-COT-1901</t>
  </si>
  <si>
    <t>SON-COT-034</t>
  </si>
  <si>
    <t>299</t>
  </si>
  <si>
    <t>SON-COT-339</t>
  </si>
  <si>
    <t>SON-COT-1108</t>
  </si>
  <si>
    <t>32.98</t>
  </si>
  <si>
    <t>SON-COT-1902</t>
  </si>
  <si>
    <t>SON-COT-340</t>
  </si>
  <si>
    <t>300</t>
  </si>
  <si>
    <t>SON-COT-1109</t>
  </si>
  <si>
    <t>SON-COT-1903</t>
  </si>
  <si>
    <t>SON-COT-341</t>
  </si>
  <si>
    <t>301</t>
  </si>
  <si>
    <t>SON-COT-1110</t>
  </si>
  <si>
    <t>35.18</t>
  </si>
  <si>
    <t>SON-COT-1904</t>
  </si>
  <si>
    <t>SON-COT-342</t>
  </si>
  <si>
    <t>302</t>
  </si>
  <si>
    <t>SON-COT-1111</t>
  </si>
  <si>
    <t>33.74</t>
  </si>
  <si>
    <t>SON-COT-1905</t>
  </si>
  <si>
    <t>SON-COT-343</t>
  </si>
  <si>
    <t>303</t>
  </si>
  <si>
    <t>SON-COT-1112</t>
  </si>
  <si>
    <t>34.09</t>
  </si>
  <si>
    <t>SON-COT-1906</t>
  </si>
  <si>
    <t>SON-COT-344</t>
  </si>
  <si>
    <t>304</t>
  </si>
  <si>
    <t>SON-COT-1113</t>
  </si>
  <si>
    <t>SON-COT-1907</t>
  </si>
  <si>
    <t>SON-COT-345</t>
  </si>
  <si>
    <t>305</t>
  </si>
  <si>
    <t>SON-COT-1114</t>
  </si>
  <si>
    <t>SON-COT-1908</t>
  </si>
  <si>
    <t>SON-COT-346</t>
  </si>
  <si>
    <t>306</t>
  </si>
  <si>
    <t>SON-COT-1115</t>
  </si>
  <si>
    <t>28.02</t>
  </si>
  <si>
    <t>SON-COT-1909</t>
  </si>
  <si>
    <t>SON-COT-347</t>
  </si>
  <si>
    <t>307</t>
  </si>
  <si>
    <t>SON-COT-1116</t>
  </si>
  <si>
    <t>SON-COT-1910</t>
  </si>
  <si>
    <t>SON-COT-348</t>
  </si>
  <si>
    <t>308</t>
  </si>
  <si>
    <t>SON-COT-1145</t>
  </si>
  <si>
    <t>18/07/2019</t>
  </si>
  <si>
    <t>SON-COT-349</t>
  </si>
  <si>
    <t>309</t>
  </si>
  <si>
    <t>05/06/2019</t>
  </si>
  <si>
    <t>SON-COT-1117</t>
  </si>
  <si>
    <t>SON-COT-1146</t>
  </si>
  <si>
    <t>SON-COT-1911</t>
  </si>
  <si>
    <t>SON-COT-350</t>
  </si>
  <si>
    <t>310</t>
  </si>
  <si>
    <t>SON-COT-1147</t>
  </si>
  <si>
    <t>SON-COT-1912</t>
  </si>
  <si>
    <t>SON-COT-1148</t>
  </si>
  <si>
    <t>311</t>
  </si>
  <si>
    <t>SON-COT-1913</t>
  </si>
  <si>
    <t>SON-COT-351</t>
  </si>
  <si>
    <t>312</t>
  </si>
  <si>
    <t>SON-COT-1149</t>
  </si>
  <si>
    <t>SON-COT-1914</t>
  </si>
  <si>
    <t>SON-COT-352</t>
  </si>
  <si>
    <t>313</t>
  </si>
  <si>
    <t>SON-COT-1150</t>
  </si>
  <si>
    <t>35.41</t>
  </si>
  <si>
    <t>SON-COT-1915</t>
  </si>
  <si>
    <t>SON-COT-353</t>
  </si>
  <si>
    <t>314</t>
  </si>
  <si>
    <t>,</t>
  </si>
  <si>
    <t>SON-COT-1151</t>
  </si>
  <si>
    <t>SON-COT-1916</t>
  </si>
  <si>
    <t>SON-COT-354</t>
  </si>
  <si>
    <t>315</t>
  </si>
  <si>
    <t>SON-COT-1152</t>
  </si>
  <si>
    <t>SON-COT-1917</t>
  </si>
  <si>
    <t>SON-COT-355</t>
  </si>
  <si>
    <t>316</t>
  </si>
  <si>
    <t>SON-COT-1153</t>
  </si>
  <si>
    <t>35.56</t>
  </si>
  <si>
    <t>SON-COT-1918</t>
  </si>
  <si>
    <t>SON-COT-356</t>
  </si>
  <si>
    <t>317</t>
  </si>
  <si>
    <t>SON-COT-1154</t>
  </si>
  <si>
    <t>SON-COT-1919</t>
  </si>
  <si>
    <t>SON-COT-357</t>
  </si>
  <si>
    <t>318</t>
  </si>
  <si>
    <t>SON-COT-1155</t>
  </si>
  <si>
    <t>SON-COT-1920</t>
  </si>
  <si>
    <t>SON-COT-358</t>
  </si>
  <si>
    <t>319</t>
  </si>
  <si>
    <t>SON-COT-1156</t>
  </si>
  <si>
    <t>SON-COT-1921</t>
  </si>
  <si>
    <t>SON-COT-009</t>
  </si>
  <si>
    <t>320</t>
  </si>
  <si>
    <t>SON-COT-359</t>
  </si>
  <si>
    <t>SON-COT-1157</t>
  </si>
  <si>
    <t>SON-COT-1922</t>
  </si>
  <si>
    <t>SON-COT-360</t>
  </si>
  <si>
    <t>321</t>
  </si>
  <si>
    <t>SON-COT-1158</t>
  </si>
  <si>
    <t>SON-COT-1923</t>
  </si>
  <si>
    <t>SON-COT-361</t>
  </si>
  <si>
    <t>322</t>
  </si>
  <si>
    <t>SON-COT-1159</t>
  </si>
  <si>
    <t>SON-COT-1924</t>
  </si>
  <si>
    <t>SON-COT-362</t>
  </si>
  <si>
    <t>323</t>
  </si>
  <si>
    <t>SON-COT-1160</t>
  </si>
  <si>
    <t>28.03</t>
  </si>
  <si>
    <t>SON-COT-1925</t>
  </si>
  <si>
    <t>SON-COT-363</t>
  </si>
  <si>
    <t>324</t>
  </si>
  <si>
    <t>SON-COT-1161</t>
  </si>
  <si>
    <t>33.93</t>
  </si>
  <si>
    <t>SON-COT-1926</t>
  </si>
  <si>
    <t>SON-COT-364</t>
  </si>
  <si>
    <t>325</t>
  </si>
  <si>
    <t>SON-COT-1162</t>
  </si>
  <si>
    <t>SON-COT-1927</t>
  </si>
  <si>
    <t>SON-COT-365</t>
  </si>
  <si>
    <t>326</t>
  </si>
  <si>
    <t>SON-COT-1118</t>
  </si>
  <si>
    <t>30.66</t>
  </si>
  <si>
    <t>SON-COT-1928</t>
  </si>
  <si>
    <t>SON-COT-366</t>
  </si>
  <si>
    <t>327</t>
  </si>
  <si>
    <t>SON-COT-1163</t>
  </si>
  <si>
    <t>32.49</t>
  </si>
  <si>
    <t>SON-COT-1929</t>
  </si>
  <si>
    <t>SON-COT-367</t>
  </si>
  <si>
    <t>328</t>
  </si>
  <si>
    <t>SON-COT-1119</t>
  </si>
  <si>
    <t>30.46</t>
  </si>
  <si>
    <t>SON-COT-1930</t>
  </si>
  <si>
    <t>SON-COT-368</t>
  </si>
  <si>
    <t>329</t>
  </si>
  <si>
    <t>SON-COT-1164</t>
  </si>
  <si>
    <t>27.6</t>
  </si>
  <si>
    <t>SON-COT-1931</t>
  </si>
  <si>
    <t>SON-COT-369</t>
  </si>
  <si>
    <t>330</t>
  </si>
  <si>
    <t>SON-COT-1120</t>
  </si>
  <si>
    <t>SON-COT-1932</t>
  </si>
  <si>
    <t>SON-COT-370</t>
  </si>
  <si>
    <t>331</t>
  </si>
  <si>
    <t>SON-COT-1121</t>
  </si>
  <si>
    <t>SON-COT-371</t>
  </si>
  <si>
    <t>332</t>
  </si>
  <si>
    <t>SON-COT-1122</t>
  </si>
  <si>
    <t>34.08</t>
  </si>
  <si>
    <t>SON-COT-1933</t>
  </si>
  <si>
    <t>SON-COT-372</t>
  </si>
  <si>
    <t>333</t>
  </si>
  <si>
    <t>SON-COT-1934</t>
  </si>
  <si>
    <t>SON-COT-373</t>
  </si>
  <si>
    <t>334</t>
  </si>
  <si>
    <t>SON-COT-1165</t>
  </si>
  <si>
    <t>SON-COT-1935</t>
  </si>
  <si>
    <t>SON-COT-374</t>
  </si>
  <si>
    <t>335</t>
  </si>
  <si>
    <t>SON-COT-1166</t>
  </si>
  <si>
    <t>28.2</t>
  </si>
  <si>
    <t>SON-COT-1936</t>
  </si>
  <si>
    <t>SON-COT-375</t>
  </si>
  <si>
    <t>336</t>
  </si>
  <si>
    <t>SON-COT-1123</t>
  </si>
  <si>
    <t>SON-COT-1937</t>
  </si>
  <si>
    <t>SON-COT-376</t>
  </si>
  <si>
    <t>337</t>
  </si>
  <si>
    <t>SON-COT-1167</t>
  </si>
  <si>
    <t>SON-COT-1938</t>
  </si>
  <si>
    <t>SON-COT-377</t>
  </si>
  <si>
    <t>338</t>
  </si>
  <si>
    <t>SON-COT-1124</t>
  </si>
  <si>
    <t>SON-COT-1939</t>
  </si>
  <si>
    <t>SON-COT-378</t>
  </si>
  <si>
    <t>339</t>
  </si>
  <si>
    <t>SON-COT-1168</t>
  </si>
  <si>
    <t>SON-COT-1940</t>
  </si>
  <si>
    <t>SON-COT-379</t>
  </si>
  <si>
    <t>340</t>
  </si>
  <si>
    <t>SON-COT-1125</t>
  </si>
  <si>
    <t>33.28</t>
  </si>
  <si>
    <t>SON-COT-1941</t>
  </si>
  <si>
    <t>SON-COT-380</t>
  </si>
  <si>
    <t>341</t>
  </si>
  <si>
    <t>SON-COT-1169</t>
  </si>
  <si>
    <t>33.81</t>
  </si>
  <si>
    <t>SON-COT-1942</t>
  </si>
  <si>
    <t>SON-COT-381</t>
  </si>
  <si>
    <t>342</t>
  </si>
  <si>
    <t>SON-COT-1126</t>
  </si>
  <si>
    <t>SON-COT-1943</t>
  </si>
  <si>
    <t>SON-COT-1127</t>
  </si>
  <si>
    <t>343</t>
  </si>
  <si>
    <t>28.43</t>
  </si>
  <si>
    <t>SON-COT-1944</t>
  </si>
  <si>
    <t>SON-COT-382</t>
  </si>
  <si>
    <t>344</t>
  </si>
  <si>
    <t>SON-COT-1128</t>
  </si>
  <si>
    <t>32.4</t>
  </si>
  <si>
    <t>SON-COT-1945</t>
  </si>
  <si>
    <t>SON-COT-383</t>
  </si>
  <si>
    <t>345</t>
  </si>
  <si>
    <t>SON-COT-1129</t>
  </si>
  <si>
    <t>32.63</t>
  </si>
  <si>
    <t>SON-COT-1946</t>
  </si>
  <si>
    <t>SON-COT-384</t>
  </si>
  <si>
    <t>346</t>
  </si>
  <si>
    <t>SON-COT-1130</t>
  </si>
  <si>
    <t>SON-COT-1947</t>
  </si>
  <si>
    <t>SON-COT-385</t>
  </si>
  <si>
    <t>347</t>
  </si>
  <si>
    <t>SON-COT-1131</t>
  </si>
  <si>
    <t>SON-COT-1948</t>
  </si>
  <si>
    <t>SON-COT-386</t>
  </si>
  <si>
    <t>348</t>
  </si>
  <si>
    <t>SON-COT-1132</t>
  </si>
  <si>
    <t>33.32</t>
  </si>
  <si>
    <t>SON-COT-1949</t>
  </si>
  <si>
    <t>SON-COT-387</t>
  </si>
  <si>
    <t>349</t>
  </si>
  <si>
    <t>SON-COT-1133</t>
  </si>
  <si>
    <t>SON-COT-1950</t>
  </si>
  <si>
    <t>SON-COT-388</t>
  </si>
  <si>
    <t>350</t>
  </si>
  <si>
    <t>SON-COT-1134</t>
  </si>
  <si>
    <t>SON-COT-1951</t>
  </si>
  <si>
    <t>SON-COT-389</t>
  </si>
  <si>
    <t>351</t>
  </si>
  <si>
    <t>SON-COT-1135</t>
  </si>
  <si>
    <t>SON-COT-1952</t>
  </si>
  <si>
    <t>SON-COT-390</t>
  </si>
  <si>
    <t>352</t>
  </si>
  <si>
    <t>SON-COT-1136</t>
  </si>
  <si>
    <t>SON-COT-1953</t>
  </si>
  <si>
    <t>SON-COT-391</t>
  </si>
  <si>
    <t>353</t>
  </si>
  <si>
    <t>SON-COT-1137</t>
  </si>
  <si>
    <t>30.22</t>
  </si>
  <si>
    <t>SON-COT-1954</t>
  </si>
  <si>
    <t>SON-COT-392</t>
  </si>
  <si>
    <t>354</t>
  </si>
  <si>
    <t>SON-COT-1138</t>
  </si>
  <si>
    <t>SON-COT-1955</t>
  </si>
  <si>
    <t>SON-COT-393</t>
  </si>
  <si>
    <t>355</t>
  </si>
  <si>
    <t>SON-COT-1139</t>
  </si>
  <si>
    <t>SON-COT-1956</t>
  </si>
  <si>
    <t>SON-COT-394</t>
  </si>
  <si>
    <t>356</t>
  </si>
  <si>
    <t>SON-COT-1140</t>
  </si>
  <si>
    <t>32.29</t>
  </si>
  <si>
    <t>SON-COT-1957</t>
  </si>
  <si>
    <t>SON-COT-395</t>
  </si>
  <si>
    <t>357</t>
  </si>
  <si>
    <t>SON-COT-1141</t>
  </si>
  <si>
    <t>SON-COT-1958</t>
  </si>
  <si>
    <t>SON-COT-396</t>
  </si>
  <si>
    <t>358</t>
  </si>
  <si>
    <t>SON-COT-1142</t>
  </si>
  <si>
    <t>SON-COT-1959</t>
  </si>
  <si>
    <t>SON-COT-397</t>
  </si>
  <si>
    <t>359</t>
  </si>
  <si>
    <t>SON-COT-1143</t>
  </si>
  <si>
    <t>SON-COT-1960</t>
  </si>
  <si>
    <t>SON-COT-398</t>
  </si>
  <si>
    <t>360</t>
  </si>
  <si>
    <t>SON-COT-1144</t>
  </si>
  <si>
    <t>SON-COT-1961</t>
  </si>
  <si>
    <t>SON-COT-399</t>
  </si>
  <si>
    <t>361</t>
  </si>
  <si>
    <t>SON-COT-1170</t>
  </si>
  <si>
    <t>36.46</t>
  </si>
  <si>
    <t>SON-COT-2026</t>
  </si>
  <si>
    <t>SON-COT-400</t>
  </si>
  <si>
    <t>362</t>
  </si>
  <si>
    <t>SON-COT-1171</t>
  </si>
  <si>
    <t>29.97</t>
  </si>
  <si>
    <t>SON-COT-2027</t>
  </si>
  <si>
    <t>SON-COT-401</t>
  </si>
  <si>
    <t>363</t>
  </si>
  <si>
    <t>SON-COT-1172</t>
  </si>
  <si>
    <t>SON-COT-2028</t>
  </si>
  <si>
    <t>SON-COT-402</t>
  </si>
  <si>
    <t>364</t>
  </si>
  <si>
    <t>SON-COT-1173</t>
  </si>
  <si>
    <t>SON-COT-2029</t>
  </si>
  <si>
    <t>SON-COT-403</t>
  </si>
  <si>
    <t>365</t>
  </si>
  <si>
    <t>SON-COT-1174</t>
  </si>
  <si>
    <t>SON-COT-2030</t>
  </si>
  <si>
    <t>SON-COT-404</t>
  </si>
  <si>
    <t>366</t>
  </si>
  <si>
    <t>SON-COT-1175</t>
  </si>
  <si>
    <t>30.51</t>
  </si>
  <si>
    <t>SON-COT-1962</t>
  </si>
  <si>
    <t>SON-COT-405</t>
  </si>
  <si>
    <t>367</t>
  </si>
  <si>
    <t>SON-COT-1176</t>
  </si>
  <si>
    <t>30.17</t>
  </si>
  <si>
    <t>SON-COT-1963</t>
  </si>
  <si>
    <t>SON-COT-008</t>
  </si>
  <si>
    <t>368</t>
  </si>
  <si>
    <t>SON-COT-406</t>
  </si>
  <si>
    <t>SON-COT-1177</t>
  </si>
  <si>
    <t>SON-COT-1964</t>
  </si>
  <si>
    <t>SON-COT-407</t>
  </si>
  <si>
    <t>369</t>
  </si>
  <si>
    <t>SON-COT-1178</t>
  </si>
  <si>
    <t>27.38</t>
  </si>
  <si>
    <t>01/08/2019</t>
  </si>
  <si>
    <t>SON-COT-1965</t>
  </si>
  <si>
    <t>SON-COT-1179</t>
  </si>
  <si>
    <t>370</t>
  </si>
  <si>
    <t>SON-COT-1966</t>
  </si>
  <si>
    <t>SON-COT-408</t>
  </si>
  <si>
    <t>371</t>
  </si>
  <si>
    <t>27/06/209</t>
  </si>
  <si>
    <t>SON-COT-1180</t>
  </si>
  <si>
    <t>29.67</t>
  </si>
  <si>
    <t>SON-COT-1967</t>
  </si>
  <si>
    <t>SON-COT-409</t>
  </si>
  <si>
    <t>372</t>
  </si>
  <si>
    <t>SON-COT-1181</t>
  </si>
  <si>
    <t>SON-COT-1968</t>
  </si>
  <si>
    <t>SON-COT-717</t>
  </si>
  <si>
    <t>373</t>
  </si>
  <si>
    <t>21/06/2019</t>
  </si>
  <si>
    <t>05/07/2019</t>
  </si>
  <si>
    <t>SON-COT-1182</t>
  </si>
  <si>
    <t>34.2</t>
  </si>
  <si>
    <t>SON-COT-1536</t>
  </si>
  <si>
    <t>08/08/2019</t>
  </si>
  <si>
    <t>SON-COT-1969</t>
  </si>
  <si>
    <t>SON-COT-2031</t>
  </si>
  <si>
    <t>SON-COT-1183</t>
  </si>
  <si>
    <t>374</t>
  </si>
  <si>
    <t>SON-COT-1970</t>
  </si>
  <si>
    <t>SON-COT-1184</t>
  </si>
  <si>
    <t>375</t>
  </si>
  <si>
    <t>35.44</t>
  </si>
  <si>
    <t>SON-COT-1971</t>
  </si>
  <si>
    <t>SON-COT-410</t>
  </si>
  <si>
    <t>376</t>
  </si>
  <si>
    <t>SON-COT-1185</t>
  </si>
  <si>
    <t>29.6</t>
  </si>
  <si>
    <t>SON-COT-1972</t>
  </si>
  <si>
    <t>SON-COT-411</t>
  </si>
  <si>
    <t>377</t>
  </si>
  <si>
    <t>SON-COT-1186</t>
  </si>
  <si>
    <t>SON-COT-1973</t>
  </si>
  <si>
    <t>SON-COT-412</t>
  </si>
  <si>
    <t>378</t>
  </si>
  <si>
    <t>SON-COT-1187</t>
  </si>
  <si>
    <t>28.61</t>
  </si>
  <si>
    <t>SON-COT-1974</t>
  </si>
  <si>
    <t>SON-COT-413</t>
  </si>
  <si>
    <t>379</t>
  </si>
  <si>
    <t>SON-COT-1188</t>
  </si>
  <si>
    <t>SON-COT-1975</t>
  </si>
  <si>
    <t>SON-COT-414</t>
  </si>
  <si>
    <t>380</t>
  </si>
  <si>
    <t>SON-COT-1189</t>
  </si>
  <si>
    <t>35.37</t>
  </si>
  <si>
    <t>SON-COT-1976</t>
  </si>
  <si>
    <t>SON-COT-415</t>
  </si>
  <si>
    <t>381</t>
  </si>
  <si>
    <t>SON-COT-1190</t>
  </si>
  <si>
    <t>29.02</t>
  </si>
  <si>
    <t>SON-COT-1977</t>
  </si>
  <si>
    <t>SON-COT-416</t>
  </si>
  <si>
    <t>382</t>
  </si>
  <si>
    <t>SON-COT-1191</t>
  </si>
  <si>
    <t>SON-COT-1978</t>
  </si>
  <si>
    <t>SON-COT-417</t>
  </si>
  <si>
    <t>383</t>
  </si>
  <si>
    <t>SON-COT-1192</t>
  </si>
  <si>
    <t>35.06</t>
  </si>
  <si>
    <t>SON-COT-1979</t>
  </si>
  <si>
    <t>SON-COT-418</t>
  </si>
  <si>
    <t>384</t>
  </si>
  <si>
    <t>SON-COT-1193</t>
  </si>
  <si>
    <t>SON-COT-1980</t>
  </si>
  <si>
    <t>SON-COT-1194</t>
  </si>
  <si>
    <t>385</t>
  </si>
  <si>
    <t>30.88</t>
  </si>
  <si>
    <t>SON-COT-1981</t>
  </si>
  <si>
    <t>SON-COT-419</t>
  </si>
  <si>
    <t>386</t>
  </si>
  <si>
    <t>SON-COT-1195</t>
  </si>
  <si>
    <t>SON-COT-1982</t>
  </si>
  <si>
    <t>SON-COT-420</t>
  </si>
  <si>
    <t>387</t>
  </si>
  <si>
    <t>SON-COT-1196</t>
  </si>
  <si>
    <t>SON-COT-1983</t>
  </si>
  <si>
    <t>SON-COT-421</t>
  </si>
  <si>
    <t>388</t>
  </si>
  <si>
    <t>SON-COT-1197</t>
  </si>
  <si>
    <t>SON-COT-1984</t>
  </si>
  <si>
    <t>SON-COT-422</t>
  </si>
  <si>
    <t>389</t>
  </si>
  <si>
    <t>SON-COT-1198</t>
  </si>
  <si>
    <t>32.32</t>
  </si>
  <si>
    <t>SON-COT-1985</t>
  </si>
  <si>
    <t>SON-COT-423</t>
  </si>
  <si>
    <t>390</t>
  </si>
  <si>
    <t>SON-COT-1199</t>
  </si>
  <si>
    <t>29.3</t>
  </si>
  <si>
    <t>SON-COT-1986</t>
  </si>
  <si>
    <t>SON-COT-424</t>
  </si>
  <si>
    <t>391</t>
  </si>
  <si>
    <t>SON-COT-1200</t>
  </si>
  <si>
    <t>SON-COT-1987</t>
  </si>
  <si>
    <t>SON-COT-425</t>
  </si>
  <si>
    <t>392</t>
  </si>
  <si>
    <t>SON-COT-1201</t>
  </si>
  <si>
    <t>SON-COT-1988</t>
  </si>
  <si>
    <t>SON-COT-426</t>
  </si>
  <si>
    <t>393</t>
  </si>
  <si>
    <t>SON-COT-1202</t>
  </si>
  <si>
    <t>SON-COT-1989</t>
  </si>
  <si>
    <t>SON-COT-427</t>
  </si>
  <si>
    <t>394</t>
  </si>
  <si>
    <t>SON-COT-1203</t>
  </si>
  <si>
    <t>SON-COT-1990</t>
  </si>
  <si>
    <t>SON-COT-428</t>
  </si>
  <si>
    <t>395</t>
  </si>
  <si>
    <t>SON-COT-1204</t>
  </si>
  <si>
    <t>SON-COT-1991</t>
  </si>
  <si>
    <t>SON-COT-429</t>
  </si>
  <si>
    <t>396</t>
  </si>
  <si>
    <t>SON-COT-1205</t>
  </si>
  <si>
    <t>33.98</t>
  </si>
  <si>
    <t>SON-COT-1992</t>
  </si>
  <si>
    <t>SON-COT-026</t>
  </si>
  <si>
    <t>397</t>
  </si>
  <si>
    <t>SON-COT-430</t>
  </si>
  <si>
    <t>SON-COT-1206</t>
  </si>
  <si>
    <t>SON-COT-1993</t>
  </si>
  <si>
    <t>SON-COT-431</t>
  </si>
  <si>
    <t>398</t>
  </si>
  <si>
    <t>SON-COT-1207</t>
  </si>
  <si>
    <t>SON-COT-1994</t>
  </si>
  <si>
    <t>SON-COT-432</t>
  </si>
  <si>
    <t>399</t>
  </si>
  <si>
    <t>SON-COT-1208</t>
  </si>
  <si>
    <t>SON-COT-1995</t>
  </si>
  <si>
    <t>SON-COT-433</t>
  </si>
  <si>
    <t>400</t>
  </si>
  <si>
    <t>SON-COT-1209</t>
  </si>
  <si>
    <t>SON-COT-1996</t>
  </si>
  <si>
    <t>SON-COT-434</t>
  </si>
  <si>
    <t>401</t>
  </si>
  <si>
    <t>SON-COT-1210</t>
  </si>
  <si>
    <t>SON-COT-1997</t>
  </si>
  <si>
    <t>SON-COT-435</t>
  </si>
  <si>
    <t>402</t>
  </si>
  <si>
    <t>SON-COT-1211</t>
  </si>
  <si>
    <t>SON-COT-1998</t>
  </si>
  <si>
    <t>SON-COT-436</t>
  </si>
  <si>
    <t>403</t>
  </si>
  <si>
    <t>SON-COT-1212</t>
  </si>
  <si>
    <t>SON-COT-1999</t>
  </si>
  <si>
    <t>SON-COT-437</t>
  </si>
  <si>
    <t>404</t>
  </si>
  <si>
    <t>SON-COT-1213</t>
  </si>
  <si>
    <t>SON-COT-2000</t>
  </si>
  <si>
    <t>SON-COT-438</t>
  </si>
  <si>
    <t>405</t>
  </si>
  <si>
    <t>redonets</t>
  </si>
  <si>
    <t>SON-COT-1214</t>
  </si>
  <si>
    <t>SON-COT-2001</t>
  </si>
  <si>
    <t>SON-COT-439</t>
  </si>
  <si>
    <t>406</t>
  </si>
  <si>
    <t>SON-COT-1215</t>
  </si>
  <si>
    <t>SON-COT-2002</t>
  </si>
  <si>
    <t>SON-COT-440</t>
  </si>
  <si>
    <t>407</t>
  </si>
  <si>
    <t>SON-COT-1216</t>
  </si>
  <si>
    <t>SON-COT-2003</t>
  </si>
  <si>
    <t>SON-COT-441</t>
  </si>
  <si>
    <t>408</t>
  </si>
  <si>
    <t>SON-COT-1217</t>
  </si>
  <si>
    <t>SON-COT-2004</t>
  </si>
  <si>
    <t>SON-COT-442</t>
  </si>
  <si>
    <t>409</t>
  </si>
  <si>
    <t>SON-COT-1218</t>
  </si>
  <si>
    <t>02/08/2019</t>
  </si>
  <si>
    <t>SON-COT-2005</t>
  </si>
  <si>
    <t>SON-COT-019</t>
  </si>
  <si>
    <t>410</t>
  </si>
  <si>
    <t>SON-COT-443</t>
  </si>
  <si>
    <t>SON-COT-1219</t>
  </si>
  <si>
    <t>SON-COT-2006</t>
  </si>
  <si>
    <t>SON-COT-444</t>
  </si>
  <si>
    <t>411</t>
  </si>
  <si>
    <t>SON-COT-1220</t>
  </si>
  <si>
    <t>SON-COT-2007</t>
  </si>
  <si>
    <t>SON-COT-445</t>
  </si>
  <si>
    <t>412</t>
  </si>
  <si>
    <t>SON-COT-1221</t>
  </si>
  <si>
    <t>SON-COT-2008</t>
  </si>
  <si>
    <t>SON-COT-446</t>
  </si>
  <si>
    <t>413</t>
  </si>
  <si>
    <t>SON-COT-1222</t>
  </si>
  <si>
    <t>SON-COT-2009</t>
  </si>
  <si>
    <t>SON-COT-447</t>
  </si>
  <si>
    <t>414</t>
  </si>
  <si>
    <t>SON-COT-1223</t>
  </si>
  <si>
    <t>SON-COT-2010</t>
  </si>
  <si>
    <t>SON-COT-448</t>
  </si>
  <si>
    <t>415</t>
  </si>
  <si>
    <t>SON-COT-1224</t>
  </si>
  <si>
    <t>SON-COT-2011</t>
  </si>
  <si>
    <t>SON-COT-449</t>
  </si>
  <si>
    <t>416</t>
  </si>
  <si>
    <t>SON-COT-1225</t>
  </si>
  <si>
    <t>SON-COT-2012</t>
  </si>
  <si>
    <t>SON-COT-450</t>
  </si>
  <si>
    <t>417</t>
  </si>
  <si>
    <t>SON-COT-1226</t>
  </si>
  <si>
    <t>SON-COT-2013</t>
  </si>
  <si>
    <t>SON-COT-451</t>
  </si>
  <si>
    <t>418</t>
  </si>
  <si>
    <t>SON-COT-1227</t>
  </si>
  <si>
    <t>SON-COT-2014</t>
  </si>
  <si>
    <t>SON-COT-452</t>
  </si>
  <si>
    <t>419</t>
  </si>
  <si>
    <t>SON-COT-1228</t>
  </si>
  <si>
    <t>SON-COT-2015</t>
  </si>
  <si>
    <t>SON-COT-453</t>
  </si>
  <si>
    <t>420</t>
  </si>
  <si>
    <t>pons</t>
  </si>
  <si>
    <t>SON-COT-1229</t>
  </si>
  <si>
    <t>SON-COT-2016</t>
  </si>
  <si>
    <t>SON-COT-454</t>
  </si>
  <si>
    <t>421</t>
  </si>
  <si>
    <t>SON-COT-1230</t>
  </si>
  <si>
    <t>31.06</t>
  </si>
  <si>
    <t>SON-COT-2017</t>
  </si>
  <si>
    <t>SON-COT-455</t>
  </si>
  <si>
    <t>422</t>
  </si>
  <si>
    <t>SON-COT-1231</t>
  </si>
  <si>
    <t>SON-COT-2018</t>
  </si>
  <si>
    <t>SON-COT-456</t>
  </si>
  <si>
    <t>423</t>
  </si>
  <si>
    <t>SON-COT-1232</t>
  </si>
  <si>
    <t>SON-COT-2019</t>
  </si>
  <si>
    <t>SON-COT-457</t>
  </si>
  <si>
    <t>424</t>
  </si>
  <si>
    <t>SON-COT-1233</t>
  </si>
  <si>
    <t>SON-COT-2020</t>
  </si>
  <si>
    <t>SON-COT-458</t>
  </si>
  <si>
    <t>425</t>
  </si>
  <si>
    <t>SON-COT-1234</t>
  </si>
  <si>
    <t>SON-COT-2021</t>
  </si>
  <si>
    <t>SON-COT-459</t>
  </si>
  <si>
    <t>426</t>
  </si>
  <si>
    <t>SON-COT-1235</t>
  </si>
  <si>
    <t>33.61</t>
  </si>
  <si>
    <t>SON-COT-2022</t>
  </si>
  <si>
    <t>SON-COT-460</t>
  </si>
  <si>
    <t>427</t>
  </si>
  <si>
    <t>SON-COT-1236</t>
  </si>
  <si>
    <t>SON-COT-2023</t>
  </si>
  <si>
    <t>SON-COT-461</t>
  </si>
  <si>
    <t>428</t>
  </si>
  <si>
    <t>SON-COT-1237</t>
  </si>
  <si>
    <t>SON-COT-2024</t>
  </si>
  <si>
    <t>SON-COT-462</t>
  </si>
  <si>
    <t>429</t>
  </si>
  <si>
    <t>SON-COT-2025</t>
  </si>
  <si>
    <t>SON-COT-463</t>
  </si>
  <si>
    <t>430</t>
  </si>
  <si>
    <t>SON-COT-1238</t>
  </si>
  <si>
    <t>28.37</t>
  </si>
  <si>
    <t>SON-COT-2032</t>
  </si>
  <si>
    <t>SON-COT-464</t>
  </si>
  <si>
    <t>431</t>
  </si>
  <si>
    <t>SON-COT-1239</t>
  </si>
  <si>
    <t>SON-COT-2033</t>
  </si>
  <si>
    <t>SON-COT-465</t>
  </si>
  <si>
    <t>432</t>
  </si>
  <si>
    <t>SON-COT-1240</t>
  </si>
  <si>
    <t>SON-COT-1537</t>
  </si>
  <si>
    <t>SON-COT-2034</t>
  </si>
  <si>
    <t>SON-COT-466</t>
  </si>
  <si>
    <t>433</t>
  </si>
  <si>
    <t>SON-COT-1241</t>
  </si>
  <si>
    <t>SON-COT-2035</t>
  </si>
  <si>
    <t>SON-COT-467</t>
  </si>
  <si>
    <t>434</t>
  </si>
  <si>
    <t>SON-COT-1242</t>
  </si>
  <si>
    <t>29.01</t>
  </si>
  <si>
    <t>SON-COT-2036</t>
  </si>
  <si>
    <t>SON-COT-468</t>
  </si>
  <si>
    <t>435</t>
  </si>
  <si>
    <t>SON-COT-1243</t>
  </si>
  <si>
    <t>SON-COT-2037</t>
  </si>
  <si>
    <t>SON-COT-469</t>
  </si>
  <si>
    <t>436</t>
  </si>
  <si>
    <t>SON-COT-2038</t>
  </si>
  <si>
    <t>SON-COT-470</t>
  </si>
  <si>
    <t>437</t>
  </si>
  <si>
    <t>SON-COT-1244</t>
  </si>
  <si>
    <t>SON-COT-2039</t>
  </si>
  <si>
    <t>SON-COT-471</t>
  </si>
  <si>
    <t>438</t>
  </si>
  <si>
    <t>SON-COT-1245</t>
  </si>
  <si>
    <t>SON-COT-2040</t>
  </si>
  <si>
    <t>SON-COT-1246</t>
  </si>
  <si>
    <t>439</t>
  </si>
  <si>
    <t>SON-COT-2041</t>
  </si>
  <si>
    <t>SON-COT-472</t>
  </si>
  <si>
    <t>440</t>
  </si>
  <si>
    <t>SON-COT-1247</t>
  </si>
  <si>
    <t>SON-COT-2042</t>
  </si>
  <si>
    <t>SON-COT-473</t>
  </si>
  <si>
    <t>441</t>
  </si>
  <si>
    <t>SON-COT-1248</t>
  </si>
  <si>
    <t>31.55</t>
  </si>
  <si>
    <t>SON-COT-2043</t>
  </si>
  <si>
    <t>SON-COT-474</t>
  </si>
  <si>
    <t>442</t>
  </si>
  <si>
    <t>SON-COT-1249</t>
  </si>
  <si>
    <t>SON-COT-2044</t>
  </si>
  <si>
    <t>SON-COT-475</t>
  </si>
  <si>
    <t>443</t>
  </si>
  <si>
    <t>SON-COT-1250</t>
  </si>
  <si>
    <t>SON-COT-2045</t>
  </si>
  <si>
    <t>SON-COT-476</t>
  </si>
  <si>
    <t>444</t>
  </si>
  <si>
    <t>SON-COT-1251</t>
  </si>
  <si>
    <t>SON-COT-2046</t>
  </si>
  <si>
    <t>SON-COT-477</t>
  </si>
  <si>
    <t>445</t>
  </si>
  <si>
    <t>SON-COT-1252</t>
  </si>
  <si>
    <t>SON-COT-2047</t>
  </si>
  <si>
    <t>SON-COT-478</t>
  </si>
  <si>
    <t>446</t>
  </si>
  <si>
    <t>SON-COT-1253</t>
  </si>
  <si>
    <t>SON-COT-2048</t>
  </si>
  <si>
    <t>SON-COT-2049</t>
  </si>
  <si>
    <t>SON-COT-479</t>
  </si>
  <si>
    <t>448</t>
  </si>
  <si>
    <t>SON-COT-1254</t>
  </si>
  <si>
    <t>SON-COT-2050</t>
  </si>
  <si>
    <t>SON-COT-480</t>
  </si>
  <si>
    <t>449</t>
  </si>
  <si>
    <t>SON-COT-1255</t>
  </si>
  <si>
    <t>SON-COT-2051</t>
  </si>
  <si>
    <t>SON-COT-481</t>
  </si>
  <si>
    <t>450</t>
  </si>
  <si>
    <t>SON-COT-1256</t>
  </si>
  <si>
    <t>SON-COT-2052</t>
  </si>
  <si>
    <t>SON-COT-1257</t>
  </si>
  <si>
    <t>451</t>
  </si>
  <si>
    <t>33.91</t>
  </si>
  <si>
    <t>SON-COT-2053</t>
  </si>
  <si>
    <t>SON-COT-482</t>
  </si>
  <si>
    <t>452</t>
  </si>
  <si>
    <t>SON-COT-1258</t>
  </si>
  <si>
    <t>SON-COT-2054</t>
  </si>
  <si>
    <t>SON-COT-483</t>
  </si>
  <si>
    <t>453</t>
  </si>
  <si>
    <t>SON-COT-1259</t>
  </si>
  <si>
    <t>34.17</t>
  </si>
  <si>
    <t>SON-COT-2055</t>
  </si>
  <si>
    <t>SON-COT-484</t>
  </si>
  <si>
    <t>454</t>
  </si>
  <si>
    <t>SON-COT-1260</t>
  </si>
  <si>
    <t>SON-COT-2056</t>
  </si>
  <si>
    <t>SON-COT-485</t>
  </si>
  <si>
    <t>455</t>
  </si>
  <si>
    <t>SON-COT-1261</t>
  </si>
  <si>
    <t>SON-COT-2057</t>
  </si>
  <si>
    <t>SON-COT-486</t>
  </si>
  <si>
    <t>456</t>
  </si>
  <si>
    <t>SON-COT-1262</t>
  </si>
  <si>
    <t>SON-COT-2058</t>
  </si>
  <si>
    <t>SON-COT-487</t>
  </si>
  <si>
    <t>457</t>
  </si>
  <si>
    <t>SON-COT-1263</t>
  </si>
  <si>
    <t>SON-COT-2059</t>
  </si>
  <si>
    <t>SON-COT-488</t>
  </si>
  <si>
    <t>458</t>
  </si>
  <si>
    <t>SON-COT-1264</t>
  </si>
  <si>
    <t>SON-COT-2060</t>
  </si>
  <si>
    <t>SON-COT-489</t>
  </si>
  <si>
    <t>459</t>
  </si>
  <si>
    <t>SON-COT-1265</t>
  </si>
  <si>
    <t>SON-COT-2061</t>
  </si>
  <si>
    <t>SON-COT-002</t>
  </si>
  <si>
    <t>460</t>
  </si>
  <si>
    <t>SON-COT-490</t>
  </si>
  <si>
    <t>SON-COT-1266</t>
  </si>
  <si>
    <t>SON-COT-2062</t>
  </si>
  <si>
    <t>SON-COT-491</t>
  </si>
  <si>
    <t>461</t>
  </si>
  <si>
    <t>SON-COT-1267</t>
  </si>
  <si>
    <t>29.39</t>
  </si>
  <si>
    <t>SON-COT-2063</t>
  </si>
  <si>
    <t>SON-COT-492</t>
  </si>
  <si>
    <t>462</t>
  </si>
  <si>
    <t>SON-COT-1268</t>
  </si>
  <si>
    <t>SON-COT-2064</t>
  </si>
  <si>
    <t>SON-COT-493</t>
  </si>
  <si>
    <t>463</t>
  </si>
  <si>
    <t>SON-COT-1269</t>
  </si>
  <si>
    <t>SON-COT-2065</t>
  </si>
  <si>
    <t>SON-COT-494</t>
  </si>
  <si>
    <t>464</t>
  </si>
  <si>
    <t>SON-COT-1270</t>
  </si>
  <si>
    <t>30.12</t>
  </si>
  <si>
    <t>SON-COT-2066</t>
  </si>
  <si>
    <t>SON-COT-495</t>
  </si>
  <si>
    <t>465</t>
  </si>
  <si>
    <t>SON-COT-1271</t>
  </si>
  <si>
    <t>SON-COT-2067</t>
  </si>
  <si>
    <t>SON-COT-1272</t>
  </si>
  <si>
    <t>466</t>
  </si>
  <si>
    <t>SON-COT-2068</t>
  </si>
  <si>
    <t>SON-COT-496</t>
  </si>
  <si>
    <t>467</t>
  </si>
  <si>
    <t>SON-COT-1273</t>
  </si>
  <si>
    <t>34.47</t>
  </si>
  <si>
    <t>SON-COT-2069</t>
  </si>
  <si>
    <t>SON-COT-497</t>
  </si>
  <si>
    <t>468</t>
  </si>
  <si>
    <t>SON-COT-1274</t>
  </si>
  <si>
    <t>35.16</t>
  </si>
  <si>
    <t>SON-COT-2070</t>
  </si>
  <si>
    <t>SON-COT-498</t>
  </si>
  <si>
    <t>469</t>
  </si>
  <si>
    <t>SON-COT-1275</t>
  </si>
  <si>
    <t>SON-COT-2071</t>
  </si>
  <si>
    <t>SON-COT-499</t>
  </si>
  <si>
    <t>470</t>
  </si>
  <si>
    <t>SON-COT-1276</t>
  </si>
  <si>
    <t>SON-COT-2072</t>
  </si>
  <si>
    <t>SON-COT-500</t>
  </si>
  <si>
    <t>471</t>
  </si>
  <si>
    <t>SON-COT-1277</t>
  </si>
  <si>
    <t>SON-COT-2073</t>
  </si>
  <si>
    <t>SON-COT-501</t>
  </si>
  <si>
    <t>472</t>
  </si>
  <si>
    <t>SON-COT-2074</t>
  </si>
  <si>
    <t>SON-COT-502</t>
  </si>
  <si>
    <t>473</t>
  </si>
  <si>
    <t>SON-COT-1278</t>
  </si>
  <si>
    <t>33.25</t>
  </si>
  <si>
    <t>SON-COT-2075</t>
  </si>
  <si>
    <t>SON-COT-503</t>
  </si>
  <si>
    <t>474</t>
  </si>
  <si>
    <t>SON-COT-1279</t>
  </si>
  <si>
    <t>SON-COT-2076</t>
  </si>
  <si>
    <t>SON-COT-504</t>
  </si>
  <si>
    <t>475</t>
  </si>
  <si>
    <t>SON-COT-1280</t>
  </si>
  <si>
    <t>SON-COT-2077</t>
  </si>
  <si>
    <t>SON-COT-505</t>
  </si>
  <si>
    <t>476</t>
  </si>
  <si>
    <t>SON-COT-1281</t>
  </si>
  <si>
    <t>SON-COT-2078</t>
  </si>
  <si>
    <t>SON-COT-506</t>
  </si>
  <si>
    <t>477</t>
  </si>
  <si>
    <t>SON-COT-1282</t>
  </si>
  <si>
    <t>SON-COT-2079</t>
  </si>
  <si>
    <t>SON-COT-507</t>
  </si>
  <si>
    <t>478</t>
  </si>
  <si>
    <t>SON-COT-1283</t>
  </si>
  <si>
    <t>SON-COT-508</t>
  </si>
  <si>
    <t>479</t>
  </si>
  <si>
    <t>SON-COT-1284</t>
  </si>
  <si>
    <t>SON-COT-2080</t>
  </si>
  <si>
    <t>SON-COT-509</t>
  </si>
  <si>
    <t>480</t>
  </si>
  <si>
    <t>SON-COT-1285</t>
  </si>
  <si>
    <t>SON-COT-2081</t>
  </si>
  <si>
    <t>SON-COT-510</t>
  </si>
  <si>
    <t>481</t>
  </si>
  <si>
    <t>SON-COT-1286</t>
  </si>
  <si>
    <t>SON-COT-2082</t>
  </si>
  <si>
    <t>SON-COT-511</t>
  </si>
  <si>
    <t>482</t>
  </si>
  <si>
    <t>SON-COT-1287</t>
  </si>
  <si>
    <t>33.14</t>
  </si>
  <si>
    <t>SON-COT-2083</t>
  </si>
  <si>
    <t>SON-COT-512</t>
  </si>
  <si>
    <t>483</t>
  </si>
  <si>
    <t>SON-COT-2084</t>
  </si>
  <si>
    <t>SON-COT-006</t>
  </si>
  <si>
    <t>484</t>
  </si>
  <si>
    <t>SON-COT-513</t>
  </si>
  <si>
    <t>SON-COT-1288</t>
  </si>
  <si>
    <t>SON-COT-2085</t>
  </si>
  <si>
    <t>SON-COT-514</t>
  </si>
  <si>
    <t>485</t>
  </si>
  <si>
    <t>SON-COT-1289</t>
  </si>
  <si>
    <t>34.73</t>
  </si>
  <si>
    <t>SON-COT-2086</t>
  </si>
  <si>
    <t>SON-COT-515</t>
  </si>
  <si>
    <t>486</t>
  </si>
  <si>
    <t>SON-COT-1290</t>
  </si>
  <si>
    <t>SON-COT-2087</t>
  </si>
  <si>
    <t>SON-COT-516</t>
  </si>
  <si>
    <t>487</t>
  </si>
  <si>
    <t>SON-COT-1291</t>
  </si>
  <si>
    <t>SON-COT-2088</t>
  </si>
  <si>
    <t>SON-COT-517</t>
  </si>
  <si>
    <t>488</t>
  </si>
  <si>
    <t>SON-COT-1292</t>
  </si>
  <si>
    <t>SON-COT-2089</t>
  </si>
  <si>
    <t>SON-COT-518</t>
  </si>
  <si>
    <t>489</t>
  </si>
  <si>
    <t>SON-COT-1293</t>
  </si>
  <si>
    <t>SON-COT-2090</t>
  </si>
  <si>
    <t>SON-COT-519</t>
  </si>
  <si>
    <t>490</t>
  </si>
  <si>
    <t>SON-COT-1294</t>
  </si>
  <si>
    <t>SON-COT-2091</t>
  </si>
  <si>
    <t>SON-COT-520</t>
  </si>
  <si>
    <t>491</t>
  </si>
  <si>
    <t>SON-COT-2092</t>
  </si>
  <si>
    <t>SON-COT-521</t>
  </si>
  <si>
    <t>492</t>
  </si>
  <si>
    <t>SON-COT-1295</t>
  </si>
  <si>
    <t>30.42</t>
  </si>
  <si>
    <t>SON-COT-2093</t>
  </si>
  <si>
    <t>SON-COT-522</t>
  </si>
  <si>
    <t>493</t>
  </si>
  <si>
    <t>SON-COT-1296</t>
  </si>
  <si>
    <t>SON-COT-2094</t>
  </si>
  <si>
    <t>SON-COT-523</t>
  </si>
  <si>
    <t>494</t>
  </si>
  <si>
    <t>SON-COT-1297</t>
  </si>
  <si>
    <t>SON-COT-2095</t>
  </si>
  <si>
    <t>SON-COT-524</t>
  </si>
  <si>
    <t>495</t>
  </si>
  <si>
    <t>SON-COT-1298</t>
  </si>
  <si>
    <t>30.33</t>
  </si>
  <si>
    <t>05/08/2019</t>
  </si>
  <si>
    <t>SON-COT-2096</t>
  </si>
  <si>
    <t>SON-COT-525</t>
  </si>
  <si>
    <t>496</t>
  </si>
  <si>
    <t>SON-COT-1538</t>
  </si>
  <si>
    <t>09/08/2019</t>
  </si>
  <si>
    <t>SON-COT-2097</t>
  </si>
  <si>
    <t>SON-COT-526</t>
  </si>
  <si>
    <t>497</t>
  </si>
  <si>
    <t>SON-COT-1539</t>
  </si>
  <si>
    <t>35.52</t>
  </si>
  <si>
    <t>SON-COT-2098</t>
  </si>
  <si>
    <t>SON-COT-527</t>
  </si>
  <si>
    <t>498</t>
  </si>
  <si>
    <t>SON-COT-1540</t>
  </si>
  <si>
    <t>SON-COT-2099</t>
  </si>
  <si>
    <t>SON-COT-528</t>
  </si>
  <si>
    <t>499</t>
  </si>
  <si>
    <t>SON-COT-1541</t>
  </si>
  <si>
    <t>SON-COT-2100</t>
  </si>
  <si>
    <t>SON-COT-529</t>
  </si>
  <si>
    <t>500</t>
  </si>
  <si>
    <t xml:space="preserve">Ribes </t>
  </si>
  <si>
    <t>SON-COT-1542</t>
  </si>
  <si>
    <t>SON-COT-2101</t>
  </si>
  <si>
    <t>SON-COT-530</t>
  </si>
  <si>
    <t>501</t>
  </si>
  <si>
    <t>SON-COT-1543</t>
  </si>
  <si>
    <t>30.94</t>
  </si>
  <si>
    <t>SON-COT-2102</t>
  </si>
  <si>
    <t>SON-COT-531</t>
  </si>
  <si>
    <t>502</t>
  </si>
  <si>
    <t>SON-COT-1544</t>
  </si>
  <si>
    <t>SON-COT-2103</t>
  </si>
  <si>
    <t>SON-COT-532</t>
  </si>
  <si>
    <t>503</t>
  </si>
  <si>
    <t>SON-COT-1545</t>
  </si>
  <si>
    <t>SON-COT-2104</t>
  </si>
  <si>
    <t>SON-COT-533</t>
  </si>
  <si>
    <t>504</t>
  </si>
  <si>
    <t>SON-COT-1546</t>
  </si>
  <si>
    <t>33.75</t>
  </si>
  <si>
    <t>SON-COT-2105</t>
  </si>
  <si>
    <t>SON-COT-534</t>
  </si>
  <si>
    <t>505</t>
  </si>
  <si>
    <t>SON-COT-1547</t>
  </si>
  <si>
    <t>SON-COT-2106</t>
  </si>
  <si>
    <t>SON-COT-005</t>
  </si>
  <si>
    <t>506</t>
  </si>
  <si>
    <t>SON-COT-535</t>
  </si>
  <si>
    <t>SON-COT-1548</t>
  </si>
  <si>
    <t>SON-COT-2107</t>
  </si>
  <si>
    <t>SON-COT-536</t>
  </si>
  <si>
    <t>507</t>
  </si>
  <si>
    <t>SON-COT-1549</t>
  </si>
  <si>
    <t>SON-COT-2108</t>
  </si>
  <si>
    <t>SON-COT-537</t>
  </si>
  <si>
    <t>508</t>
  </si>
  <si>
    <t>SON-COT-1299</t>
  </si>
  <si>
    <t>SON-COT-1550</t>
  </si>
  <si>
    <t>31.65</t>
  </si>
  <si>
    <t>SON-COT-2109</t>
  </si>
  <si>
    <t>SON-COT-538</t>
  </si>
  <si>
    <t>509</t>
  </si>
  <si>
    <t>SON-COT-1551</t>
  </si>
  <si>
    <t>34.36</t>
  </si>
  <si>
    <t>SON-COT-2110</t>
  </si>
  <si>
    <t>SON-COT-539</t>
  </si>
  <si>
    <t>510</t>
  </si>
  <si>
    <t>SON-COT-1552</t>
  </si>
  <si>
    <t>SON-COT-2111</t>
  </si>
  <si>
    <t>SON-COT-540</t>
  </si>
  <si>
    <t>511</t>
  </si>
  <si>
    <t>SON-COT-1300</t>
  </si>
  <si>
    <t>34.24</t>
  </si>
  <si>
    <t>SON-COT-1553</t>
  </si>
  <si>
    <t>SON-COT-2112</t>
  </si>
  <si>
    <t>SON-COT-541</t>
  </si>
  <si>
    <t>512</t>
  </si>
  <si>
    <t>SON-COT-1301</t>
  </si>
  <si>
    <t>SON-COT-1554</t>
  </si>
  <si>
    <t>31.73</t>
  </si>
  <si>
    <t>SON-COT-2113</t>
  </si>
  <si>
    <t>SON-COT-542</t>
  </si>
  <si>
    <t>513</t>
  </si>
  <si>
    <t>SON-COT-1555</t>
  </si>
  <si>
    <t>SON-COT-2114</t>
  </si>
  <si>
    <t>SON-COT-543</t>
  </si>
  <si>
    <t>514</t>
  </si>
  <si>
    <t>SON-COT-1302</t>
  </si>
  <si>
    <t>SON-COT-2115</t>
  </si>
  <si>
    <t>SON-COT-544</t>
  </si>
  <si>
    <t>515</t>
  </si>
  <si>
    <t>SON-COT-1303</t>
  </si>
  <si>
    <t>SON-COT-2116</t>
  </si>
  <si>
    <t>SON-COT-545</t>
  </si>
  <si>
    <t>516</t>
  </si>
  <si>
    <t>vivot</t>
  </si>
  <si>
    <t>SON-COT-1304</t>
  </si>
  <si>
    <t>SON-COT-1556</t>
  </si>
  <si>
    <t>SON-COT-2117</t>
  </si>
  <si>
    <t>SON-COT-546</t>
  </si>
  <si>
    <t>517</t>
  </si>
  <si>
    <t>SON-COT-1305</t>
  </si>
  <si>
    <t>SON-COT-2118</t>
  </si>
  <si>
    <t>SON-COT-547</t>
  </si>
  <si>
    <t>518</t>
  </si>
  <si>
    <t>SON-COT-1306</t>
  </si>
  <si>
    <t>34.79</t>
  </si>
  <si>
    <t>SON-COT-2119</t>
  </si>
  <si>
    <t>SON-COT-548</t>
  </si>
  <si>
    <t>519</t>
  </si>
  <si>
    <t>SON-COT-1307</t>
  </si>
  <si>
    <t>SON-COT-2120</t>
  </si>
  <si>
    <t>SON-COT-549</t>
  </si>
  <si>
    <t>520</t>
  </si>
  <si>
    <t>04/07/2019</t>
  </si>
  <si>
    <t>SON-COT-1308</t>
  </si>
  <si>
    <t>SON-COT-2121</t>
  </si>
  <si>
    <t>SON-COT-550</t>
  </si>
  <si>
    <t>521</t>
  </si>
  <si>
    <t>SON-COT-1309</t>
  </si>
  <si>
    <t>SON-COT-2122</t>
  </si>
  <si>
    <t>SON-COT-551</t>
  </si>
  <si>
    <t>522</t>
  </si>
  <si>
    <t>SON-COT-1310</t>
  </si>
  <si>
    <t>SON-COT-2123</t>
  </si>
  <si>
    <t>SON-COT-552</t>
  </si>
  <si>
    <t>523</t>
  </si>
  <si>
    <t>SON-COT-1311</t>
  </si>
  <si>
    <t>SON-COT-2124</t>
  </si>
  <si>
    <t>SON-COT-553</t>
  </si>
  <si>
    <t>524</t>
  </si>
  <si>
    <t>SON-COT-1312</t>
  </si>
  <si>
    <t>SON-COT-2125</t>
  </si>
  <si>
    <t>SON-COT-554</t>
  </si>
  <si>
    <t>525</t>
  </si>
  <si>
    <t>SON-COT-1313</t>
  </si>
  <si>
    <t>SON-COT-2126</t>
  </si>
  <si>
    <t>SON-COT-555</t>
  </si>
  <si>
    <t>526</t>
  </si>
  <si>
    <t>SON-COT-1314</t>
  </si>
  <si>
    <t>SON-COT-2127</t>
  </si>
  <si>
    <t>SON-COT-556</t>
  </si>
  <si>
    <t>527</t>
  </si>
  <si>
    <t>SON-COT-1315</t>
  </si>
  <si>
    <t>SON-COT-2128</t>
  </si>
  <si>
    <t>SON-COT-1316</t>
  </si>
  <si>
    <t>528</t>
  </si>
  <si>
    <t>SON-COT-2129</t>
  </si>
  <si>
    <t>SON-COT-557</t>
  </si>
  <si>
    <t>529</t>
  </si>
  <si>
    <t>SON-COT-1317</t>
  </si>
  <si>
    <t>SON-COT-2130</t>
  </si>
  <si>
    <t>SON-COT-558</t>
  </si>
  <si>
    <t>530</t>
  </si>
  <si>
    <t>SON-COT-1318</t>
  </si>
  <si>
    <t>SON-COT-2131</t>
  </si>
  <si>
    <t>SON-COT-559</t>
  </si>
  <si>
    <t>531</t>
  </si>
  <si>
    <t>SON-COT-1319</t>
  </si>
  <si>
    <t>34.74</t>
  </si>
  <si>
    <t>SON-COT-2132</t>
  </si>
  <si>
    <t>SON-COT-560</t>
  </si>
  <si>
    <t>532</t>
  </si>
  <si>
    <t>SON-COT-1320</t>
  </si>
  <si>
    <t>SON-COT-2133</t>
  </si>
  <si>
    <t>SON-COT-561</t>
  </si>
  <si>
    <t>533</t>
  </si>
  <si>
    <t>SON-COT-1321</t>
  </si>
  <si>
    <t>30.86</t>
  </si>
  <si>
    <t>SON-COT-2134</t>
  </si>
  <si>
    <t>SON-COT-562</t>
  </si>
  <si>
    <t>534</t>
  </si>
  <si>
    <t>SON-COT-1322</t>
  </si>
  <si>
    <t>SON-COT-2135</t>
  </si>
  <si>
    <t>SON-COT-563</t>
  </si>
  <si>
    <t>535</t>
  </si>
  <si>
    <t>SON-COT-1557</t>
  </si>
  <si>
    <t>SON-COT-2136</t>
  </si>
  <si>
    <t>SON-COT-564</t>
  </si>
  <si>
    <t>536</t>
  </si>
  <si>
    <t>SON-COT-1558</t>
  </si>
  <si>
    <t>33.76</t>
  </si>
  <si>
    <t>SON-COT-2137</t>
  </si>
  <si>
    <t>SON-COT-565</t>
  </si>
  <si>
    <t>537</t>
  </si>
  <si>
    <t>SON-COT-1559</t>
  </si>
  <si>
    <t>SON-COT-2138</t>
  </si>
  <si>
    <t>SON-COT-1323</t>
  </si>
  <si>
    <t>538</t>
  </si>
  <si>
    <t>SON-COT-2139</t>
  </si>
  <si>
    <t>SON-COT-566</t>
  </si>
  <si>
    <t>539</t>
  </si>
  <si>
    <t>SON-COT-1324</t>
  </si>
  <si>
    <t>31.51</t>
  </si>
  <si>
    <t>SON-COT-2140</t>
  </si>
  <si>
    <t>SON-COT-567</t>
  </si>
  <si>
    <t>540</t>
  </si>
  <si>
    <t>SON-COT-1325</t>
  </si>
  <si>
    <t>SON-COT-2141</t>
  </si>
  <si>
    <t>SON-COT-568</t>
  </si>
  <si>
    <t>541</t>
  </si>
  <si>
    <t>SON-COT-1326</t>
  </si>
  <si>
    <t>SON-COT-2142</t>
  </si>
  <si>
    <t>SON-COT-569</t>
  </si>
  <si>
    <t>542</t>
  </si>
  <si>
    <t>SON-COT-1327</t>
  </si>
  <si>
    <t>SON-COT-2143</t>
  </si>
  <si>
    <t>SON-COT-570</t>
  </si>
  <si>
    <t>543</t>
  </si>
  <si>
    <t>SON-COT-1328</t>
  </si>
  <si>
    <t>SON-COT-2144</t>
  </si>
  <si>
    <t>SON-COT-571</t>
  </si>
  <si>
    <t>544</t>
  </si>
  <si>
    <t>SON-COT-1329</t>
  </si>
  <si>
    <t>SON-COT-2145</t>
  </si>
  <si>
    <t>SON-COT-572</t>
  </si>
  <si>
    <t>545</t>
  </si>
  <si>
    <t>SON-COT-1330</t>
  </si>
  <si>
    <t>SON-COT-2146</t>
  </si>
  <si>
    <t>SON-COT-573</t>
  </si>
  <si>
    <t>546</t>
  </si>
  <si>
    <t>SON-COT-1331</t>
  </si>
  <si>
    <t>SON-COT-2147</t>
  </si>
  <si>
    <t>SON-COT-1332</t>
  </si>
  <si>
    <t>547</t>
  </si>
  <si>
    <t>SON-COT-2148</t>
  </si>
  <si>
    <t>SON-COT-574</t>
  </si>
  <si>
    <t>549</t>
  </si>
  <si>
    <t>SON-COT-1333</t>
  </si>
  <si>
    <t>SON-COT-2149</t>
  </si>
  <si>
    <t>SON-COT-1334</t>
  </si>
  <si>
    <t>550</t>
  </si>
  <si>
    <t>SON-COT-2150</t>
  </si>
  <si>
    <t>SON-COT-575</t>
  </si>
  <si>
    <t>551</t>
  </si>
  <si>
    <t>SON-COT-1560</t>
  </si>
  <si>
    <t>SON-COT-2151</t>
  </si>
  <si>
    <t>SON-COT-576</t>
  </si>
  <si>
    <t>552</t>
  </si>
  <si>
    <t>SON-COT-1561</t>
  </si>
  <si>
    <t>35.59</t>
  </si>
  <si>
    <t>SON-COT-2152</t>
  </si>
  <si>
    <t>SON-COT-577</t>
  </si>
  <si>
    <t>553</t>
  </si>
  <si>
    <t>SON-COT-1562</t>
  </si>
  <si>
    <t>SON-COT-2153</t>
  </si>
  <si>
    <t>SON-COT-578</t>
  </si>
  <si>
    <t>554</t>
  </si>
  <si>
    <t>SON-COT-1563</t>
  </si>
  <si>
    <t>SON-COT-2154</t>
  </si>
  <si>
    <t>SON-COT-579</t>
  </si>
  <si>
    <t>555</t>
  </si>
  <si>
    <t>SON-COT-1335</t>
  </si>
  <si>
    <t>SON-COT-2155</t>
  </si>
  <si>
    <t>SON-COT-580</t>
  </si>
  <si>
    <t>556</t>
  </si>
  <si>
    <t>SON-COT-1336</t>
  </si>
  <si>
    <t>31.52</t>
  </si>
  <si>
    <t>SON-COT-2156</t>
  </si>
  <si>
    <t>SON-COT-581</t>
  </si>
  <si>
    <t>557</t>
  </si>
  <si>
    <t>SON-COT-1337</t>
  </si>
  <si>
    <t>36.22</t>
  </si>
  <si>
    <t>SON-COT-2157</t>
  </si>
  <si>
    <t>SON-COT-582</t>
  </si>
  <si>
    <t>558</t>
  </si>
  <si>
    <t>SON-COT-1338</t>
  </si>
  <si>
    <t>SON-COT-2158</t>
  </si>
  <si>
    <t>SON-COT-583</t>
  </si>
  <si>
    <t>559</t>
  </si>
  <si>
    <t>SON-COT-1339</t>
  </si>
  <si>
    <t>31.4</t>
  </si>
  <si>
    <t>SON-COT-2159</t>
  </si>
  <si>
    <t>SON-COT-584</t>
  </si>
  <si>
    <t>560</t>
  </si>
  <si>
    <t>SON-COT-618</t>
  </si>
  <si>
    <t>SON-COT-1340</t>
  </si>
  <si>
    <t>31.21</t>
  </si>
  <si>
    <t>SON-COT-2160</t>
  </si>
  <si>
    <t>SON-COT-585</t>
  </si>
  <si>
    <t>561</t>
  </si>
  <si>
    <t>SON-COT-1341</t>
  </si>
  <si>
    <t>SON-COT-2161</t>
  </si>
  <si>
    <t>SON-COT-586</t>
  </si>
  <si>
    <t>562</t>
  </si>
  <si>
    <t>SON-COT-1564</t>
  </si>
  <si>
    <t>SON-COT-2162</t>
  </si>
  <si>
    <t>SON-COT-1565</t>
  </si>
  <si>
    <t>563</t>
  </si>
  <si>
    <t>SON-COT-619</t>
  </si>
  <si>
    <t>564</t>
  </si>
  <si>
    <t>Porrereta</t>
  </si>
  <si>
    <t>SON-COT-1566</t>
  </si>
  <si>
    <t>SON-COT-2163</t>
  </si>
  <si>
    <t>SON-COT-620</t>
  </si>
  <si>
    <t>565</t>
  </si>
  <si>
    <t>SON-COT-1567</t>
  </si>
  <si>
    <t>SON-COT-2164</t>
  </si>
  <si>
    <t>SON-COT-621</t>
  </si>
  <si>
    <t>566</t>
  </si>
  <si>
    <t>SON-COT-1342</t>
  </si>
  <si>
    <t>30.58</t>
  </si>
  <si>
    <t>SON-COT-2165</t>
  </si>
  <si>
    <t>SON-COT-015</t>
  </si>
  <si>
    <t>567</t>
  </si>
  <si>
    <t>SON-COT-622</t>
  </si>
  <si>
    <t>SON-COT-1343</t>
  </si>
  <si>
    <t>SON-COT-2166</t>
  </si>
  <si>
    <t>SON-COT-623</t>
  </si>
  <si>
    <t>568</t>
  </si>
  <si>
    <t>SON-COT-1344</t>
  </si>
  <si>
    <t>SON-COT-2167</t>
  </si>
  <si>
    <t>SON-COT-624</t>
  </si>
  <si>
    <t>569</t>
  </si>
  <si>
    <t>SON-COT-1345</t>
  </si>
  <si>
    <t>SON-COT-1435</t>
  </si>
  <si>
    <t>24/07/2019</t>
  </si>
  <si>
    <t>07/08/2019</t>
  </si>
  <si>
    <t>SON-COT-2168</t>
  </si>
  <si>
    <t>SON-COT-625</t>
  </si>
  <si>
    <t>570</t>
  </si>
  <si>
    <t>SON-COT-1346</t>
  </si>
  <si>
    <t>SON-COT-2169</t>
  </si>
  <si>
    <t>SON-COT-626</t>
  </si>
  <si>
    <t>571</t>
  </si>
  <si>
    <t>SON-COT-1347</t>
  </si>
  <si>
    <t>SON-COT-2170</t>
  </si>
  <si>
    <t>SON-COT-627</t>
  </si>
  <si>
    <t>572</t>
  </si>
  <si>
    <t>SON-COT-1348</t>
  </si>
  <si>
    <t>SON-COT-2171</t>
  </si>
  <si>
    <t>SON-COT-628</t>
  </si>
  <si>
    <t>573</t>
  </si>
  <si>
    <t>SON-COT-1349</t>
  </si>
  <si>
    <t>33.2</t>
  </si>
  <si>
    <t>SON-COT-2172</t>
  </si>
  <si>
    <t>SON-COT-1350</t>
  </si>
  <si>
    <t>574</t>
  </si>
  <si>
    <t>SON-COT-2173</t>
  </si>
  <si>
    <t>SON-COT-629</t>
  </si>
  <si>
    <t>SON-COT-630</t>
  </si>
  <si>
    <t>575</t>
  </si>
  <si>
    <t>SON-COT-1351</t>
  </si>
  <si>
    <t>32.92</t>
  </si>
  <si>
    <t>SON-COT-2174</t>
  </si>
  <si>
    <t>SON-COT-631</t>
  </si>
  <si>
    <t>576</t>
  </si>
  <si>
    <t>SON-COT-1352</t>
  </si>
  <si>
    <t>SON-COT-2175</t>
  </si>
  <si>
    <t>SON-COT-632</t>
  </si>
  <si>
    <t>577</t>
  </si>
  <si>
    <t>SON-COT-1353</t>
  </si>
  <si>
    <t>SON-COT-2176</t>
  </si>
  <si>
    <t>SON-COT-1354</t>
  </si>
  <si>
    <t>578</t>
  </si>
  <si>
    <t>SON-COT-633</t>
  </si>
  <si>
    <t>579</t>
  </si>
  <si>
    <t>SON-COT-1355</t>
  </si>
  <si>
    <t>SON-COT-634</t>
  </si>
  <si>
    <t>580</t>
  </si>
  <si>
    <t>SON-COT-1568</t>
  </si>
  <si>
    <t>33.18</t>
  </si>
  <si>
    <t>SON-COT-2177</t>
  </si>
  <si>
    <t>SON-COT-635</t>
  </si>
  <si>
    <t>581</t>
  </si>
  <si>
    <t>SON-COT-1569</t>
  </si>
  <si>
    <t>33.52</t>
  </si>
  <si>
    <t>SON-COT-2178</t>
  </si>
  <si>
    <t>SON-COT-636</t>
  </si>
  <si>
    <t>582</t>
  </si>
  <si>
    <t>SON-COT-1570</t>
  </si>
  <si>
    <t>34.55</t>
  </si>
  <si>
    <t>SON-COT-2179</t>
  </si>
  <si>
    <t>SON-COT-637</t>
  </si>
  <si>
    <t>583</t>
  </si>
  <si>
    <t>SON-COT-1571</t>
  </si>
  <si>
    <t>34.4</t>
  </si>
  <si>
    <t>SON-COT-2180</t>
  </si>
  <si>
    <t>SON-COT-718</t>
  </si>
  <si>
    <t>584</t>
  </si>
  <si>
    <t>SON-COT-1436</t>
  </si>
  <si>
    <t>SON-COT-2181</t>
  </si>
  <si>
    <t>SON-COT-012</t>
  </si>
  <si>
    <t>585</t>
  </si>
  <si>
    <t>SON-COT-719</t>
  </si>
  <si>
    <t>SON-COT-1437</t>
  </si>
  <si>
    <t>SON-COT-2182</t>
  </si>
  <si>
    <t>SON-COT-720</t>
  </si>
  <si>
    <t>586</t>
  </si>
  <si>
    <t>SON-COT-1438</t>
  </si>
  <si>
    <t>27.14</t>
  </si>
  <si>
    <t>SON-COT-2183</t>
  </si>
  <si>
    <t>SON-COT-721</t>
  </si>
  <si>
    <t>587</t>
  </si>
  <si>
    <t>SON-COT-1439</t>
  </si>
  <si>
    <t>27.66</t>
  </si>
  <si>
    <t>SON-COT-2184</t>
  </si>
  <si>
    <t>SON-COT-638</t>
  </si>
  <si>
    <t>588</t>
  </si>
  <si>
    <t>SON-COT-722</t>
  </si>
  <si>
    <t>SON-COT-1440</t>
  </si>
  <si>
    <t>SON-COT-2185</t>
  </si>
  <si>
    <t>SON-COT-723</t>
  </si>
  <si>
    <t>589</t>
  </si>
  <si>
    <t>SON-COT-2186</t>
  </si>
  <si>
    <t>SON-COT-724</t>
  </si>
  <si>
    <t>590</t>
  </si>
  <si>
    <t>SON-COT-1441</t>
  </si>
  <si>
    <t>33.12</t>
  </si>
  <si>
    <t>SON-COT-2187</t>
  </si>
  <si>
    <t>SON-COT-725</t>
  </si>
  <si>
    <t>591</t>
  </si>
  <si>
    <t>SON-COT-1442</t>
  </si>
  <si>
    <t>24.47</t>
  </si>
  <si>
    <t>SON-COT-2188</t>
  </si>
  <si>
    <t>SON-COT-726</t>
  </si>
  <si>
    <t>592</t>
  </si>
  <si>
    <t>SON-COT-1443</t>
  </si>
  <si>
    <t>SON-COT-2189</t>
  </si>
  <si>
    <t>SON-COT-020</t>
  </si>
  <si>
    <t>593</t>
  </si>
  <si>
    <t>SON-COT-727</t>
  </si>
  <si>
    <t>SON-COT-2190</t>
  </si>
  <si>
    <t>SON-COT-728</t>
  </si>
  <si>
    <t>594</t>
  </si>
  <si>
    <t>SON-COT-1444</t>
  </si>
  <si>
    <t>SON-COT-2191</t>
  </si>
  <si>
    <t>SON-COT-729</t>
  </si>
  <si>
    <t>595</t>
  </si>
  <si>
    <t>SON-COT-1445</t>
  </si>
  <si>
    <t>SON-COT-2192</t>
  </si>
  <si>
    <t>SON-COT-730</t>
  </si>
  <si>
    <t>596</t>
  </si>
  <si>
    <t>SON-COT-1446</t>
  </si>
  <si>
    <t>SON-COT-2193</t>
  </si>
  <si>
    <t>SON-COT-731</t>
  </si>
  <si>
    <t>597</t>
  </si>
  <si>
    <t>SON-COT-1447</t>
  </si>
  <si>
    <t>SON-COT-2194</t>
  </si>
  <si>
    <t>SON-COT-732</t>
  </si>
  <si>
    <t>598</t>
  </si>
  <si>
    <t>SON-COT-1448</t>
  </si>
  <si>
    <t>34.25</t>
  </si>
  <si>
    <t>SON-COT-2195</t>
  </si>
  <si>
    <t>SON-COT-733</t>
  </si>
  <si>
    <t>599</t>
  </si>
  <si>
    <t>SON-COT-1449</t>
  </si>
  <si>
    <t>SON-COT-2196</t>
  </si>
  <si>
    <t>SON-COT-734</t>
  </si>
  <si>
    <t>600</t>
  </si>
  <si>
    <t>SON-COT-1450</t>
  </si>
  <si>
    <t>SON-COT-2197</t>
  </si>
  <si>
    <t>SON-COT-735</t>
  </si>
  <si>
    <t>601</t>
  </si>
  <si>
    <t>SON-COT-1451</t>
  </si>
  <si>
    <t>36.37</t>
  </si>
  <si>
    <t>SON-COT-2198</t>
  </si>
  <si>
    <t>SON-COT-736</t>
  </si>
  <si>
    <t>602</t>
  </si>
  <si>
    <t>SON-COT-1452</t>
  </si>
  <si>
    <t>SON-COT-2199</t>
  </si>
  <si>
    <t>SON-COT-737</t>
  </si>
  <si>
    <t>603</t>
  </si>
  <si>
    <t>SON-COT-1453</t>
  </si>
  <si>
    <t>SON-COT-2200</t>
  </si>
  <si>
    <t>SON-COT-738</t>
  </si>
  <si>
    <t>604</t>
  </si>
  <si>
    <t>SON-COT-1454</t>
  </si>
  <si>
    <t>SON-COT-2201</t>
  </si>
  <si>
    <t>SON-COT-739</t>
  </si>
  <si>
    <t>605</t>
  </si>
  <si>
    <t>SON-COT-1455</t>
  </si>
  <si>
    <t>SON-COT-2202</t>
  </si>
  <si>
    <t>SON-COT-740</t>
  </si>
  <si>
    <t>606</t>
  </si>
  <si>
    <t>SON-COT-1456</t>
  </si>
  <si>
    <t>28.35</t>
  </si>
  <si>
    <t>SON-COT-2203</t>
  </si>
  <si>
    <t>SON-COT-021</t>
  </si>
  <si>
    <t>607</t>
  </si>
  <si>
    <t>SON-COT-741</t>
  </si>
  <si>
    <t>SON-COT-1457</t>
  </si>
  <si>
    <t>31.14</t>
  </si>
  <si>
    <t>SON-COT-2204</t>
  </si>
  <si>
    <t>SON-COT-639</t>
  </si>
  <si>
    <t>608</t>
  </si>
  <si>
    <t>SON-COT-1606</t>
  </si>
  <si>
    <t>SON-COT-2205</t>
  </si>
  <si>
    <t>SON-COT-640</t>
  </si>
  <si>
    <t>609</t>
  </si>
  <si>
    <t>SON-COT-1572</t>
  </si>
  <si>
    <t>34.63</t>
  </si>
  <si>
    <t>SON-COT-2206</t>
  </si>
  <si>
    <t>SON-COT-641</t>
  </si>
  <si>
    <t>610</t>
  </si>
  <si>
    <t>SON-COT-1573</t>
  </si>
  <si>
    <t>33.7</t>
  </si>
  <si>
    <t>SON-COT-2207</t>
  </si>
  <si>
    <t>SON-COT-642</t>
  </si>
  <si>
    <t>611</t>
  </si>
  <si>
    <t>SON-COT-1574</t>
  </si>
  <si>
    <t>35.24</t>
  </si>
  <si>
    <t>SON-COT-2208</t>
  </si>
  <si>
    <t>SON-COT-643</t>
  </si>
  <si>
    <t>612</t>
  </si>
  <si>
    <t>SON-COT-1356</t>
  </si>
  <si>
    <t>34.85</t>
  </si>
  <si>
    <t>SON-COT-2209</t>
  </si>
  <si>
    <t>SON-COT-644</t>
  </si>
  <si>
    <t>613</t>
  </si>
  <si>
    <t>SON-COT-1357</t>
  </si>
  <si>
    <t>SON-COT-2210</t>
  </si>
  <si>
    <t>SON-COT-645</t>
  </si>
  <si>
    <t>614</t>
  </si>
  <si>
    <t>SON-COT-1358</t>
  </si>
  <si>
    <t>SON-COT-2211</t>
  </si>
  <si>
    <t>SON-COT-646</t>
  </si>
  <si>
    <t>615</t>
  </si>
  <si>
    <t>SON-COT-1359</t>
  </si>
  <si>
    <t>SON-COT-2212</t>
  </si>
  <si>
    <t>SON-COT-003</t>
  </si>
  <si>
    <t>616</t>
  </si>
  <si>
    <t>SON-COT-647</t>
  </si>
  <si>
    <t>SON-COT-1360</t>
  </si>
  <si>
    <t>SON-COT-648</t>
  </si>
  <si>
    <t>617</t>
  </si>
  <si>
    <t>SON-COT-1361</t>
  </si>
  <si>
    <t>32.18</t>
  </si>
  <si>
    <t>SON-COT-2213</t>
  </si>
  <si>
    <t>SON-COT-649</t>
  </si>
  <si>
    <t>618</t>
  </si>
  <si>
    <t>SON-COT-1362</t>
  </si>
  <si>
    <t>SON-COT-2214</t>
  </si>
  <si>
    <t>SON-COT-650</t>
  </si>
  <si>
    <t>619</t>
  </si>
  <si>
    <t>SON-COT-1363</t>
  </si>
  <si>
    <t>34.29</t>
  </si>
  <si>
    <t>SON-COT-2215</t>
  </si>
  <si>
    <t>SON-COT-651</t>
  </si>
  <si>
    <t>620</t>
  </si>
  <si>
    <t>SON-COT-1364</t>
  </si>
  <si>
    <t>35.29</t>
  </si>
  <si>
    <t>SON-COT-2216</t>
  </si>
  <si>
    <t>SON-COT-652</t>
  </si>
  <si>
    <t>621</t>
  </si>
  <si>
    <t>SON-COT-1365</t>
  </si>
  <si>
    <t>SON-COT-2217</t>
  </si>
  <si>
    <t>SON-COT-653</t>
  </si>
  <si>
    <t>622</t>
  </si>
  <si>
    <t>SON-COT-1366</t>
  </si>
  <si>
    <t>SON-COT-2218</t>
  </si>
  <si>
    <t>SON-COT-654</t>
  </si>
  <si>
    <t>623</t>
  </si>
  <si>
    <t>SON-COT-1367</t>
  </si>
  <si>
    <t>36.23</t>
  </si>
  <si>
    <t>SON-COT-2219</t>
  </si>
  <si>
    <t>SON-COT-004</t>
  </si>
  <si>
    <t>624</t>
  </si>
  <si>
    <t>SON-COT-655</t>
  </si>
  <si>
    <t>SON-COT-1368</t>
  </si>
  <si>
    <t>SON-COT-2220</t>
  </si>
  <si>
    <t>SON-COT-656</t>
  </si>
  <si>
    <t>625</t>
  </si>
  <si>
    <t>SON-COT-1369</t>
  </si>
  <si>
    <t>SON-COT-2221</t>
  </si>
  <si>
    <t>SON-COT-657</t>
  </si>
  <si>
    <t>626</t>
  </si>
  <si>
    <t>SON-COT-1458</t>
  </si>
  <si>
    <t>SON-COT-2222</t>
  </si>
  <si>
    <t>SON-COT-658</t>
  </si>
  <si>
    <t>627</t>
  </si>
  <si>
    <t>SON-COT-1459</t>
  </si>
  <si>
    <t>33,74</t>
  </si>
  <si>
    <t>SON-COT-2223</t>
  </si>
  <si>
    <t>SON-COT-659</t>
  </si>
  <si>
    <t>628</t>
  </si>
  <si>
    <t>SON-COT-1460</t>
  </si>
  <si>
    <t>SON-COT-2224</t>
  </si>
  <si>
    <t>SON-COT-660</t>
  </si>
  <si>
    <t>629</t>
  </si>
  <si>
    <t>SON-COT-1461</t>
  </si>
  <si>
    <t>SON-COT-2225</t>
  </si>
  <si>
    <t>SON-COT-661</t>
  </si>
  <si>
    <t>630</t>
  </si>
  <si>
    <t>SON-COT-1462</t>
  </si>
  <si>
    <t>SON-COT-2226</t>
  </si>
  <si>
    <t>SON-COT-662</t>
  </si>
  <si>
    <t>631</t>
  </si>
  <si>
    <t>SON-COT-1463</t>
  </si>
  <si>
    <t>SON-COT-2227</t>
  </si>
  <si>
    <t>SON-COT-663</t>
  </si>
  <si>
    <t>632</t>
  </si>
  <si>
    <t>SON-COT-1464</t>
  </si>
  <si>
    <t>SON-COT-2228</t>
  </si>
  <si>
    <t>SON-COT-664</t>
  </si>
  <si>
    <t>633</t>
  </si>
  <si>
    <t>SON-COT-1465</t>
  </si>
  <si>
    <t>SON-COT-2229</t>
  </si>
  <si>
    <t>SON-COT-665</t>
  </si>
  <si>
    <t>634</t>
  </si>
  <si>
    <t>SON-COT-1466</t>
  </si>
  <si>
    <t>SON-COT-2230</t>
  </si>
  <si>
    <t>SON-COT-011</t>
  </si>
  <si>
    <t>635</t>
  </si>
  <si>
    <t>SON-COT-742</t>
  </si>
  <si>
    <t>SON-COT-743</t>
  </si>
  <si>
    <t>636</t>
  </si>
  <si>
    <t>SON-COT-1467</t>
  </si>
  <si>
    <t>34.28</t>
  </si>
  <si>
    <t>SON-COT-2231</t>
  </si>
  <si>
    <t>SON-COT-744</t>
  </si>
  <si>
    <t>637</t>
  </si>
  <si>
    <t>SON-COT-1468</t>
  </si>
  <si>
    <t>SON-COT-2232</t>
  </si>
  <si>
    <t>SON-COT-745</t>
  </si>
  <si>
    <t>638</t>
  </si>
  <si>
    <t>SON-COT-1469</t>
  </si>
  <si>
    <t>SON-COT-2233</t>
  </si>
  <si>
    <t>SON-COT-746</t>
  </si>
  <si>
    <t>639</t>
  </si>
  <si>
    <t>SON-COT-1470</t>
  </si>
  <si>
    <t>SON-COT-2234</t>
  </si>
  <si>
    <t>SON-COT-666</t>
  </si>
  <si>
    <t>640</t>
  </si>
  <si>
    <t>SON-COT-1471</t>
  </si>
  <si>
    <t>SON-COT-2235</t>
  </si>
  <si>
    <t>SON-COT-1472</t>
  </si>
  <si>
    <t>641</t>
  </si>
  <si>
    <t>SON-COT-2236</t>
  </si>
  <si>
    <t>SON-COT-747</t>
  </si>
  <si>
    <t>642</t>
  </si>
  <si>
    <t>SON-COT-1473</t>
  </si>
  <si>
    <t>32.45</t>
  </si>
  <si>
    <t>SON-COT-2237</t>
  </si>
  <si>
    <t>SON-COT-748</t>
  </si>
  <si>
    <t>643</t>
  </si>
  <si>
    <t>SON-COT-1474</t>
  </si>
  <si>
    <t>32.57</t>
  </si>
  <si>
    <t>SON-COT-2238</t>
  </si>
  <si>
    <t>SON-COT-587</t>
  </si>
  <si>
    <t>644</t>
  </si>
  <si>
    <t>SON-COT-1370</t>
  </si>
  <si>
    <t>33.82</t>
  </si>
  <si>
    <t>SON-COT-1575</t>
  </si>
  <si>
    <t>34.87</t>
  </si>
  <si>
    <t>SON-COT-588</t>
  </si>
  <si>
    <t>645</t>
  </si>
  <si>
    <t>SON-COT-1371</t>
  </si>
  <si>
    <t>34.57</t>
  </si>
  <si>
    <t>SON-COT-2239</t>
  </si>
  <si>
    <t>SON-COT-589</t>
  </si>
  <si>
    <t>646</t>
  </si>
  <si>
    <t>SON-COT-1372</t>
  </si>
  <si>
    <t>SON-COT-1576</t>
  </si>
  <si>
    <t>SON-COT-001</t>
  </si>
  <si>
    <t>647</t>
  </si>
  <si>
    <t>morro de vaca</t>
  </si>
  <si>
    <t>SON-COT-590</t>
  </si>
  <si>
    <t>SON-COT-1373</t>
  </si>
  <si>
    <t>SON-COT-2240</t>
  </si>
  <si>
    <t>SON-COT-1374</t>
  </si>
  <si>
    <t>648</t>
  </si>
  <si>
    <t>SON-COT-2241</t>
  </si>
  <si>
    <t>SON-COT-591</t>
  </si>
  <si>
    <t>649</t>
  </si>
  <si>
    <t>SON-COT-1375</t>
  </si>
  <si>
    <t>SON-COT-2242</t>
  </si>
  <si>
    <t>SON-COT-592</t>
  </si>
  <si>
    <t>650</t>
  </si>
  <si>
    <t>SON-COT-1376</t>
  </si>
  <si>
    <t>SON-COT-2243</t>
  </si>
  <si>
    <t>SON-COT-593</t>
  </si>
  <si>
    <t>651</t>
  </si>
  <si>
    <t>SON-COT-1377</t>
  </si>
  <si>
    <t>SON-COT-2244</t>
  </si>
  <si>
    <t>SON-COT-594</t>
  </si>
  <si>
    <t>652</t>
  </si>
  <si>
    <t>SON-COT-1378</t>
  </si>
  <si>
    <t>30.14</t>
  </si>
  <si>
    <t>SON-COT-2245</t>
  </si>
  <si>
    <t>SON-COT-595</t>
  </si>
  <si>
    <t>653</t>
  </si>
  <si>
    <t>SON-COT-1379</t>
  </si>
  <si>
    <t>35.12</t>
  </si>
  <si>
    <t>SON-COT-2246</t>
  </si>
  <si>
    <t>SON-COT-1380</t>
  </si>
  <si>
    <t>654</t>
  </si>
  <si>
    <t>SON-COT-2247</t>
  </si>
  <si>
    <t>SON-COT-596</t>
  </si>
  <si>
    <t>655</t>
  </si>
  <si>
    <t>SON-COT-1381</t>
  </si>
  <si>
    <t>SON-COT-2248</t>
  </si>
  <si>
    <t>SON-COT-597</t>
  </si>
  <si>
    <t>656</t>
  </si>
  <si>
    <t>SON-COT-1382</t>
  </si>
  <si>
    <t>28.48</t>
  </si>
  <si>
    <t>SON-COT-2249</t>
  </si>
  <si>
    <t>SON-COT-598</t>
  </si>
  <si>
    <t>657</t>
  </si>
  <si>
    <t>SON-COT-1383</t>
  </si>
  <si>
    <t>SON-COT-2250</t>
  </si>
  <si>
    <t>SON-COT-599</t>
  </si>
  <si>
    <t>658</t>
  </si>
  <si>
    <t>SON-COT-1384</t>
  </si>
  <si>
    <t>SON-COT-2251</t>
  </si>
  <si>
    <t>SON-COT-600</t>
  </si>
  <si>
    <t>659</t>
  </si>
  <si>
    <t>SON-COT-1385</t>
  </si>
  <si>
    <t>SON-COT-2252</t>
  </si>
  <si>
    <t>SON-COT-601</t>
  </si>
  <si>
    <t>660</t>
  </si>
  <si>
    <t>SON-COT-1386</t>
  </si>
  <si>
    <t>34.69</t>
  </si>
  <si>
    <t>SON-COT-2253</t>
  </si>
  <si>
    <t>SON-COT-602</t>
  </si>
  <si>
    <t>661</t>
  </si>
  <si>
    <t>SON-COT-1387</t>
  </si>
  <si>
    <t>SON-COT-2254</t>
  </si>
  <si>
    <t>SON-COT-603</t>
  </si>
  <si>
    <t>662</t>
  </si>
  <si>
    <t>SON-COT-1388</t>
  </si>
  <si>
    <t>SON-COT-2255</t>
  </si>
  <si>
    <t>SON-COT-604</t>
  </si>
  <si>
    <t>663</t>
  </si>
  <si>
    <t>SON-COT-1389</t>
  </si>
  <si>
    <t>36.21</t>
  </si>
  <si>
    <t>SON-COT-2256</t>
  </si>
  <si>
    <t>SON-COT-605</t>
  </si>
  <si>
    <t>664</t>
  </si>
  <si>
    <t>SON-COT-1390</t>
  </si>
  <si>
    <t>SON-COT-2257</t>
  </si>
  <si>
    <t>SON-COT-606</t>
  </si>
  <si>
    <t>665</t>
  </si>
  <si>
    <t>SON-COT-1391</t>
  </si>
  <si>
    <t>SON-COT-2258</t>
  </si>
  <si>
    <t>SON-COT-607</t>
  </si>
  <si>
    <t>666</t>
  </si>
  <si>
    <t>SON-COT-1392</t>
  </si>
  <si>
    <t>SON-COT-2259</t>
  </si>
  <si>
    <t>SON-COT-608</t>
  </si>
  <si>
    <t>667</t>
  </si>
  <si>
    <t>SON-COT-1393</t>
  </si>
  <si>
    <t>35.82</t>
  </si>
  <si>
    <t>SON-COT-2260</t>
  </si>
  <si>
    <t>SON-COT-609</t>
  </si>
  <si>
    <t>668</t>
  </si>
  <si>
    <t>SON-COT-1394</t>
  </si>
  <si>
    <t>34.05</t>
  </si>
  <si>
    <t>SON-COT-2261</t>
  </si>
  <si>
    <t>SON-COT-610</t>
  </si>
  <si>
    <t>669</t>
  </si>
  <si>
    <t>SON-COT-1395</t>
  </si>
  <si>
    <t>SON-COT-2262</t>
  </si>
  <si>
    <t>SON-COT-611</t>
  </si>
  <si>
    <t>670</t>
  </si>
  <si>
    <t>SON-COT-1396</t>
  </si>
  <si>
    <t>SON-COT-2263</t>
  </si>
  <si>
    <t>SON-COT-749</t>
  </si>
  <si>
    <t>671</t>
  </si>
  <si>
    <t>SON-COT-1475</t>
  </si>
  <si>
    <t>SON-COT-2264</t>
  </si>
  <si>
    <t>SON-COT-750</t>
  </si>
  <si>
    <t>672</t>
  </si>
  <si>
    <t>09/07/2019</t>
  </si>
  <si>
    <t>SON-COT-1476</t>
  </si>
  <si>
    <t>29.87</t>
  </si>
  <si>
    <t>SON-COT-2265</t>
  </si>
  <si>
    <t>SON-COT-751</t>
  </si>
  <si>
    <t>673</t>
  </si>
  <si>
    <t>SON-COT-1477</t>
  </si>
  <si>
    <t>27.02</t>
  </si>
  <si>
    <t>SON-COT-2266</t>
  </si>
  <si>
    <t>SON-COT-752</t>
  </si>
  <si>
    <t>674</t>
  </si>
  <si>
    <t>SON-COT-1478</t>
  </si>
  <si>
    <t>SON-COT-2267</t>
  </si>
  <si>
    <t>SON-COT-753</t>
  </si>
  <si>
    <t>675</t>
  </si>
  <si>
    <t>SON-COT-1479</t>
  </si>
  <si>
    <t>SON-COT-2268</t>
  </si>
  <si>
    <t>SON-COT-754</t>
  </si>
  <si>
    <t>676</t>
  </si>
  <si>
    <t>SON-COT-1480</t>
  </si>
  <si>
    <t>SON-COT-2269</t>
  </si>
  <si>
    <t>SON-COT-755</t>
  </si>
  <si>
    <t>677</t>
  </si>
  <si>
    <t>SON-COT-1481</t>
  </si>
  <si>
    <t>SON-COT-2270</t>
  </si>
  <si>
    <t>SON-COT-756</t>
  </si>
  <si>
    <t>678</t>
  </si>
  <si>
    <t>SON-COT-1482</t>
  </si>
  <si>
    <t>SON-COT-2271</t>
  </si>
  <si>
    <t>SON-COT-757</t>
  </si>
  <si>
    <t>679</t>
  </si>
  <si>
    <t>SON-COT-1483</t>
  </si>
  <si>
    <t>SON-COT-2272</t>
  </si>
  <si>
    <t>SON-COT-758</t>
  </si>
  <si>
    <t>680</t>
  </si>
  <si>
    <t>SON-COT-1484</t>
  </si>
  <si>
    <t>SON-COT-2273</t>
  </si>
  <si>
    <t>SON-COT-759</t>
  </si>
  <si>
    <t>681</t>
  </si>
  <si>
    <t>SON-COT-2274</t>
  </si>
  <si>
    <t>SON-COT-1485</t>
  </si>
  <si>
    <t>682</t>
  </si>
  <si>
    <t>32.38</t>
  </si>
  <si>
    <t>SON-COT-760</t>
  </si>
  <si>
    <t>683</t>
  </si>
  <si>
    <t>SON-COT-1486</t>
  </si>
  <si>
    <t>34.59</t>
  </si>
  <si>
    <t>SON-COT-2275</t>
  </si>
  <si>
    <t>SON-COT-761</t>
  </si>
  <si>
    <t>684</t>
  </si>
  <si>
    <t>SON-COT-1487</t>
  </si>
  <si>
    <t>SON-COT-2276</t>
  </si>
  <si>
    <t>SON-COT-762</t>
  </si>
  <si>
    <t>685</t>
  </si>
  <si>
    <t>SON-COT-1488</t>
  </si>
  <si>
    <t>SON-COT-2277</t>
  </si>
  <si>
    <t>SON-COT-612</t>
  </si>
  <si>
    <t>686</t>
  </si>
  <si>
    <t>SON-COT-1577</t>
  </si>
  <si>
    <t>SON-COT-2278</t>
  </si>
  <si>
    <t>SON-COT-613</t>
  </si>
  <si>
    <t>687</t>
  </si>
  <si>
    <t>Vivot</t>
  </si>
  <si>
    <t>SON-COT-1578</t>
  </si>
  <si>
    <t xml:space="preserve">Vivot </t>
  </si>
  <si>
    <t>SON-COT-2279</t>
  </si>
  <si>
    <t>SON-COT-614</t>
  </si>
  <si>
    <t>688</t>
  </si>
  <si>
    <t>SON-COT-1579</t>
  </si>
  <si>
    <t>SON-COT-2280</t>
  </si>
  <si>
    <t>SON-COT-667</t>
  </si>
  <si>
    <t>689</t>
  </si>
  <si>
    <t>SON-COT-1580</t>
  </si>
  <si>
    <t>SON-COT-2281</t>
  </si>
  <si>
    <t>SON-COT-615</t>
  </si>
  <si>
    <t>690</t>
  </si>
  <si>
    <t>SON-COT-1581</t>
  </si>
  <si>
    <t>SON-COT-2282</t>
  </si>
  <si>
    <t>SON-COT-616</t>
  </si>
  <si>
    <t>691</t>
  </si>
  <si>
    <t>SON-COT-668</t>
  </si>
  <si>
    <t>SON-COT-1582</t>
  </si>
  <si>
    <t>29.16</t>
  </si>
  <si>
    <t>SON-COT-2283</t>
  </si>
  <si>
    <t>SON-COT-617</t>
  </si>
  <si>
    <t>692</t>
  </si>
  <si>
    <t>SON-COT-1583</t>
  </si>
  <si>
    <t>SON-COT-2284</t>
  </si>
  <si>
    <t>SON-COT-1584</t>
  </si>
  <si>
    <t>693</t>
  </si>
  <si>
    <t>SON-COT-2285</t>
  </si>
  <si>
    <t>SON-COT-669</t>
  </si>
  <si>
    <t>694</t>
  </si>
  <si>
    <t>SON-COT-1585</t>
  </si>
  <si>
    <t>SON-COT-2286</t>
  </si>
  <si>
    <t>SON-COT-763</t>
  </si>
  <si>
    <t>695</t>
  </si>
  <si>
    <t>SON-COT-1489</t>
  </si>
  <si>
    <t>SON-COT-2287</t>
  </si>
  <si>
    <t>SON-COT-764</t>
  </si>
  <si>
    <t>696</t>
  </si>
  <si>
    <t>SON-COT-1490</t>
  </si>
  <si>
    <t>SON-COT-2288</t>
  </si>
  <si>
    <t>SON-COT-765</t>
  </si>
  <si>
    <t>697</t>
  </si>
  <si>
    <t xml:space="preserve">Canaleta </t>
  </si>
  <si>
    <t>SON-COT-1491</t>
  </si>
  <si>
    <t>SON-COT-2289</t>
  </si>
  <si>
    <t>SON-COT-766</t>
  </si>
  <si>
    <t>698</t>
  </si>
  <si>
    <t>SON-COT-1492</t>
  </si>
  <si>
    <t>SON-COT-2290</t>
  </si>
  <si>
    <t>SON-COT-767</t>
  </si>
  <si>
    <t>699</t>
  </si>
  <si>
    <t>SON-COT-1493</t>
  </si>
  <si>
    <t>32.37</t>
  </si>
  <si>
    <t>SON-COT-2291</t>
  </si>
  <si>
    <t>SON-COT-768</t>
  </si>
  <si>
    <t>700</t>
  </si>
  <si>
    <t>SON-COT-1494</t>
  </si>
  <si>
    <t>SON-COT-2292</t>
  </si>
  <si>
    <t>SON-COT-769</t>
  </si>
  <si>
    <t>701</t>
  </si>
  <si>
    <t>SON-COT-1495</t>
  </si>
  <si>
    <t>34.86</t>
  </si>
  <si>
    <t>SON-COT-2293</t>
  </si>
  <si>
    <t>SON-COT-770</t>
  </si>
  <si>
    <t>702</t>
  </si>
  <si>
    <t>SON-COT-1496</t>
  </si>
  <si>
    <t>SON-COT-2294</t>
  </si>
  <si>
    <t>SON-COT-771</t>
  </si>
  <si>
    <t>703</t>
  </si>
  <si>
    <t>SON-COT-1497</t>
  </si>
  <si>
    <t>SON-COT-2295</t>
  </si>
  <si>
    <t>SON-COT-772</t>
  </si>
  <si>
    <t>704</t>
  </si>
  <si>
    <t>SON-COT-1498</t>
  </si>
  <si>
    <t>SON-COT-2296</t>
  </si>
  <si>
    <t>SON-COT-773</t>
  </si>
  <si>
    <t>705</t>
  </si>
  <si>
    <t>SON-COT-1499</t>
  </si>
  <si>
    <t>SON-COT-2297</t>
  </si>
  <si>
    <t>SON-COT-774</t>
  </si>
  <si>
    <t>706</t>
  </si>
  <si>
    <t>SON-COT-1500</t>
  </si>
  <si>
    <t>SON-COT-2298</t>
  </si>
  <si>
    <t>SON-COT-775</t>
  </si>
  <si>
    <t>707</t>
  </si>
  <si>
    <t>SON-COT-1501</t>
  </si>
  <si>
    <t>SON-COT-2299</t>
  </si>
  <si>
    <t>SON-COT-776</t>
  </si>
  <si>
    <t>708</t>
  </si>
  <si>
    <t>SON-COT-1502</t>
  </si>
  <si>
    <t>SON-COT-2300</t>
  </si>
  <si>
    <t>SON-COT-777</t>
  </si>
  <si>
    <t>709</t>
  </si>
  <si>
    <t>SON-COT-1503</t>
  </si>
  <si>
    <t>SON-COT-2301</t>
  </si>
  <si>
    <t>SON-COT-778</t>
  </si>
  <si>
    <t>710</t>
  </si>
  <si>
    <t>SON-COT-1504</t>
  </si>
  <si>
    <t>SON-COT-2302</t>
  </si>
  <si>
    <t>SON-COT-779</t>
  </si>
  <si>
    <t>711</t>
  </si>
  <si>
    <t>SON-COT-1505</t>
  </si>
  <si>
    <t>SON-COT-2303</t>
  </si>
  <si>
    <t>SON-COT-780</t>
  </si>
  <si>
    <t>712</t>
  </si>
  <si>
    <t>SON-COT-1506</t>
  </si>
  <si>
    <t>35.5</t>
  </si>
  <si>
    <t>SON-COT-2304</t>
  </si>
  <si>
    <t>SON-COT-781</t>
  </si>
  <si>
    <t>713</t>
  </si>
  <si>
    <t>SON-COT-1507</t>
  </si>
  <si>
    <t>33.44</t>
  </si>
  <si>
    <t>SON-COT-2305</t>
  </si>
  <si>
    <t>SON-COT-782</t>
  </si>
  <si>
    <t>714</t>
  </si>
  <si>
    <t>SON-COT-1508</t>
  </si>
  <si>
    <t>33.71</t>
  </si>
  <si>
    <t>SON-COT-2306</t>
  </si>
  <si>
    <t>SON-COT-783</t>
  </si>
  <si>
    <t>715</t>
  </si>
  <si>
    <t>SON-COT-1509</t>
  </si>
  <si>
    <t>34.52</t>
  </si>
  <si>
    <t>SON-COT-2307</t>
  </si>
  <si>
    <t>SON-COT-784</t>
  </si>
  <si>
    <t>716</t>
  </si>
  <si>
    <t>SON-COT-1510</t>
  </si>
  <si>
    <t>SON-COT-2308</t>
  </si>
  <si>
    <t>SON-COT-785</t>
  </si>
  <si>
    <t>717</t>
  </si>
  <si>
    <t>SON-COT-1511</t>
  </si>
  <si>
    <t>SON-COT-2309</t>
  </si>
  <si>
    <t>SON-COT-1512</t>
  </si>
  <si>
    <t>718</t>
  </si>
  <si>
    <t>SON-COT-2310</t>
  </si>
  <si>
    <t>SON-COT-786</t>
  </si>
  <si>
    <t>719</t>
  </si>
  <si>
    <t>SON-COT-1513</t>
  </si>
  <si>
    <t>SON-COT-2311</t>
  </si>
  <si>
    <t>SON-COT-787</t>
  </si>
  <si>
    <t>720</t>
  </si>
  <si>
    <t>SON-COT-1514</t>
  </si>
  <si>
    <t>SON-COT-2312</t>
  </si>
  <si>
    <t>SON-COT-788</t>
  </si>
  <si>
    <t>721</t>
  </si>
  <si>
    <t>SON-COT-1515</t>
  </si>
  <si>
    <t>32.86</t>
  </si>
  <si>
    <t>SON-COT-2313</t>
  </si>
  <si>
    <t>SON-COT-789</t>
  </si>
  <si>
    <t>722</t>
  </si>
  <si>
    <t>SON-COT-1516</t>
  </si>
  <si>
    <t>SON-COT-2314</t>
  </si>
  <si>
    <t>SON-COT-040</t>
  </si>
  <si>
    <t>723</t>
  </si>
  <si>
    <t>02/05/2019</t>
  </si>
  <si>
    <t>SON-COT-790</t>
  </si>
  <si>
    <t>11/07/2019</t>
  </si>
  <si>
    <t>SON-COT-1517</t>
  </si>
  <si>
    <t>SON-COT-2315</t>
  </si>
  <si>
    <t>SON-COT-791</t>
  </si>
  <si>
    <t>724</t>
  </si>
  <si>
    <t>SON-COT-1518</t>
  </si>
  <si>
    <t>SON-COT-2316</t>
  </si>
  <si>
    <t>SON-COT-792</t>
  </si>
  <si>
    <t>726</t>
  </si>
  <si>
    <t>SON-COT-1519</t>
  </si>
  <si>
    <t>SON-COT-2317</t>
  </si>
  <si>
    <t>SON-COT-793</t>
  </si>
  <si>
    <t>727</t>
  </si>
  <si>
    <t>SON-COT-1520</t>
  </si>
  <si>
    <t>SON-COT-2318</t>
  </si>
  <si>
    <t>SON-COT-794</t>
  </si>
  <si>
    <t>728</t>
  </si>
  <si>
    <t>SON-COT-1521</t>
  </si>
  <si>
    <t>SON-COT-2319</t>
  </si>
  <si>
    <t>SON-COT-795</t>
  </si>
  <si>
    <t>729</t>
  </si>
  <si>
    <t>SON-COT-1522</t>
  </si>
  <si>
    <t>SON-COT-2320</t>
  </si>
  <si>
    <t>SON-COT-796</t>
  </si>
  <si>
    <t>730</t>
  </si>
  <si>
    <t>SON-COT-1523</t>
  </si>
  <si>
    <t>35.71</t>
  </si>
  <si>
    <t>SON-COT-2321</t>
  </si>
  <si>
    <t>SON-COT-797</t>
  </si>
  <si>
    <t>731</t>
  </si>
  <si>
    <t>SON-COT-1586</t>
  </si>
  <si>
    <t>SON-COT-2322</t>
  </si>
  <si>
    <t>SON-COT-670</t>
  </si>
  <si>
    <t>732</t>
  </si>
  <si>
    <t>SON-COT-1524</t>
  </si>
  <si>
    <t>SON-COT-2323</t>
  </si>
  <si>
    <t>SON-COT-798</t>
  </si>
  <si>
    <t>733</t>
  </si>
  <si>
    <t>SON-COT-1587</t>
  </si>
  <si>
    <t>SON-COT-2324</t>
  </si>
  <si>
    <t>SON-COT-799</t>
  </si>
  <si>
    <t>734</t>
  </si>
  <si>
    <t>SON-COT-1588</t>
  </si>
  <si>
    <t>33.95</t>
  </si>
  <si>
    <t>SON-COT-2325</t>
  </si>
  <si>
    <t>SON-COT-800</t>
  </si>
  <si>
    <t>735</t>
  </si>
  <si>
    <t>SON-COT-1589</t>
  </si>
  <si>
    <t>SON-COT-2326</t>
  </si>
  <si>
    <t>SON-COT-801</t>
  </si>
  <si>
    <t>736</t>
  </si>
  <si>
    <t>SON-COT-1590</t>
  </si>
  <si>
    <t>SON-COT-2327</t>
  </si>
  <si>
    <t>SON-COT-802</t>
  </si>
  <si>
    <t>737</t>
  </si>
  <si>
    <t>SON-COT-1591</t>
  </si>
  <si>
    <t>SON-COT-2328</t>
  </si>
  <si>
    <t>SON-COT-803</t>
  </si>
  <si>
    <t>738</t>
  </si>
  <si>
    <t>SON-COT-1592</t>
  </si>
  <si>
    <t>32.55</t>
  </si>
  <si>
    <t>SON-COT-2329</t>
  </si>
  <si>
    <t>SON-COT-804</t>
  </si>
  <si>
    <t>739</t>
  </si>
  <si>
    <t>SON-COT-1593</t>
  </si>
  <si>
    <t>SON-COT-2330</t>
  </si>
  <si>
    <t>SON-COT-805</t>
  </si>
  <si>
    <t>740</t>
  </si>
  <si>
    <t>SON-COT-1594</t>
  </si>
  <si>
    <t>SON-COT-2331</t>
  </si>
  <si>
    <t>SON-COT-806</t>
  </si>
  <si>
    <t>741</t>
  </si>
  <si>
    <t>SON-COT-1595</t>
  </si>
  <si>
    <t>SON-COT-2332</t>
  </si>
  <si>
    <t>SON-COT-807</t>
  </si>
  <si>
    <t>742</t>
  </si>
  <si>
    <t xml:space="preserve">Brot penjat </t>
  </si>
  <si>
    <t>SON-COT-1596</t>
  </si>
  <si>
    <t>SON-COT-2333</t>
  </si>
  <si>
    <t>SON-COT-808</t>
  </si>
  <si>
    <t>743</t>
  </si>
  <si>
    <t>SON-COT-1597</t>
  </si>
  <si>
    <t>SON-COT-809</t>
  </si>
  <si>
    <t>744</t>
  </si>
  <si>
    <t>SON-COT-1598</t>
  </si>
  <si>
    <t>SON-COT-2334</t>
  </si>
  <si>
    <t>SON-COT-810</t>
  </si>
  <si>
    <t>745</t>
  </si>
  <si>
    <t>SON-COT-1599</t>
  </si>
  <si>
    <t>SON-COT-2335</t>
  </si>
  <si>
    <t>SON-COT-811</t>
  </si>
  <si>
    <t>746</t>
  </si>
  <si>
    <t>SON-COT-1600</t>
  </si>
  <si>
    <t>SON-COT-2336</t>
  </si>
  <si>
    <t>SON-COT-812</t>
  </si>
  <si>
    <t>747</t>
  </si>
  <si>
    <t>SON-COT-1601</t>
  </si>
  <si>
    <t>SON-COT-2337</t>
  </si>
  <si>
    <t>SON-COT-813</t>
  </si>
  <si>
    <t>748</t>
  </si>
  <si>
    <t>SON-COT-1602</t>
  </si>
  <si>
    <t>SON-COT-2338</t>
  </si>
  <si>
    <t>SON-COT-814</t>
  </si>
  <si>
    <t>749</t>
  </si>
  <si>
    <t>SON-COT-1603</t>
  </si>
  <si>
    <t>33.08</t>
  </si>
  <si>
    <t>SON-COT-2339</t>
  </si>
  <si>
    <t>SON-COT-815</t>
  </si>
  <si>
    <t>750</t>
  </si>
  <si>
    <t>SON-COT-1604</t>
  </si>
  <si>
    <t>SON-COT-2340</t>
  </si>
  <si>
    <t>SON-COT-816</t>
  </si>
  <si>
    <t>751</t>
  </si>
  <si>
    <t>SON-COT-1605</t>
  </si>
  <si>
    <t>SON-COT-2341</t>
  </si>
  <si>
    <t>SON-COT-671</t>
  </si>
  <si>
    <t>752</t>
  </si>
  <si>
    <t>SON-COT-1525</t>
  </si>
  <si>
    <t>SON-COT-2342</t>
  </si>
  <si>
    <t>SON-COT-817</t>
  </si>
  <si>
    <t>753</t>
  </si>
  <si>
    <t>SON-COT-1526</t>
  </si>
  <si>
    <t>SON-COT-2343</t>
  </si>
  <si>
    <t>SON-COT-672</t>
  </si>
  <si>
    <t>754</t>
  </si>
  <si>
    <t>SON-COT-1527</t>
  </si>
  <si>
    <t>SON-COT-2344</t>
  </si>
  <si>
    <t>SON-COT-673</t>
  </si>
  <si>
    <t>755</t>
  </si>
  <si>
    <t>SON-COT-1528</t>
  </si>
  <si>
    <t>SON-COT-2345</t>
  </si>
  <si>
    <t>SON-COT-674</t>
  </si>
  <si>
    <t>756</t>
  </si>
  <si>
    <t>SON-COT-1397</t>
  </si>
  <si>
    <t>SON-COT-2346</t>
  </si>
  <si>
    <t>SON-COT-675</t>
  </si>
  <si>
    <t>757</t>
  </si>
  <si>
    <t>SON-COT-1398</t>
  </si>
  <si>
    <t>SON-COT-2347</t>
  </si>
  <si>
    <t>SON-COT-676</t>
  </si>
  <si>
    <t>758</t>
  </si>
  <si>
    <t>SON-COT-1399</t>
  </si>
  <si>
    <t>SON-COT-2348</t>
  </si>
  <si>
    <t>SON-COT-677</t>
  </si>
  <si>
    <t>759</t>
  </si>
  <si>
    <t>SON-COT-1400</t>
  </si>
  <si>
    <t>SON-COT-2349</t>
  </si>
  <si>
    <t>SON-COT-678</t>
  </si>
  <si>
    <t>760</t>
  </si>
  <si>
    <t>SON-COT-1529</t>
  </si>
  <si>
    <t>SON-COT-2350</t>
  </si>
  <si>
    <t>SON-COT-679</t>
  </si>
  <si>
    <t>761</t>
  </si>
  <si>
    <t>SON-COT-1401</t>
  </si>
  <si>
    <t>SON-COT-2351</t>
  </si>
  <si>
    <t>SON-COT-680</t>
  </si>
  <si>
    <t>762</t>
  </si>
  <si>
    <t>SON-COT-1530</t>
  </si>
  <si>
    <t>34.3</t>
  </si>
  <si>
    <t>SON-COT-2352</t>
  </si>
  <si>
    <t>SON-COT-681</t>
  </si>
  <si>
    <t>763</t>
  </si>
  <si>
    <t>SON-COT-2353</t>
  </si>
  <si>
    <t>SON-COT-682</t>
  </si>
  <si>
    <t>764</t>
  </si>
  <si>
    <t>SON-COT-1531</t>
  </si>
  <si>
    <t>SON-COT-2354</t>
  </si>
  <si>
    <t>SON-COT-683</t>
  </si>
  <si>
    <t>765</t>
  </si>
  <si>
    <t>SON-COT-1532</t>
  </si>
  <si>
    <t>SON-COT-2355</t>
  </si>
  <si>
    <t>SON-COT-684</t>
  </si>
  <si>
    <t>766</t>
  </si>
  <si>
    <t>SON-COT-1402</t>
  </si>
  <si>
    <t>SON-COT-1533</t>
  </si>
  <si>
    <t>SON-COT-2356</t>
  </si>
  <si>
    <t>SON-COT-685</t>
  </si>
  <si>
    <t>767</t>
  </si>
  <si>
    <t>SON-COT-1403</t>
  </si>
  <si>
    <t>SON-COT-2357</t>
  </si>
  <si>
    <t>SON-COT-686</t>
  </si>
  <si>
    <t>768</t>
  </si>
  <si>
    <t>SON-COT-1404</t>
  </si>
  <si>
    <t>SON-COT-2358</t>
  </si>
  <si>
    <t>SON-COT-687</t>
  </si>
  <si>
    <t>769</t>
  </si>
  <si>
    <t>SON-COT-1405</t>
  </si>
  <si>
    <t>SON-COT-2359</t>
  </si>
  <si>
    <t>SON-COT-688</t>
  </si>
  <si>
    <t>770</t>
  </si>
  <si>
    <t>SON-COT-1406</t>
  </si>
  <si>
    <t>SON-COT-2360</t>
  </si>
  <si>
    <t>SON-COT-689</t>
  </si>
  <si>
    <t>771</t>
  </si>
  <si>
    <t>SON-COT-1407</t>
  </si>
  <si>
    <t>SON-COT-2361</t>
  </si>
  <si>
    <t>SON-COT-690</t>
  </si>
  <si>
    <t>772</t>
  </si>
  <si>
    <t>SON-COT-1408</t>
  </si>
  <si>
    <t>SON-COT-2362</t>
  </si>
  <si>
    <t>SON-COT-691</t>
  </si>
  <si>
    <t>773</t>
  </si>
  <si>
    <t>SON-COT-1409</t>
  </si>
  <si>
    <t>SON-COT-2363</t>
  </si>
  <si>
    <t>SON-COT-692</t>
  </si>
  <si>
    <t>774</t>
  </si>
  <si>
    <t>SON-COT-1410</t>
  </si>
  <si>
    <t>SON-COT-693</t>
  </si>
  <si>
    <t>775</t>
  </si>
  <si>
    <t>SON-COT-1411</t>
  </si>
  <si>
    <t>SON-COT-694</t>
  </si>
  <si>
    <t>776</t>
  </si>
  <si>
    <t>SON-COT-1412</t>
  </si>
  <si>
    <t>SON-COT-2364</t>
  </si>
  <si>
    <t>SON-COT-695</t>
  </si>
  <si>
    <t>777</t>
  </si>
  <si>
    <t>SON-COT-1413</t>
  </si>
  <si>
    <t>36.47</t>
  </si>
  <si>
    <t>SON-COT-696</t>
  </si>
  <si>
    <t>778</t>
  </si>
  <si>
    <t>SON-COT-1414</t>
  </si>
  <si>
    <t>SON-COT-2365</t>
  </si>
  <si>
    <t>SON-COT-697</t>
  </si>
  <si>
    <t>779</t>
  </si>
  <si>
    <t>SON-COT-1415</t>
  </si>
  <si>
    <t>SON-COT-2366</t>
  </si>
  <si>
    <t>SON-COT-698</t>
  </si>
  <si>
    <t>780</t>
  </si>
  <si>
    <t>SON-COT-1416</t>
  </si>
  <si>
    <t>SON-COT-2367</t>
  </si>
  <si>
    <t>SON-COT-699</t>
  </si>
  <si>
    <t>781</t>
  </si>
  <si>
    <t>SON-COT-1417</t>
  </si>
  <si>
    <t>SON-COT-2368</t>
  </si>
  <si>
    <t>SON-COT-700</t>
  </si>
  <si>
    <t>782</t>
  </si>
  <si>
    <t>SON-COT-1418</t>
  </si>
  <si>
    <t>32.66</t>
  </si>
  <si>
    <t>SON-COT-2369</t>
  </si>
  <si>
    <t>SON-COT-701</t>
  </si>
  <si>
    <t>783</t>
  </si>
  <si>
    <t>SON-COT-1419</t>
  </si>
  <si>
    <t>SON-COT-2370</t>
  </si>
  <si>
    <t>SON-COT-702</t>
  </si>
  <si>
    <t>784</t>
  </si>
  <si>
    <t>SON-COT-1420</t>
  </si>
  <si>
    <t>SON-COT-2371</t>
  </si>
  <si>
    <t>SON-COT-703</t>
  </si>
  <si>
    <t>785</t>
  </si>
  <si>
    <t>SON-COT-1421</t>
  </si>
  <si>
    <t>SON-COT-2372</t>
  </si>
  <si>
    <t>SON-COT-704</t>
  </si>
  <si>
    <t>786</t>
  </si>
  <si>
    <t>SON-COT-1422</t>
  </si>
  <si>
    <t>SON-COT-2373</t>
  </si>
  <si>
    <t>SON-COT-705</t>
  </si>
  <si>
    <t>787</t>
  </si>
  <si>
    <t>SON-COT-1423</t>
  </si>
  <si>
    <t>SON-COT-2374</t>
  </si>
  <si>
    <t>SON-COT-706</t>
  </si>
  <si>
    <t>788</t>
  </si>
  <si>
    <t>SON-COT-1424</t>
  </si>
  <si>
    <t>SON-COT-2375</t>
  </si>
  <si>
    <t>SON-COT-707</t>
  </si>
  <si>
    <t>789</t>
  </si>
  <si>
    <t>SON-COT-1425</t>
  </si>
  <si>
    <t>SON-COT-2376</t>
  </si>
  <si>
    <t>SON-COT-708</t>
  </si>
  <si>
    <t>790</t>
  </si>
  <si>
    <t>SON-COT-1426</t>
  </si>
  <si>
    <t>SON-COT-2377</t>
  </si>
  <si>
    <t>SON-COT-1427</t>
  </si>
  <si>
    <t>791</t>
  </si>
  <si>
    <t>SON-COT-2378</t>
  </si>
  <si>
    <t>SON-COT-709</t>
  </si>
  <si>
    <t>792</t>
  </si>
  <si>
    <t>SON-COT-1428</t>
  </si>
  <si>
    <t>SON-COT-2379</t>
  </si>
  <si>
    <t>SON-COT-710</t>
  </si>
  <si>
    <t>793</t>
  </si>
  <si>
    <t>SON-COT-1429</t>
  </si>
  <si>
    <t>SON-COT-2380</t>
  </si>
  <si>
    <t>SON-COT-711</t>
  </si>
  <si>
    <t>794</t>
  </si>
  <si>
    <t>SON-COT-1430</t>
  </si>
  <si>
    <t>SON-COT-2381</t>
  </si>
  <si>
    <t>SON-COT-1431</t>
  </si>
  <si>
    <t>795</t>
  </si>
  <si>
    <t>SON-COT-2382</t>
  </si>
  <si>
    <t>SON-COT-712</t>
  </si>
  <si>
    <t>796</t>
  </si>
  <si>
    <t>SON-COT-1432</t>
  </si>
  <si>
    <t>SON-COT-2383</t>
  </si>
  <si>
    <t>SON-COT-713</t>
  </si>
  <si>
    <t>797</t>
  </si>
  <si>
    <t>SON-COT-1433</t>
  </si>
  <si>
    <t>SON-COT-2384</t>
  </si>
  <si>
    <t>SON-COT-714</t>
  </si>
  <si>
    <t>798</t>
  </si>
  <si>
    <t>SON-COT-1534</t>
  </si>
  <si>
    <t>SON-COT-2385</t>
  </si>
  <si>
    <t>SON-COT-715</t>
  </si>
  <si>
    <t>799</t>
  </si>
  <si>
    <t>SON-COT-1535</t>
  </si>
  <si>
    <t>30.56</t>
  </si>
  <si>
    <t>SON-COT-2386</t>
  </si>
  <si>
    <t>SON-COT-716</t>
  </si>
  <si>
    <t>800</t>
  </si>
  <si>
    <t>SON-COT-1434</t>
  </si>
  <si>
    <t>SON-COT-2387</t>
  </si>
  <si>
    <t>SON-COT-2388</t>
  </si>
  <si>
    <t xml:space="preserve">Varietat </t>
  </si>
  <si>
    <t xml:space="preserve">Total </t>
  </si>
  <si>
    <t>Negatiu</t>
  </si>
  <si>
    <t>Positu</t>
  </si>
  <si>
    <t>% Positius</t>
  </si>
  <si>
    <t xml:space="preserve">Mitjana simptomatologia positius </t>
  </si>
  <si>
    <t>Poteta</t>
  </si>
  <si>
    <t>Etiquetas de fila</t>
  </si>
  <si>
    <t xml:space="preserve">Suma de Mitjana simptomatologia positius </t>
  </si>
  <si>
    <t>(en blanco)</t>
  </si>
  <si>
    <t>Total general</t>
  </si>
  <si>
    <t xml:space="preserve">Assimptomàtics </t>
  </si>
  <si>
    <t xml:space="preserve">% Positius assimptomàtics </t>
  </si>
  <si>
    <t>(Todas)</t>
  </si>
  <si>
    <t>Suma de % Positius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</si>
</sst>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XF &quot;0000&quot; /19&quot;"/>
  </numFmts>
  <fonts count="9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Bariol Regular"/>
      <family val="3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2F0D9"/>
        <bgColor rgb="FFDAE3F3"/>
      </patternFill>
    </fill>
    <fill>
      <patternFill patternType="solid">
        <fgColor rgb="FFDAE3F3"/>
        <bgColor rgb="FFE2F0D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3" fillId="3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[SON-COT 2019.xlsx]Hoja2!Tabla 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Hoja2!$C$22:$C$38</c:f>
              <c:strCache>
                <c:ptCount val="16"/>
                <c:pt idx="0">
                  <c:v>?</c:v>
                </c:pt>
                <c:pt idx="1">
                  <c:v>Bord</c:v>
                </c:pt>
                <c:pt idx="2">
                  <c:v>Brot penjat </c:v>
                </c:pt>
                <c:pt idx="3">
                  <c:v>Canaleta </c:v>
                </c:pt>
                <c:pt idx="4">
                  <c:v>Guarin</c:v>
                </c:pt>
                <c:pt idx="5">
                  <c:v>Jordi </c:v>
                </c:pt>
                <c:pt idx="6">
                  <c:v>Metzina</c:v>
                </c:pt>
                <c:pt idx="7">
                  <c:v>Morro de vaca</c:v>
                </c:pt>
                <c:pt idx="8">
                  <c:v>Pons</c:v>
                </c:pt>
                <c:pt idx="9">
                  <c:v>Poteta</c:v>
                </c:pt>
                <c:pt idx="10">
                  <c:v>Redonets</c:v>
                </c:pt>
                <c:pt idx="11">
                  <c:v>Ribes</c:v>
                </c:pt>
                <c:pt idx="12">
                  <c:v>Total </c:v>
                </c:pt>
                <c:pt idx="13">
                  <c:v>Verdereta</c:v>
                </c:pt>
                <c:pt idx="14">
                  <c:v>Vivot </c:v>
                </c:pt>
                <c:pt idx="15">
                  <c:v>(en blanco)</c:v>
                </c:pt>
              </c:strCache>
            </c:strRef>
          </c:cat>
          <c:val>
            <c:numRef>
              <c:f>Hoja2!$D$22:$D$38</c:f>
              <c:numCache>
                <c:formatCode>General</c:formatCode>
                <c:ptCount val="16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B-4F1B-B22E-5D9F5D926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46344"/>
        <c:axId val="192147128"/>
      </c:barChart>
      <c:catAx>
        <c:axId val="1921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47128"/>
        <c:crosses val="autoZero"/>
        <c:auto val="1"/>
        <c:lblAlgn val="ctr"/>
        <c:lblOffset val="100"/>
        <c:noMultiLvlLbl val="0"/>
      </c:catAx>
      <c:valAx>
        <c:axId val="19214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4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[SON-COT 2019.xlsx]Hoja3!Tabla 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Hoja3!$L$20:$L$35</c:f>
              <c:strCache>
                <c:ptCount val="15"/>
                <c:pt idx="0">
                  <c:v>?</c:v>
                </c:pt>
                <c:pt idx="1">
                  <c:v>Bord</c:v>
                </c:pt>
                <c:pt idx="2">
                  <c:v>Brot penjat </c:v>
                </c:pt>
                <c:pt idx="3">
                  <c:v>Canaleta </c:v>
                </c:pt>
                <c:pt idx="4">
                  <c:v>Guarin</c:v>
                </c:pt>
                <c:pt idx="5">
                  <c:v>Jordi </c:v>
                </c:pt>
                <c:pt idx="6">
                  <c:v>Metzina</c:v>
                </c:pt>
                <c:pt idx="7">
                  <c:v>Morro de vaca</c:v>
                </c:pt>
                <c:pt idx="8">
                  <c:v>Pons</c:v>
                </c:pt>
                <c:pt idx="9">
                  <c:v>Poteta</c:v>
                </c:pt>
                <c:pt idx="10">
                  <c:v>Redonets</c:v>
                </c:pt>
                <c:pt idx="11">
                  <c:v>Ribes</c:v>
                </c:pt>
                <c:pt idx="12">
                  <c:v>Total </c:v>
                </c:pt>
                <c:pt idx="13">
                  <c:v>Verdereta</c:v>
                </c:pt>
                <c:pt idx="14">
                  <c:v>Vivot </c:v>
                </c:pt>
              </c:strCache>
            </c:strRef>
          </c:cat>
          <c:val>
            <c:numRef>
              <c:f>Hoja3!$M$20:$M$35</c:f>
              <c:numCache>
                <c:formatCode>General</c:formatCode>
                <c:ptCount val="15"/>
                <c:pt idx="0">
                  <c:v>56.71641791044776</c:v>
                </c:pt>
                <c:pt idx="1">
                  <c:v>0</c:v>
                </c:pt>
                <c:pt idx="2">
                  <c:v>44</c:v>
                </c:pt>
                <c:pt idx="3">
                  <c:v>19.047619047619047</c:v>
                </c:pt>
                <c:pt idx="4">
                  <c:v>5.7142857142857144</c:v>
                </c:pt>
                <c:pt idx="5">
                  <c:v>15.789473684210526</c:v>
                </c:pt>
                <c:pt idx="6">
                  <c:v>90.909090909090907</c:v>
                </c:pt>
                <c:pt idx="7">
                  <c:v>55.782312925170068</c:v>
                </c:pt>
                <c:pt idx="8">
                  <c:v>0</c:v>
                </c:pt>
                <c:pt idx="9">
                  <c:v>42.857142857142854</c:v>
                </c:pt>
                <c:pt idx="10">
                  <c:v>21.428571428571427</c:v>
                </c:pt>
                <c:pt idx="11">
                  <c:v>50</c:v>
                </c:pt>
                <c:pt idx="12">
                  <c:v>42.582417582417584</c:v>
                </c:pt>
                <c:pt idx="13">
                  <c:v>48.648648648648646</c:v>
                </c:pt>
                <c:pt idx="14">
                  <c:v>47.586206896551722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8-4442-A30D-B8B4E7B94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75616"/>
        <c:axId val="192676008"/>
      </c:barChart>
      <c:catAx>
        <c:axId val="1926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76008"/>
        <c:crosses val="autoZero"/>
        <c:auto val="1"/>
        <c:lblAlgn val="ctr"/>
        <c:lblOffset val="100"/>
        <c:noMultiLvlLbl val="0"/>
      </c:catAx>
      <c:valAx>
        <c:axId val="19267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17</xdr:row>
      <xdr:rowOff>109537</xdr:rowOff>
    </xdr:from>
    <xdr:to>
      <xdr:col>11</xdr:col>
      <xdr:colOff>214312</xdr:colOff>
      <xdr:row>31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700087</xdr:colOff>
      <xdr:row>24</xdr:row>
      <xdr:rowOff>185737</xdr:rowOff>
    </xdr:from>
    <xdr:to>
      <xdr:col>10</xdr:col>
      <xdr:colOff>700087</xdr:colOff>
      <xdr:row>39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87328" refreshedDate="43752.513249074073" createdVersion="5" refreshedVersion="5" minRefreshableVersion="3" recordCount="15">
  <cacheSource type="worksheet">
    <worksheetSource ref="A1:E17" sheet="Hoja3"/>
  </cacheSource>
  <cacheFields count="5">
    <cacheField name="Varietat " numFmtId="0">
      <sharedItems count="15">
        <s v="Jordi "/>
        <s v="Brot penjat "/>
        <s v="Canaleta "/>
        <s v="Guarin"/>
        <s v="Metzina"/>
        <s v="Morro de vaca"/>
        <s v="Pons"/>
        <s v="Verdereta"/>
        <s v="Poteta"/>
        <s v="Redonets"/>
        <s v="Ribes"/>
        <s v="Vivot "/>
        <s v="?"/>
        <s v="Bord"/>
        <s v="Total "/>
      </sharedItems>
    </cacheField>
    <cacheField name="Total " numFmtId="0">
      <sharedItems containsSemiMixedTypes="0" containsString="0" containsNumber="1" containsInteger="1" minValue="1" maxValue="728" count="15">
        <n v="19"/>
        <n v="25"/>
        <n v="21"/>
        <n v="105"/>
        <n v="22"/>
        <n v="147"/>
        <n v="6"/>
        <n v="111"/>
        <n v="35"/>
        <n v="14"/>
        <n v="10"/>
        <n v="145"/>
        <n v="67"/>
        <n v="1"/>
        <n v="728"/>
      </sharedItems>
    </cacheField>
    <cacheField name="Negatiu" numFmtId="0">
      <sharedItems containsSemiMixedTypes="0" containsString="0" containsNumber="1" containsInteger="1" minValue="1" maxValue="428"/>
    </cacheField>
    <cacheField name="Positu" numFmtId="0">
      <sharedItems containsSemiMixedTypes="0" containsString="0" containsNumber="1" containsInteger="1" minValue="0" maxValue="310"/>
    </cacheField>
    <cacheField name="% Positius" numFmtId="2">
      <sharedItems containsSemiMixedTypes="0" containsString="0" containsNumber="1" minValue="0" maxValue="90.9090909090909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87328" refreshedDate="43752.561022800925" createdVersion="5" refreshedVersion="5" minRefreshableVersion="3" recordCount="16">
  <cacheSource type="worksheet">
    <worksheetSource ref="A1:F17" sheet="Hoja2"/>
  </cacheSource>
  <cacheFields count="6">
    <cacheField name="Varietat " numFmtId="0">
      <sharedItems containsBlank="1" count="16">
        <s v="Jordi "/>
        <s v="Brot penjat "/>
        <s v="Canaleta "/>
        <s v="Guarin"/>
        <s v="Metzina"/>
        <s v="Morro de vaca"/>
        <s v="Pons"/>
        <s v="Verdereta"/>
        <s v="Poteta"/>
        <s v="Redonets"/>
        <s v="Ribes"/>
        <s v="Vivot "/>
        <s v="?"/>
        <s v="Bord"/>
        <s v="Total "/>
        <m/>
      </sharedItems>
    </cacheField>
    <cacheField name="Total " numFmtId="0">
      <sharedItems containsString="0" containsBlank="1" containsNumber="1" containsInteger="1" minValue="1" maxValue="728"/>
    </cacheField>
    <cacheField name="Negatiu" numFmtId="0">
      <sharedItems containsString="0" containsBlank="1" containsNumber="1" containsInteger="1" minValue="1" maxValue="428"/>
    </cacheField>
    <cacheField name="Positu" numFmtId="0">
      <sharedItems containsString="0" containsBlank="1" containsNumber="1" containsInteger="1" minValue="0" maxValue="310"/>
    </cacheField>
    <cacheField name="% Positius" numFmtId="0">
      <sharedItems containsString="0" containsBlank="1" containsNumber="1" minValue="0" maxValue="90.909090909090907" count="15">
        <n v="15.789473684210526"/>
        <n v="44"/>
        <n v="19.047619047619047"/>
        <n v="5.7142857142857144"/>
        <n v="90.909090909090907"/>
        <n v="55.782312925170068"/>
        <n v="0"/>
        <n v="48.648648648648646"/>
        <n v="42.857142857142854"/>
        <n v="21.428571428571427"/>
        <n v="50"/>
        <n v="47.586206896551722"/>
        <n v="56.71641791044776"/>
        <n v="42.582417582417584"/>
        <m/>
      </sharedItems>
    </cacheField>
    <cacheField name="Mitjana simptomatologia positius 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6"/>
    <n v="3"/>
    <n v="15.789473684210526"/>
  </r>
  <r>
    <x v="1"/>
    <x v="1"/>
    <n v="14"/>
    <n v="11"/>
    <n v="44"/>
  </r>
  <r>
    <x v="2"/>
    <x v="2"/>
    <n v="17"/>
    <n v="4"/>
    <n v="19.047619047619047"/>
  </r>
  <r>
    <x v="3"/>
    <x v="3"/>
    <n v="99"/>
    <n v="6"/>
    <n v="5.7142857142857144"/>
  </r>
  <r>
    <x v="4"/>
    <x v="4"/>
    <n v="2"/>
    <n v="20"/>
    <n v="90.909090909090907"/>
  </r>
  <r>
    <x v="5"/>
    <x v="5"/>
    <n v="65"/>
    <n v="82"/>
    <n v="55.782312925170068"/>
  </r>
  <r>
    <x v="6"/>
    <x v="6"/>
    <n v="6"/>
    <n v="0"/>
    <n v="0"/>
  </r>
  <r>
    <x v="7"/>
    <x v="7"/>
    <n v="57"/>
    <n v="54"/>
    <n v="48.648648648648646"/>
  </r>
  <r>
    <x v="8"/>
    <x v="8"/>
    <n v="20"/>
    <n v="15"/>
    <n v="42.857142857142854"/>
  </r>
  <r>
    <x v="9"/>
    <x v="9"/>
    <n v="11"/>
    <n v="3"/>
    <n v="21.428571428571427"/>
  </r>
  <r>
    <x v="10"/>
    <x v="10"/>
    <n v="5"/>
    <n v="5"/>
    <n v="50"/>
  </r>
  <r>
    <x v="11"/>
    <x v="11"/>
    <n v="76"/>
    <n v="69"/>
    <n v="47.586206896551722"/>
  </r>
  <r>
    <x v="12"/>
    <x v="12"/>
    <n v="39"/>
    <n v="38"/>
    <n v="56.71641791044776"/>
  </r>
  <r>
    <x v="13"/>
    <x v="13"/>
    <n v="1"/>
    <n v="0"/>
    <n v="0"/>
  </r>
  <r>
    <x v="14"/>
    <x v="14"/>
    <n v="428"/>
    <n v="310"/>
    <n v="42.5824175824175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9"/>
    <n v="16"/>
    <n v="3"/>
    <x v="0"/>
    <n v="2"/>
  </r>
  <r>
    <x v="1"/>
    <n v="25"/>
    <n v="14"/>
    <n v="11"/>
    <x v="1"/>
    <n v="3"/>
  </r>
  <r>
    <x v="2"/>
    <n v="21"/>
    <n v="17"/>
    <n v="4"/>
    <x v="2"/>
    <n v="3"/>
  </r>
  <r>
    <x v="3"/>
    <n v="105"/>
    <n v="99"/>
    <n v="6"/>
    <x v="3"/>
    <n v="1"/>
  </r>
  <r>
    <x v="4"/>
    <n v="22"/>
    <n v="2"/>
    <n v="20"/>
    <x v="4"/>
    <n v="3"/>
  </r>
  <r>
    <x v="5"/>
    <n v="147"/>
    <n v="65"/>
    <n v="82"/>
    <x v="5"/>
    <n v="2"/>
  </r>
  <r>
    <x v="6"/>
    <n v="6"/>
    <n v="6"/>
    <n v="0"/>
    <x v="6"/>
    <n v="0"/>
  </r>
  <r>
    <x v="7"/>
    <n v="111"/>
    <n v="57"/>
    <n v="54"/>
    <x v="7"/>
    <n v="3"/>
  </r>
  <r>
    <x v="8"/>
    <n v="35"/>
    <n v="20"/>
    <n v="15"/>
    <x v="8"/>
    <n v="3"/>
  </r>
  <r>
    <x v="9"/>
    <n v="14"/>
    <n v="11"/>
    <n v="3"/>
    <x v="9"/>
    <n v="1"/>
  </r>
  <r>
    <x v="10"/>
    <n v="10"/>
    <n v="5"/>
    <n v="5"/>
    <x v="10"/>
    <n v="1"/>
  </r>
  <r>
    <x v="11"/>
    <n v="145"/>
    <n v="76"/>
    <n v="69"/>
    <x v="11"/>
    <n v="3"/>
  </r>
  <r>
    <x v="12"/>
    <n v="67"/>
    <n v="39"/>
    <n v="38"/>
    <x v="12"/>
    <n v="3"/>
  </r>
  <r>
    <x v="13"/>
    <n v="1"/>
    <n v="1"/>
    <n v="0"/>
    <x v="6"/>
    <n v="0"/>
  </r>
  <r>
    <x v="14"/>
    <n v="728"/>
    <n v="428"/>
    <n v="310"/>
    <x v="13"/>
    <n v="3"/>
  </r>
  <r>
    <x v="15"/>
    <m/>
    <m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C21:D38" firstHeaderRow="1" firstDataRow="1" firstDataCol="1"/>
  <pivotFields count="6">
    <pivotField axis="axisRow" showAll="0">
      <items count="17">
        <item x="12"/>
        <item x="13"/>
        <item x="1"/>
        <item x="2"/>
        <item x="3"/>
        <item x="0"/>
        <item x="4"/>
        <item x="5"/>
        <item x="6"/>
        <item x="8"/>
        <item x="9"/>
        <item x="10"/>
        <item x="14"/>
        <item x="7"/>
        <item x="11"/>
        <item x="15"/>
        <item t="default"/>
      </items>
    </pivotField>
    <pivotField showAll="0"/>
    <pivotField showAll="0"/>
    <pivotField showAll="0"/>
    <pivotField showAll="0">
      <items count="16">
        <item x="6"/>
        <item x="3"/>
        <item x="0"/>
        <item x="2"/>
        <item x="9"/>
        <item x="13"/>
        <item x="8"/>
        <item x="1"/>
        <item x="11"/>
        <item x="7"/>
        <item x="10"/>
        <item x="5"/>
        <item x="12"/>
        <item x="4"/>
        <item x="14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Mitjana simptomatologia positius " fld="5" baseField="0" baseItem="0"/>
  </dataFields>
  <chartFormats count="1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L19:M35" firstHeaderRow="1" firstDataRow="1" firstDataCol="1" rowPageCount="1" colPageCount="1"/>
  <pivotFields count="5">
    <pivotField axis="axisRow" showAll="0">
      <items count="16">
        <item x="12"/>
        <item x="13"/>
        <item x="1"/>
        <item x="2"/>
        <item x="3"/>
        <item x="0"/>
        <item x="4"/>
        <item x="5"/>
        <item x="6"/>
        <item x="8"/>
        <item x="9"/>
        <item x="10"/>
        <item x="14"/>
        <item x="7"/>
        <item x="11"/>
        <item t="default"/>
      </items>
    </pivotField>
    <pivotField axis="axisPage" showAll="0">
      <items count="16">
        <item x="13"/>
        <item x="6"/>
        <item x="10"/>
        <item x="9"/>
        <item x="0"/>
        <item x="2"/>
        <item x="4"/>
        <item x="1"/>
        <item x="8"/>
        <item x="12"/>
        <item x="3"/>
        <item x="7"/>
        <item x="11"/>
        <item x="5"/>
        <item x="14"/>
        <item t="default"/>
      </items>
    </pivotField>
    <pivotField showAll="0"/>
    <pivotField showAll="0"/>
    <pivotField dataField="1" numFmtId="2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1" hier="-1"/>
  </pageFields>
  <dataFields count="1">
    <dataField name="Suma de % Positiu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4367"/>
  <sheetViews>
    <sheetView tabSelected="1" topLeftCell="A907" zoomScale="80" zoomScaleNormal="80" workbookViewId="0">
      <pane xSplit="2" topLeftCell="H1" activePane="topRight" state="frozen"/>
      <selection activeCell="A13" sqref="A13"/>
      <selection pane="topRight" activeCell="B904" sqref="B904"/>
    </sheetView>
  </sheetViews>
  <sheetFormatPr baseColWidth="10" defaultColWidth="9.140625" defaultRowHeight="15"/>
  <cols>
    <col min="1" max="1" width="7.28515625" style="1" customWidth="1"/>
    <col min="2" max="2" width="21.5703125" style="2" customWidth="1"/>
    <col min="3" max="3" width="12.7109375" style="2" customWidth="1"/>
    <col min="4" max="5" width="19.5703125" style="1" customWidth="1"/>
    <col min="6" max="6" width="23.28515625" style="1" customWidth="1"/>
    <col min="7" max="7" width="19.5703125" style="1" customWidth="1"/>
    <col min="8" max="8" width="17" style="55" customWidth="1"/>
    <col min="9" max="9" width="17" style="1" customWidth="1"/>
    <col min="10" max="10" width="31.28515625" style="1" customWidth="1"/>
    <col min="11" max="11" width="9.28515625" style="1" customWidth="1"/>
    <col min="12" max="12" width="9.42578125" style="1" customWidth="1"/>
    <col min="13" max="13" width="11.5703125" style="1" customWidth="1"/>
    <col min="14" max="14" width="11" style="1" customWidth="1"/>
    <col min="15" max="15" width="6.42578125" style="1" customWidth="1"/>
    <col min="16" max="16" width="11.5703125" style="1" customWidth="1"/>
    <col min="17" max="17" width="5.140625" style="1" customWidth="1"/>
    <col min="18" max="18" width="12.85546875" style="1" customWidth="1"/>
    <col min="19" max="1027" width="11.42578125" style="1"/>
  </cols>
  <sheetData>
    <row r="1" spans="1:32">
      <c r="N1" s="1">
        <f>SUBTOTAL(3,N5:N2392)</f>
        <v>1896</v>
      </c>
    </row>
    <row r="2" spans="1:32" ht="12.75" customHeight="1">
      <c r="F2" s="3"/>
      <c r="H2" s="55">
        <f>SUBTOTAL(101,H5:H2392)</f>
        <v>1.6722912966252221</v>
      </c>
      <c r="N2" s="61" t="b">
        <f>U6=COUNTA(N5:N2392)</f>
        <v>0</v>
      </c>
      <c r="O2" s="61"/>
      <c r="P2" s="61"/>
      <c r="Q2" s="61"/>
      <c r="R2" s="61"/>
    </row>
    <row r="3" spans="1:32" s="4" customFormat="1" ht="24" customHeight="1">
      <c r="B3" s="5" t="s">
        <v>0</v>
      </c>
      <c r="C3" s="5"/>
      <c r="D3" s="6" t="s">
        <v>1</v>
      </c>
      <c r="E3" s="6"/>
      <c r="F3" s="6" t="s">
        <v>2</v>
      </c>
      <c r="G3" s="6" t="s">
        <v>3</v>
      </c>
      <c r="H3" s="56"/>
      <c r="I3" s="6"/>
      <c r="J3" s="6"/>
      <c r="K3" s="6"/>
      <c r="L3" s="6"/>
      <c r="M3" s="6" t="s">
        <v>4</v>
      </c>
      <c r="N3" s="7" t="s">
        <v>5</v>
      </c>
      <c r="O3" s="7" t="s">
        <v>6</v>
      </c>
      <c r="P3" s="7" t="s">
        <v>7</v>
      </c>
      <c r="Q3" s="7" t="s">
        <v>6</v>
      </c>
      <c r="R3" s="7" t="s">
        <v>8</v>
      </c>
    </row>
    <row r="4" spans="1:32" s="4" customFormat="1" ht="72" customHeight="1">
      <c r="B4" s="8" t="s">
        <v>9</v>
      </c>
      <c r="C4" s="8" t="s">
        <v>10</v>
      </c>
      <c r="D4" s="9" t="s">
        <v>11</v>
      </c>
      <c r="E4" s="36" t="s">
        <v>12</v>
      </c>
      <c r="F4" s="36" t="s">
        <v>13</v>
      </c>
      <c r="G4" s="9" t="s">
        <v>14</v>
      </c>
      <c r="H4" s="57" t="s">
        <v>15</v>
      </c>
      <c r="I4" s="9"/>
      <c r="J4" s="9" t="s">
        <v>16</v>
      </c>
      <c r="K4" s="9" t="s">
        <v>17</v>
      </c>
      <c r="L4" s="9" t="s">
        <v>18</v>
      </c>
      <c r="M4" s="9"/>
      <c r="N4" s="10"/>
      <c r="O4" s="10"/>
      <c r="P4" s="10"/>
      <c r="Q4" s="10"/>
      <c r="R4" s="10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s="18" customFormat="1" ht="15" customHeight="1">
      <c r="A5" s="12">
        <v>25</v>
      </c>
      <c r="B5" s="13" t="s">
        <v>19</v>
      </c>
      <c r="C5" s="14"/>
      <c r="D5" s="14" t="s">
        <v>20</v>
      </c>
      <c r="E5" s="14" t="s">
        <v>21</v>
      </c>
      <c r="F5" s="15" t="s">
        <v>22</v>
      </c>
      <c r="G5" s="14"/>
      <c r="H5" s="58"/>
      <c r="I5" s="14"/>
      <c r="J5" s="14" t="s">
        <v>23</v>
      </c>
      <c r="K5" s="15"/>
      <c r="L5" s="15"/>
      <c r="M5" s="14" t="s">
        <v>24</v>
      </c>
      <c r="N5" s="14" t="s">
        <v>25</v>
      </c>
      <c r="O5" s="14"/>
      <c r="P5" s="14"/>
      <c r="Q5" s="14"/>
      <c r="R5" s="17">
        <v>43599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s="18" customFormat="1" ht="15" customHeight="1">
      <c r="A6" s="12">
        <v>41</v>
      </c>
      <c r="B6" s="13" t="s">
        <v>26</v>
      </c>
      <c r="C6" s="14"/>
      <c r="D6" s="14" t="s">
        <v>20</v>
      </c>
      <c r="E6" s="14" t="s">
        <v>21</v>
      </c>
      <c r="F6" s="15" t="s">
        <v>22</v>
      </c>
      <c r="G6" s="14"/>
      <c r="H6" s="58"/>
      <c r="I6" s="14"/>
      <c r="J6" s="14" t="s">
        <v>23</v>
      </c>
      <c r="K6" s="15"/>
      <c r="L6" s="15"/>
      <c r="M6" s="14" t="s">
        <v>27</v>
      </c>
      <c r="N6" s="14" t="s">
        <v>25</v>
      </c>
      <c r="O6" s="14"/>
      <c r="P6" s="14"/>
      <c r="Q6" s="14"/>
      <c r="R6" s="17">
        <v>43633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s="18" customFormat="1" ht="15" customHeight="1">
      <c r="A7" s="12">
        <v>818</v>
      </c>
      <c r="B7" s="13" t="s">
        <v>28</v>
      </c>
      <c r="C7" s="14"/>
      <c r="D7" s="14" t="s">
        <v>20</v>
      </c>
      <c r="E7" s="14" t="s">
        <v>21</v>
      </c>
      <c r="F7" s="15" t="s">
        <v>22</v>
      </c>
      <c r="G7" s="21"/>
      <c r="H7" s="58"/>
      <c r="I7" s="14"/>
      <c r="J7" s="14" t="s">
        <v>23</v>
      </c>
      <c r="K7" s="14"/>
      <c r="L7" s="14"/>
      <c r="M7" s="14" t="s">
        <v>29</v>
      </c>
      <c r="N7" s="14" t="s">
        <v>25</v>
      </c>
      <c r="O7" s="14"/>
      <c r="P7" s="14"/>
      <c r="Q7" s="14"/>
      <c r="R7" s="14" t="s">
        <v>30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s="18" customFormat="1" ht="15" customHeight="1">
      <c r="A8" s="12">
        <v>1607</v>
      </c>
      <c r="B8" s="13" t="s">
        <v>31</v>
      </c>
      <c r="C8" s="14"/>
      <c r="D8" s="14" t="s">
        <v>20</v>
      </c>
      <c r="E8" s="14" t="s">
        <v>21</v>
      </c>
      <c r="F8" s="15" t="s">
        <v>22</v>
      </c>
      <c r="G8" s="14"/>
      <c r="H8" s="58">
        <v>1</v>
      </c>
      <c r="I8" s="14"/>
      <c r="J8" s="14" t="s">
        <v>23</v>
      </c>
      <c r="K8" s="14"/>
      <c r="L8" s="14"/>
      <c r="M8" s="14" t="s">
        <v>32</v>
      </c>
      <c r="N8" s="14" t="s">
        <v>25</v>
      </c>
      <c r="O8" s="14"/>
      <c r="P8" s="14"/>
      <c r="Q8" s="14"/>
      <c r="R8" s="14" t="s">
        <v>33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s="18" customFormat="1" ht="15" customHeight="1">
      <c r="A9" s="12">
        <v>42</v>
      </c>
      <c r="B9" s="13" t="s">
        <v>34</v>
      </c>
      <c r="C9" s="14"/>
      <c r="D9" s="14" t="s">
        <v>35</v>
      </c>
      <c r="E9" s="14" t="s">
        <v>36</v>
      </c>
      <c r="F9" s="15" t="s">
        <v>22</v>
      </c>
      <c r="G9" s="14"/>
      <c r="H9" s="58"/>
      <c r="I9" s="14"/>
      <c r="J9" s="14" t="s">
        <v>23</v>
      </c>
      <c r="K9" s="15"/>
      <c r="L9" s="15"/>
      <c r="M9" s="14" t="s">
        <v>27</v>
      </c>
      <c r="N9" s="25" t="s">
        <v>37</v>
      </c>
      <c r="O9" s="14" t="s">
        <v>38</v>
      </c>
      <c r="P9" s="14"/>
      <c r="Q9" s="14"/>
      <c r="R9" s="17">
        <v>43633</v>
      </c>
      <c r="S9" s="1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s="18" customFormat="1" ht="15" customHeight="1">
      <c r="A10" s="12">
        <v>819</v>
      </c>
      <c r="B10" s="13" t="s">
        <v>39</v>
      </c>
      <c r="C10" s="14"/>
      <c r="D10" s="14" t="s">
        <v>35</v>
      </c>
      <c r="E10" s="14" t="s">
        <v>36</v>
      </c>
      <c r="F10" s="15" t="s">
        <v>22</v>
      </c>
      <c r="G10" s="21"/>
      <c r="H10" s="58">
        <v>2</v>
      </c>
      <c r="I10" s="14"/>
      <c r="J10" s="14" t="s">
        <v>23</v>
      </c>
      <c r="K10" s="14"/>
      <c r="L10" s="14"/>
      <c r="M10" s="14" t="s">
        <v>29</v>
      </c>
      <c r="N10" s="25" t="s">
        <v>37</v>
      </c>
      <c r="O10" s="14" t="s">
        <v>40</v>
      </c>
      <c r="P10" s="14"/>
      <c r="Q10" s="14"/>
      <c r="R10" s="14" t="s">
        <v>30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s="18" customFormat="1" ht="15" customHeight="1">
      <c r="A11" s="12">
        <v>1608</v>
      </c>
      <c r="B11" s="13" t="s">
        <v>41</v>
      </c>
      <c r="C11" s="14"/>
      <c r="D11" s="14" t="s">
        <v>35</v>
      </c>
      <c r="E11" s="14" t="s">
        <v>36</v>
      </c>
      <c r="F11" s="15" t="s">
        <v>22</v>
      </c>
      <c r="G11" s="14"/>
      <c r="H11" s="58">
        <v>3</v>
      </c>
      <c r="I11" s="14"/>
      <c r="J11" s="14" t="s">
        <v>23</v>
      </c>
      <c r="K11" s="14"/>
      <c r="L11" s="14"/>
      <c r="M11" s="14" t="s">
        <v>32</v>
      </c>
      <c r="N11" s="14" t="s">
        <v>25</v>
      </c>
      <c r="O11" s="14"/>
      <c r="P11" s="14"/>
      <c r="Q11" s="14"/>
      <c r="R11" s="14" t="s">
        <v>33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s="18" customFormat="1" ht="15" customHeight="1">
      <c r="A12" s="12">
        <v>43</v>
      </c>
      <c r="B12" s="13" t="s">
        <v>42</v>
      </c>
      <c r="C12" s="14"/>
      <c r="D12" s="14" t="s">
        <v>43</v>
      </c>
      <c r="E12" s="14" t="s">
        <v>44</v>
      </c>
      <c r="F12" s="15" t="s">
        <v>22</v>
      </c>
      <c r="G12" s="14"/>
      <c r="H12" s="58"/>
      <c r="I12" s="14"/>
      <c r="J12" s="14" t="s">
        <v>23</v>
      </c>
      <c r="K12" s="15"/>
      <c r="L12" s="15"/>
      <c r="M12" s="14" t="s">
        <v>27</v>
      </c>
      <c r="N12" s="25" t="s">
        <v>37</v>
      </c>
      <c r="O12" s="14" t="s">
        <v>45</v>
      </c>
      <c r="P12" s="14"/>
      <c r="Q12" s="14"/>
      <c r="R12" s="17">
        <v>43633</v>
      </c>
      <c r="S12" s="1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s="18" customFormat="1" ht="12" customHeight="1">
      <c r="A13" s="12">
        <v>820</v>
      </c>
      <c r="B13" s="13" t="s">
        <v>46</v>
      </c>
      <c r="C13" s="14"/>
      <c r="D13" s="14" t="s">
        <v>43</v>
      </c>
      <c r="E13" s="14" t="s">
        <v>44</v>
      </c>
      <c r="F13" s="15" t="s">
        <v>22</v>
      </c>
      <c r="G13" s="21"/>
      <c r="H13" s="58">
        <v>1</v>
      </c>
      <c r="I13" s="14"/>
      <c r="J13" s="14" t="s">
        <v>23</v>
      </c>
      <c r="K13" s="14"/>
      <c r="L13" s="14"/>
      <c r="M13" s="14" t="s">
        <v>29</v>
      </c>
      <c r="N13" s="25" t="s">
        <v>37</v>
      </c>
      <c r="O13" s="14" t="s">
        <v>47</v>
      </c>
      <c r="P13" s="14"/>
      <c r="Q13" s="14"/>
      <c r="R13" s="14" t="s">
        <v>30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s="18" customFormat="1" ht="15" customHeight="1">
      <c r="A14" s="12">
        <v>1609</v>
      </c>
      <c r="B14" s="13" t="s">
        <v>48</v>
      </c>
      <c r="C14" s="14"/>
      <c r="D14" s="14" t="s">
        <v>43</v>
      </c>
      <c r="E14" s="14" t="s">
        <v>44</v>
      </c>
      <c r="F14" s="15" t="s">
        <v>22</v>
      </c>
      <c r="G14" s="14"/>
      <c r="H14" s="58">
        <v>2</v>
      </c>
      <c r="I14" s="14"/>
      <c r="J14" s="14" t="s">
        <v>23</v>
      </c>
      <c r="K14" s="14"/>
      <c r="L14" s="14"/>
      <c r="M14" s="14" t="s">
        <v>32</v>
      </c>
      <c r="N14" s="25" t="s">
        <v>37</v>
      </c>
      <c r="O14" s="14" t="s">
        <v>49</v>
      </c>
      <c r="P14" s="14"/>
      <c r="Q14" s="14"/>
      <c r="R14" s="14" t="s">
        <v>33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s="18" customFormat="1" ht="15" customHeight="1">
      <c r="A15" s="12">
        <v>44</v>
      </c>
      <c r="B15" s="13" t="s">
        <v>50</v>
      </c>
      <c r="C15" s="14"/>
      <c r="D15" s="14" t="s">
        <v>51</v>
      </c>
      <c r="E15" s="14" t="s">
        <v>44</v>
      </c>
      <c r="F15" s="15" t="s">
        <v>22</v>
      </c>
      <c r="G15" s="14"/>
      <c r="H15" s="58"/>
      <c r="I15" s="14"/>
      <c r="J15" s="14" t="s">
        <v>23</v>
      </c>
      <c r="K15" s="15"/>
      <c r="L15" s="15"/>
      <c r="M15" s="14" t="s">
        <v>27</v>
      </c>
      <c r="N15" s="25" t="s">
        <v>37</v>
      </c>
      <c r="O15" s="14" t="s">
        <v>52</v>
      </c>
      <c r="P15" s="14"/>
      <c r="Q15" s="14"/>
      <c r="R15" s="17">
        <v>43633</v>
      </c>
      <c r="S15" s="1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s="18" customFormat="1" ht="15" customHeight="1">
      <c r="A16" s="12">
        <v>821</v>
      </c>
      <c r="B16" s="13" t="s">
        <v>53</v>
      </c>
      <c r="C16" s="14"/>
      <c r="D16" s="14" t="s">
        <v>51</v>
      </c>
      <c r="E16" s="14" t="s">
        <v>44</v>
      </c>
      <c r="F16" s="15" t="s">
        <v>22</v>
      </c>
      <c r="G16" s="21"/>
      <c r="H16" s="58">
        <v>3</v>
      </c>
      <c r="I16" s="14"/>
      <c r="J16" s="14" t="s">
        <v>23</v>
      </c>
      <c r="K16" s="14"/>
      <c r="L16" s="14"/>
      <c r="M16" s="14" t="s">
        <v>29</v>
      </c>
      <c r="N16" s="25" t="s">
        <v>37</v>
      </c>
      <c r="O16" s="14" t="s">
        <v>54</v>
      </c>
      <c r="P16" s="14"/>
      <c r="Q16" s="14"/>
      <c r="R16" s="14" t="s">
        <v>30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18" customFormat="1" ht="15" customHeight="1">
      <c r="A17" s="12">
        <v>1610</v>
      </c>
      <c r="B17" s="13" t="s">
        <v>55</v>
      </c>
      <c r="C17" s="14"/>
      <c r="D17" s="14" t="s">
        <v>51</v>
      </c>
      <c r="E17" s="14" t="s">
        <v>44</v>
      </c>
      <c r="F17" s="15" t="s">
        <v>22</v>
      </c>
      <c r="G17" s="14"/>
      <c r="H17" s="58">
        <v>3</v>
      </c>
      <c r="I17" s="14"/>
      <c r="J17" s="14" t="s">
        <v>23</v>
      </c>
      <c r="K17" s="14"/>
      <c r="L17" s="14"/>
      <c r="M17" s="14" t="s">
        <v>32</v>
      </c>
      <c r="N17" s="25" t="s">
        <v>37</v>
      </c>
      <c r="O17" s="14" t="s">
        <v>56</v>
      </c>
      <c r="P17" s="14"/>
      <c r="Q17" s="14"/>
      <c r="R17" s="14" t="s">
        <v>33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s="18" customFormat="1" ht="15" customHeight="1">
      <c r="A18" s="12">
        <v>45</v>
      </c>
      <c r="B18" s="13" t="s">
        <v>57</v>
      </c>
      <c r="C18" s="14"/>
      <c r="D18" s="14" t="s">
        <v>58</v>
      </c>
      <c r="E18" s="14" t="s">
        <v>44</v>
      </c>
      <c r="F18" s="15" t="s">
        <v>22</v>
      </c>
      <c r="G18" s="14"/>
      <c r="H18" s="58"/>
      <c r="I18" s="14"/>
      <c r="J18" s="14" t="s">
        <v>23</v>
      </c>
      <c r="K18" s="15"/>
      <c r="L18" s="15"/>
      <c r="M18" s="14" t="s">
        <v>27</v>
      </c>
      <c r="N18" s="14" t="s">
        <v>25</v>
      </c>
      <c r="O18" s="14"/>
      <c r="P18" s="14"/>
      <c r="Q18" s="14"/>
      <c r="R18" s="17">
        <v>43633</v>
      </c>
      <c r="S18" s="1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s="18" customFormat="1" ht="15" customHeight="1">
      <c r="A19" s="12">
        <v>822</v>
      </c>
      <c r="B19" s="13" t="s">
        <v>59</v>
      </c>
      <c r="C19" s="14"/>
      <c r="D19" s="14" t="s">
        <v>58</v>
      </c>
      <c r="E19" s="14" t="s">
        <v>44</v>
      </c>
      <c r="F19" s="15" t="s">
        <v>22</v>
      </c>
      <c r="G19" s="21"/>
      <c r="H19" s="58"/>
      <c r="I19" s="14"/>
      <c r="J19" s="14" t="s">
        <v>23</v>
      </c>
      <c r="K19" s="14"/>
      <c r="L19" s="14"/>
      <c r="M19" s="14" t="s">
        <v>29</v>
      </c>
      <c r="N19" s="14" t="s">
        <v>25</v>
      </c>
      <c r="O19" s="14"/>
      <c r="P19" s="14"/>
      <c r="Q19" s="14"/>
      <c r="R19" s="14" t="s">
        <v>30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18" customFormat="1" ht="15" customHeight="1">
      <c r="A20" s="12">
        <v>1611</v>
      </c>
      <c r="B20" s="13" t="s">
        <v>60</v>
      </c>
      <c r="C20" s="14"/>
      <c r="D20" s="14" t="s">
        <v>58</v>
      </c>
      <c r="E20" s="14" t="s">
        <v>44</v>
      </c>
      <c r="F20" s="15" t="s">
        <v>22</v>
      </c>
      <c r="G20" s="14"/>
      <c r="H20" s="58">
        <v>0</v>
      </c>
      <c r="I20" s="14"/>
      <c r="J20" s="14" t="s">
        <v>23</v>
      </c>
      <c r="K20" s="14"/>
      <c r="L20" s="14"/>
      <c r="M20" s="14" t="s">
        <v>32</v>
      </c>
      <c r="N20" s="14" t="s">
        <v>25</v>
      </c>
      <c r="O20" s="14"/>
      <c r="P20" s="14"/>
      <c r="Q20" s="14"/>
      <c r="R20" s="14" t="s">
        <v>33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s="18" customFormat="1" ht="15" customHeight="1">
      <c r="A21" s="12">
        <v>10</v>
      </c>
      <c r="B21" s="13" t="s">
        <v>61</v>
      </c>
      <c r="C21" s="14"/>
      <c r="D21" s="14" t="s">
        <v>62</v>
      </c>
      <c r="E21" s="14" t="s">
        <v>36</v>
      </c>
      <c r="F21" s="15" t="s">
        <v>22</v>
      </c>
      <c r="G21" s="14"/>
      <c r="H21" s="58"/>
      <c r="I21" s="14"/>
      <c r="J21" s="14" t="s">
        <v>23</v>
      </c>
      <c r="K21" s="15"/>
      <c r="L21" s="15"/>
      <c r="M21" s="14" t="s">
        <v>24</v>
      </c>
      <c r="N21" s="14" t="s">
        <v>25</v>
      </c>
      <c r="O21" s="14"/>
      <c r="P21" s="14"/>
      <c r="Q21" s="14"/>
      <c r="R21" s="17">
        <v>43599</v>
      </c>
      <c r="S21" s="1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s="18" customFormat="1" ht="15" customHeight="1">
      <c r="A22" s="12">
        <v>46</v>
      </c>
      <c r="B22" s="13" t="s">
        <v>63</v>
      </c>
      <c r="C22" s="14"/>
      <c r="D22" s="14" t="s">
        <v>62</v>
      </c>
      <c r="E22" s="14" t="s">
        <v>36</v>
      </c>
      <c r="F22" s="15" t="s">
        <v>22</v>
      </c>
      <c r="G22" s="14"/>
      <c r="H22" s="58"/>
      <c r="I22" s="14"/>
      <c r="J22" s="14" t="s">
        <v>23</v>
      </c>
      <c r="K22" s="15"/>
      <c r="L22" s="15"/>
      <c r="M22" s="14" t="s">
        <v>27</v>
      </c>
      <c r="N22" s="14" t="s">
        <v>25</v>
      </c>
      <c r="O22" s="14"/>
      <c r="P22" s="14"/>
      <c r="Q22" s="14"/>
      <c r="R22" s="17">
        <v>43633</v>
      </c>
      <c r="S22" s="1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s="18" customFormat="1" ht="15" customHeight="1">
      <c r="A23" s="12">
        <v>823</v>
      </c>
      <c r="B23" s="13" t="s">
        <v>64</v>
      </c>
      <c r="C23" s="14"/>
      <c r="D23" s="14" t="s">
        <v>62</v>
      </c>
      <c r="E23" s="14" t="s">
        <v>36</v>
      </c>
      <c r="F23" s="15" t="s">
        <v>22</v>
      </c>
      <c r="G23" s="21"/>
      <c r="H23" s="58">
        <v>1</v>
      </c>
      <c r="I23" s="14"/>
      <c r="J23" s="14" t="s">
        <v>23</v>
      </c>
      <c r="K23" s="14"/>
      <c r="L23" s="14"/>
      <c r="M23" s="14" t="s">
        <v>29</v>
      </c>
      <c r="N23" s="25" t="s">
        <v>37</v>
      </c>
      <c r="O23" s="14" t="s">
        <v>65</v>
      </c>
      <c r="P23" s="14"/>
      <c r="Q23" s="14"/>
      <c r="R23" s="14" t="s">
        <v>30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s="18" customFormat="1" ht="15" customHeight="1">
      <c r="A24" s="12">
        <v>1612</v>
      </c>
      <c r="B24" s="13" t="s">
        <v>66</v>
      </c>
      <c r="C24" s="14"/>
      <c r="D24" s="14" t="s">
        <v>62</v>
      </c>
      <c r="E24" s="14" t="s">
        <v>36</v>
      </c>
      <c r="F24" s="15" t="s">
        <v>22</v>
      </c>
      <c r="G24" s="14"/>
      <c r="H24" s="58">
        <v>3</v>
      </c>
      <c r="I24" s="14"/>
      <c r="J24" s="14" t="s">
        <v>23</v>
      </c>
      <c r="K24" s="14"/>
      <c r="L24" s="14"/>
      <c r="M24" s="14" t="s">
        <v>32</v>
      </c>
      <c r="N24" s="25" t="s">
        <v>37</v>
      </c>
      <c r="O24" s="14" t="s">
        <v>67</v>
      </c>
      <c r="P24" s="14"/>
      <c r="Q24" s="14"/>
      <c r="R24" s="14" t="s">
        <v>33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s="18" customFormat="1" ht="15" customHeight="1">
      <c r="A25" s="12">
        <v>47</v>
      </c>
      <c r="B25" s="13" t="s">
        <v>68</v>
      </c>
      <c r="C25" s="14"/>
      <c r="D25" s="14" t="s">
        <v>69</v>
      </c>
      <c r="E25" s="14" t="s">
        <v>36</v>
      </c>
      <c r="F25" s="15" t="s">
        <v>22</v>
      </c>
      <c r="G25" s="14"/>
      <c r="H25" s="58"/>
      <c r="I25" s="14"/>
      <c r="J25" s="14" t="s">
        <v>23</v>
      </c>
      <c r="K25" s="15"/>
      <c r="L25" s="15"/>
      <c r="M25" s="14" t="s">
        <v>27</v>
      </c>
      <c r="N25" s="25" t="s">
        <v>37</v>
      </c>
      <c r="O25" s="14" t="s">
        <v>45</v>
      </c>
      <c r="P25" s="14"/>
      <c r="Q25" s="14"/>
      <c r="R25" s="17">
        <v>43633</v>
      </c>
      <c r="S25" s="1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s="18" customFormat="1" ht="15" customHeight="1">
      <c r="A26" s="12">
        <v>824</v>
      </c>
      <c r="B26" s="13" t="s">
        <v>70</v>
      </c>
      <c r="C26" s="14"/>
      <c r="D26" s="14" t="s">
        <v>69</v>
      </c>
      <c r="E26" s="14" t="s">
        <v>36</v>
      </c>
      <c r="F26" s="15" t="s">
        <v>22</v>
      </c>
      <c r="G26" s="21"/>
      <c r="H26" s="58">
        <v>2</v>
      </c>
      <c r="I26" s="14"/>
      <c r="J26" s="14" t="s">
        <v>23</v>
      </c>
      <c r="K26" s="14"/>
      <c r="L26" s="14"/>
      <c r="M26" s="14" t="s">
        <v>29</v>
      </c>
      <c r="N26" s="25" t="s">
        <v>37</v>
      </c>
      <c r="O26" s="14" t="s">
        <v>71</v>
      </c>
      <c r="P26" s="14"/>
      <c r="Q26" s="14"/>
      <c r="R26" s="14" t="s">
        <v>30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s="18" customFormat="1" ht="15" customHeight="1">
      <c r="A27" s="12">
        <v>1613</v>
      </c>
      <c r="B27" s="13" t="s">
        <v>72</v>
      </c>
      <c r="C27" s="14"/>
      <c r="D27" s="14" t="s">
        <v>69</v>
      </c>
      <c r="E27" s="14" t="s">
        <v>36</v>
      </c>
      <c r="F27" s="15" t="s">
        <v>22</v>
      </c>
      <c r="G27" s="14"/>
      <c r="H27" s="58">
        <v>4</v>
      </c>
      <c r="I27" s="14"/>
      <c r="J27" s="14" t="s">
        <v>23</v>
      </c>
      <c r="K27" s="14"/>
      <c r="L27" s="14"/>
      <c r="M27" s="14" t="s">
        <v>32</v>
      </c>
      <c r="N27" s="25" t="s">
        <v>37</v>
      </c>
      <c r="O27" s="14" t="s">
        <v>73</v>
      </c>
      <c r="P27" s="14"/>
      <c r="Q27" s="14"/>
      <c r="R27" s="14" t="s">
        <v>33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s="18" customFormat="1" ht="15" customHeight="1">
      <c r="A28" s="12">
        <v>48</v>
      </c>
      <c r="B28" s="13" t="s">
        <v>74</v>
      </c>
      <c r="C28" s="14"/>
      <c r="D28" s="14" t="s">
        <v>75</v>
      </c>
      <c r="E28" s="14" t="s">
        <v>21</v>
      </c>
      <c r="F28" s="15" t="s">
        <v>22</v>
      </c>
      <c r="G28" s="14"/>
      <c r="H28" s="58"/>
      <c r="I28" s="14"/>
      <c r="J28" s="14" t="s">
        <v>23</v>
      </c>
      <c r="K28" s="15"/>
      <c r="L28" s="15"/>
      <c r="M28" s="14" t="s">
        <v>27</v>
      </c>
      <c r="N28" s="14" t="s">
        <v>25</v>
      </c>
      <c r="O28" s="14"/>
      <c r="P28" s="14"/>
      <c r="Q28" s="14"/>
      <c r="R28" s="17">
        <v>43633</v>
      </c>
      <c r="S28" s="1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s="18" customFormat="1" ht="15" customHeight="1">
      <c r="A29" s="12">
        <v>825</v>
      </c>
      <c r="B29" s="13" t="s">
        <v>76</v>
      </c>
      <c r="C29" s="14"/>
      <c r="D29" s="14" t="s">
        <v>75</v>
      </c>
      <c r="E29" s="14" t="s">
        <v>21</v>
      </c>
      <c r="F29" s="15" t="s">
        <v>22</v>
      </c>
      <c r="G29" s="21"/>
      <c r="H29" s="58">
        <v>2</v>
      </c>
      <c r="I29" s="14"/>
      <c r="J29" s="14" t="s">
        <v>23</v>
      </c>
      <c r="K29" s="14"/>
      <c r="L29" s="14"/>
      <c r="M29" s="14" t="s">
        <v>29</v>
      </c>
      <c r="N29" s="14" t="s">
        <v>25</v>
      </c>
      <c r="O29" s="14"/>
      <c r="P29" s="14"/>
      <c r="Q29" s="14"/>
      <c r="R29" s="14" t="s">
        <v>30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18" customFormat="1" ht="15" customHeight="1">
      <c r="A30" s="12">
        <v>1614</v>
      </c>
      <c r="B30" s="13" t="s">
        <v>77</v>
      </c>
      <c r="C30" s="14"/>
      <c r="D30" s="14" t="s">
        <v>75</v>
      </c>
      <c r="E30" s="14" t="s">
        <v>21</v>
      </c>
      <c r="F30" s="15" t="s">
        <v>22</v>
      </c>
      <c r="G30" s="14"/>
      <c r="H30" s="58">
        <v>1</v>
      </c>
      <c r="I30" s="14"/>
      <c r="J30" s="14" t="s">
        <v>23</v>
      </c>
      <c r="K30" s="14"/>
      <c r="L30" s="14"/>
      <c r="M30" s="14" t="s">
        <v>32</v>
      </c>
      <c r="N30" s="14" t="s">
        <v>25</v>
      </c>
      <c r="O30" s="14"/>
      <c r="P30" s="14"/>
      <c r="Q30" s="14"/>
      <c r="R30" s="14" t="s">
        <v>33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s="18" customFormat="1" ht="15" customHeight="1">
      <c r="A31" s="12">
        <v>49</v>
      </c>
      <c r="B31" s="13" t="s">
        <v>78</v>
      </c>
      <c r="C31" s="14"/>
      <c r="D31" s="14" t="s">
        <v>79</v>
      </c>
      <c r="E31" s="14" t="s">
        <v>36</v>
      </c>
      <c r="F31" s="15" t="s">
        <v>22</v>
      </c>
      <c r="G31" s="14"/>
      <c r="H31" s="58"/>
      <c r="I31" s="14"/>
      <c r="J31" s="14" t="s">
        <v>23</v>
      </c>
      <c r="K31" s="15"/>
      <c r="L31" s="15"/>
      <c r="M31" s="14" t="s">
        <v>27</v>
      </c>
      <c r="N31" s="25" t="s">
        <v>37</v>
      </c>
      <c r="O31" s="14" t="s">
        <v>80</v>
      </c>
      <c r="P31" s="14"/>
      <c r="Q31" s="14"/>
      <c r="R31" s="17">
        <v>43633</v>
      </c>
      <c r="S31" s="1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s="18" customFormat="1" ht="15" customHeight="1">
      <c r="A32" s="12">
        <v>826</v>
      </c>
      <c r="B32" s="13" t="s">
        <v>81</v>
      </c>
      <c r="C32" s="14"/>
      <c r="D32" s="14" t="s">
        <v>79</v>
      </c>
      <c r="E32" s="14" t="s">
        <v>36</v>
      </c>
      <c r="F32" s="15" t="s">
        <v>22</v>
      </c>
      <c r="G32" s="21"/>
      <c r="H32" s="58"/>
      <c r="I32" s="14"/>
      <c r="J32" s="14" t="s">
        <v>23</v>
      </c>
      <c r="K32" s="14"/>
      <c r="L32" s="14"/>
      <c r="M32" s="14" t="s">
        <v>29</v>
      </c>
      <c r="N32" s="25" t="s">
        <v>37</v>
      </c>
      <c r="O32" s="14" t="s">
        <v>82</v>
      </c>
      <c r="P32" s="14"/>
      <c r="Q32" s="14"/>
      <c r="R32" s="14" t="s">
        <v>30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s="18" customFormat="1" ht="15" customHeight="1">
      <c r="A33" s="12">
        <v>1615</v>
      </c>
      <c r="B33" s="13" t="s">
        <v>83</v>
      </c>
      <c r="C33" s="14"/>
      <c r="D33" s="14" t="s">
        <v>79</v>
      </c>
      <c r="E33" s="14" t="s">
        <v>36</v>
      </c>
      <c r="F33" s="15" t="s">
        <v>22</v>
      </c>
      <c r="G33" s="14"/>
      <c r="H33" s="58">
        <v>2</v>
      </c>
      <c r="I33" s="14"/>
      <c r="J33" s="14" t="s">
        <v>23</v>
      </c>
      <c r="K33" s="14"/>
      <c r="L33" s="14"/>
      <c r="M33" s="14" t="s">
        <v>32</v>
      </c>
      <c r="N33" s="25" t="s">
        <v>37</v>
      </c>
      <c r="O33" s="14" t="s">
        <v>84</v>
      </c>
      <c r="P33" s="14"/>
      <c r="Q33" s="14"/>
      <c r="R33" s="14" t="s">
        <v>33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s="18" customFormat="1" ht="15" customHeight="1">
      <c r="A34" s="12">
        <v>50</v>
      </c>
      <c r="B34" s="13" t="s">
        <v>85</v>
      </c>
      <c r="C34" s="14"/>
      <c r="D34" s="14" t="s">
        <v>86</v>
      </c>
      <c r="E34" s="14" t="s">
        <v>36</v>
      </c>
      <c r="F34" s="15" t="s">
        <v>22</v>
      </c>
      <c r="G34" s="14"/>
      <c r="H34" s="58"/>
      <c r="I34" s="14"/>
      <c r="J34" s="14" t="s">
        <v>23</v>
      </c>
      <c r="K34" s="15"/>
      <c r="L34" s="15"/>
      <c r="M34" s="14" t="s">
        <v>27</v>
      </c>
      <c r="N34" s="14" t="s">
        <v>25</v>
      </c>
      <c r="O34" s="14"/>
      <c r="P34" s="14"/>
      <c r="Q34" s="14"/>
      <c r="R34" s="17">
        <v>43633</v>
      </c>
      <c r="S34" s="1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s="18" customFormat="1" ht="15" customHeight="1">
      <c r="A35" s="12">
        <v>827</v>
      </c>
      <c r="B35" s="13" t="s">
        <v>87</v>
      </c>
      <c r="C35" s="14"/>
      <c r="D35" s="14" t="s">
        <v>86</v>
      </c>
      <c r="E35" s="14" t="s">
        <v>36</v>
      </c>
      <c r="F35" s="15" t="s">
        <v>22</v>
      </c>
      <c r="G35" s="21"/>
      <c r="H35" s="58">
        <v>2</v>
      </c>
      <c r="I35" s="14"/>
      <c r="J35" s="14" t="s">
        <v>23</v>
      </c>
      <c r="K35" s="14"/>
      <c r="L35" s="14"/>
      <c r="M35" s="14" t="s">
        <v>29</v>
      </c>
      <c r="N35" s="25" t="s">
        <v>37</v>
      </c>
      <c r="O35" s="14" t="s">
        <v>65</v>
      </c>
      <c r="P35" s="14"/>
      <c r="Q35" s="14"/>
      <c r="R35" s="14" t="s">
        <v>30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s="18" customFormat="1" ht="15.75" customHeight="1">
      <c r="A36" s="12">
        <v>1616</v>
      </c>
      <c r="B36" s="13" t="s">
        <v>88</v>
      </c>
      <c r="C36" s="14"/>
      <c r="D36" s="14" t="s">
        <v>86</v>
      </c>
      <c r="E36" s="14" t="s">
        <v>36</v>
      </c>
      <c r="F36" s="15" t="s">
        <v>22</v>
      </c>
      <c r="G36" s="14"/>
      <c r="H36" s="58">
        <v>1</v>
      </c>
      <c r="I36" s="14"/>
      <c r="J36" s="14" t="s">
        <v>23</v>
      </c>
      <c r="K36" s="14"/>
      <c r="L36" s="14"/>
      <c r="M36" s="14" t="s">
        <v>32</v>
      </c>
      <c r="N36" s="25" t="s">
        <v>37</v>
      </c>
      <c r="O36" s="14" t="s">
        <v>89</v>
      </c>
      <c r="P36" s="14"/>
      <c r="Q36" s="14"/>
      <c r="R36" s="14" t="s">
        <v>33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s="18" customFormat="1" ht="15" customHeight="1">
      <c r="A37" s="12">
        <v>51</v>
      </c>
      <c r="B37" s="13" t="s">
        <v>90</v>
      </c>
      <c r="C37" s="14"/>
      <c r="D37" s="14" t="s">
        <v>91</v>
      </c>
      <c r="E37" s="14" t="s">
        <v>92</v>
      </c>
      <c r="F37" s="15" t="s">
        <v>22</v>
      </c>
      <c r="G37" s="14"/>
      <c r="H37" s="58"/>
      <c r="I37" s="14"/>
      <c r="J37" s="14" t="s">
        <v>23</v>
      </c>
      <c r="K37" s="15"/>
      <c r="L37" s="15"/>
      <c r="M37" s="14" t="s">
        <v>27</v>
      </c>
      <c r="N37" s="14" t="s">
        <v>25</v>
      </c>
      <c r="O37" s="14"/>
      <c r="P37" s="14"/>
      <c r="Q37" s="14"/>
      <c r="R37" s="17">
        <v>43633</v>
      </c>
      <c r="S37" s="12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18" customFormat="1" ht="15" customHeight="1">
      <c r="A38" s="12">
        <v>828</v>
      </c>
      <c r="B38" s="13" t="s">
        <v>93</v>
      </c>
      <c r="C38" s="14"/>
      <c r="D38" s="14" t="s">
        <v>91</v>
      </c>
      <c r="E38" s="14" t="s">
        <v>92</v>
      </c>
      <c r="F38" s="15" t="s">
        <v>22</v>
      </c>
      <c r="G38" s="21"/>
      <c r="H38" s="58"/>
      <c r="I38" s="14"/>
      <c r="J38" s="14" t="s">
        <v>23</v>
      </c>
      <c r="K38" s="14"/>
      <c r="L38" s="14"/>
      <c r="M38" s="14" t="s">
        <v>29</v>
      </c>
      <c r="N38" s="14" t="s">
        <v>25</v>
      </c>
      <c r="O38" s="14"/>
      <c r="P38" s="14"/>
      <c r="Q38" s="14"/>
      <c r="R38" s="14" t="s">
        <v>30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s="18" customFormat="1" ht="15" customHeight="1">
      <c r="A39" s="12">
        <v>1617</v>
      </c>
      <c r="B39" s="13" t="s">
        <v>94</v>
      </c>
      <c r="C39" s="14"/>
      <c r="D39" s="14" t="s">
        <v>91</v>
      </c>
      <c r="E39" s="14" t="s">
        <v>92</v>
      </c>
      <c r="F39" s="15" t="s">
        <v>22</v>
      </c>
      <c r="G39" s="14"/>
      <c r="H39" s="58">
        <v>0</v>
      </c>
      <c r="I39" s="14"/>
      <c r="J39" s="14" t="s">
        <v>23</v>
      </c>
      <c r="K39" s="14"/>
      <c r="L39" s="14"/>
      <c r="M39" s="14" t="s">
        <v>32</v>
      </c>
      <c r="N39" s="14" t="s">
        <v>25</v>
      </c>
      <c r="O39" s="14"/>
      <c r="P39" s="14"/>
      <c r="Q39" s="14"/>
      <c r="R39" s="14" t="s">
        <v>33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s="18" customFormat="1" ht="15" customHeight="1">
      <c r="A40" s="12">
        <v>16</v>
      </c>
      <c r="B40" s="13" t="s">
        <v>95</v>
      </c>
      <c r="C40" s="14"/>
      <c r="D40" s="14" t="s">
        <v>96</v>
      </c>
      <c r="E40" s="14" t="s">
        <v>44</v>
      </c>
      <c r="F40" s="15" t="s">
        <v>22</v>
      </c>
      <c r="G40" s="14"/>
      <c r="H40" s="58"/>
      <c r="I40" s="14"/>
      <c r="J40" s="14" t="s">
        <v>23</v>
      </c>
      <c r="K40" s="15"/>
      <c r="L40" s="15"/>
      <c r="M40" s="14" t="s">
        <v>24</v>
      </c>
      <c r="N40" s="14" t="s">
        <v>25</v>
      </c>
      <c r="O40" s="14"/>
      <c r="P40" s="14"/>
      <c r="Q40" s="14"/>
      <c r="R40" s="17">
        <v>43599</v>
      </c>
      <c r="S40" s="1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s="18" customFormat="1" ht="15" customHeight="1">
      <c r="A41" s="12">
        <v>52</v>
      </c>
      <c r="B41" s="13" t="s">
        <v>97</v>
      </c>
      <c r="C41" s="14"/>
      <c r="D41" s="14" t="s">
        <v>96</v>
      </c>
      <c r="E41" s="14" t="s">
        <v>44</v>
      </c>
      <c r="F41" s="15" t="s">
        <v>22</v>
      </c>
      <c r="G41" s="14"/>
      <c r="H41" s="58"/>
      <c r="I41" s="14"/>
      <c r="J41" s="14" t="s">
        <v>23</v>
      </c>
      <c r="K41" s="15"/>
      <c r="L41" s="15"/>
      <c r="M41" s="14" t="s">
        <v>27</v>
      </c>
      <c r="N41" s="14" t="s">
        <v>25</v>
      </c>
      <c r="O41" s="14"/>
      <c r="P41" s="14"/>
      <c r="Q41" s="14"/>
      <c r="R41" s="17">
        <v>43633</v>
      </c>
      <c r="S41" s="1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s="18" customFormat="1" ht="15" customHeight="1">
      <c r="A42" s="12">
        <v>829</v>
      </c>
      <c r="B42" s="13" t="s">
        <v>98</v>
      </c>
      <c r="C42" s="14"/>
      <c r="D42" s="14" t="s">
        <v>96</v>
      </c>
      <c r="E42" s="14" t="s">
        <v>44</v>
      </c>
      <c r="F42" s="15" t="s">
        <v>22</v>
      </c>
      <c r="G42" s="21"/>
      <c r="H42" s="58"/>
      <c r="I42" s="14"/>
      <c r="J42" s="14" t="s">
        <v>23</v>
      </c>
      <c r="K42" s="14"/>
      <c r="L42" s="14"/>
      <c r="M42" s="14" t="s">
        <v>29</v>
      </c>
      <c r="N42" s="14" t="s">
        <v>25</v>
      </c>
      <c r="O42" s="14"/>
      <c r="P42" s="14"/>
      <c r="Q42" s="14"/>
      <c r="R42" s="14" t="s">
        <v>30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s="18" customFormat="1" ht="15" customHeight="1">
      <c r="A43" s="12">
        <v>1618</v>
      </c>
      <c r="B43" s="13" t="s">
        <v>99</v>
      </c>
      <c r="C43" s="14"/>
      <c r="D43" s="14" t="s">
        <v>96</v>
      </c>
      <c r="E43" s="14" t="s">
        <v>44</v>
      </c>
      <c r="F43" s="15" t="s">
        <v>22</v>
      </c>
      <c r="G43" s="14"/>
      <c r="H43" s="58">
        <v>0</v>
      </c>
      <c r="I43" s="14"/>
      <c r="J43" s="14" t="s">
        <v>23</v>
      </c>
      <c r="K43" s="14"/>
      <c r="L43" s="14"/>
      <c r="M43" s="14" t="s">
        <v>32</v>
      </c>
      <c r="N43" s="14" t="s">
        <v>25</v>
      </c>
      <c r="O43" s="14"/>
      <c r="P43" s="14"/>
      <c r="Q43" s="14"/>
      <c r="R43" s="14" t="s">
        <v>33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s="18" customFormat="1" ht="15" customHeight="1">
      <c r="A44" s="12">
        <v>53</v>
      </c>
      <c r="B44" s="13" t="s">
        <v>100</v>
      </c>
      <c r="C44" s="14"/>
      <c r="D44" s="14" t="s">
        <v>101</v>
      </c>
      <c r="E44" s="14" t="s">
        <v>44</v>
      </c>
      <c r="F44" s="15" t="s">
        <v>22</v>
      </c>
      <c r="G44" s="14"/>
      <c r="H44" s="58"/>
      <c r="I44" s="14"/>
      <c r="J44" s="14" t="s">
        <v>23</v>
      </c>
      <c r="K44" s="15"/>
      <c r="L44" s="15"/>
      <c r="M44" s="14" t="s">
        <v>27</v>
      </c>
      <c r="N44" s="14" t="s">
        <v>25</v>
      </c>
      <c r="O44" s="14"/>
      <c r="P44" s="14"/>
      <c r="Q44" s="14"/>
      <c r="R44" s="17">
        <v>43633</v>
      </c>
      <c r="S44" s="12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s="18" customFormat="1" ht="15" customHeight="1">
      <c r="A45" s="12">
        <v>830</v>
      </c>
      <c r="B45" s="13" t="s">
        <v>102</v>
      </c>
      <c r="C45" s="14"/>
      <c r="D45" s="14" t="s">
        <v>101</v>
      </c>
      <c r="E45" s="14" t="s">
        <v>44</v>
      </c>
      <c r="F45" s="15" t="s">
        <v>22</v>
      </c>
      <c r="G45" s="21"/>
      <c r="H45" s="58"/>
      <c r="I45" s="14"/>
      <c r="J45" s="14" t="s">
        <v>23</v>
      </c>
      <c r="K45" s="14"/>
      <c r="L45" s="14"/>
      <c r="M45" s="14" t="s">
        <v>29</v>
      </c>
      <c r="N45" s="14" t="s">
        <v>25</v>
      </c>
      <c r="O45" s="14"/>
      <c r="P45" s="14"/>
      <c r="Q45" s="14"/>
      <c r="R45" s="14" t="s">
        <v>30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s="18" customFormat="1" ht="15" customHeight="1">
      <c r="A46" s="12">
        <v>1619</v>
      </c>
      <c r="B46" s="13" t="s">
        <v>103</v>
      </c>
      <c r="C46" s="14"/>
      <c r="D46" s="14" t="s">
        <v>101</v>
      </c>
      <c r="E46" s="14" t="s">
        <v>44</v>
      </c>
      <c r="F46" s="15" t="s">
        <v>22</v>
      </c>
      <c r="G46" s="14"/>
      <c r="H46" s="58">
        <v>0</v>
      </c>
      <c r="I46" s="14"/>
      <c r="J46" s="14" t="s">
        <v>23</v>
      </c>
      <c r="K46" s="14"/>
      <c r="L46" s="14"/>
      <c r="M46" s="14" t="s">
        <v>32</v>
      </c>
      <c r="N46" s="14" t="s">
        <v>25</v>
      </c>
      <c r="O46" s="14"/>
      <c r="P46" s="14"/>
      <c r="Q46" s="14"/>
      <c r="R46" s="14" t="s">
        <v>33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s="18" customFormat="1" ht="15" customHeight="1">
      <c r="A47" s="12">
        <v>54</v>
      </c>
      <c r="B47" s="13" t="s">
        <v>104</v>
      </c>
      <c r="C47" s="14"/>
      <c r="D47" s="14" t="s">
        <v>105</v>
      </c>
      <c r="E47" s="14" t="s">
        <v>21</v>
      </c>
      <c r="F47" s="15" t="s">
        <v>22</v>
      </c>
      <c r="G47" s="14"/>
      <c r="H47" s="58"/>
      <c r="I47" s="14"/>
      <c r="J47" s="14" t="s">
        <v>23</v>
      </c>
      <c r="K47" s="15"/>
      <c r="L47" s="15"/>
      <c r="M47" s="14" t="s">
        <v>27</v>
      </c>
      <c r="N47" s="14" t="s">
        <v>25</v>
      </c>
      <c r="O47" s="14"/>
      <c r="P47" s="14"/>
      <c r="Q47" s="14"/>
      <c r="R47" s="17">
        <v>43633</v>
      </c>
      <c r="S47" s="1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s="18" customFormat="1" ht="15" customHeight="1">
      <c r="A48" s="12">
        <v>831</v>
      </c>
      <c r="B48" s="13" t="s">
        <v>106</v>
      </c>
      <c r="C48" s="14"/>
      <c r="D48" s="14" t="s">
        <v>105</v>
      </c>
      <c r="E48" s="14" t="s">
        <v>21</v>
      </c>
      <c r="F48" s="15" t="s">
        <v>22</v>
      </c>
      <c r="G48" s="21"/>
      <c r="H48" s="58"/>
      <c r="I48" s="14"/>
      <c r="J48" s="14" t="s">
        <v>23</v>
      </c>
      <c r="K48" s="14"/>
      <c r="L48" s="14"/>
      <c r="M48" s="14" t="s">
        <v>29</v>
      </c>
      <c r="N48" s="14" t="s">
        <v>25</v>
      </c>
      <c r="O48" s="14"/>
      <c r="P48" s="14"/>
      <c r="Q48" s="14"/>
      <c r="R48" s="14" t="s">
        <v>30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s="18" customFormat="1" ht="15" customHeight="1">
      <c r="A49" s="12">
        <v>1620</v>
      </c>
      <c r="B49" s="13" t="s">
        <v>107</v>
      </c>
      <c r="C49" s="14"/>
      <c r="D49" s="14" t="s">
        <v>105</v>
      </c>
      <c r="E49" s="14" t="s">
        <v>21</v>
      </c>
      <c r="F49" s="15" t="s">
        <v>22</v>
      </c>
      <c r="G49" s="14"/>
      <c r="H49" s="58">
        <v>0</v>
      </c>
      <c r="I49" s="14"/>
      <c r="J49" s="14" t="s">
        <v>23</v>
      </c>
      <c r="K49" s="14"/>
      <c r="L49" s="14"/>
      <c r="M49" s="14" t="s">
        <v>32</v>
      </c>
      <c r="N49" s="14" t="s">
        <v>25</v>
      </c>
      <c r="O49" s="14"/>
      <c r="P49" s="14"/>
      <c r="Q49" s="14"/>
      <c r="R49" s="14" t="s">
        <v>33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s="18" customFormat="1" ht="15" customHeight="1">
      <c r="A50" s="12">
        <v>55</v>
      </c>
      <c r="B50" s="13" t="s">
        <v>108</v>
      </c>
      <c r="C50" s="14"/>
      <c r="D50" s="14" t="s">
        <v>109</v>
      </c>
      <c r="E50" s="14" t="s">
        <v>21</v>
      </c>
      <c r="F50" s="15" t="s">
        <v>22</v>
      </c>
      <c r="G50" s="14"/>
      <c r="H50" s="58"/>
      <c r="I50" s="14"/>
      <c r="J50" s="14" t="s">
        <v>23</v>
      </c>
      <c r="K50" s="15"/>
      <c r="L50" s="15"/>
      <c r="M50" s="14" t="s">
        <v>27</v>
      </c>
      <c r="N50" s="14" t="s">
        <v>25</v>
      </c>
      <c r="O50" s="14"/>
      <c r="P50" s="14"/>
      <c r="Q50" s="14"/>
      <c r="R50" s="17">
        <v>43633</v>
      </c>
      <c r="S50" s="12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s="18" customFormat="1" ht="15" customHeight="1">
      <c r="A51" s="12">
        <v>832</v>
      </c>
      <c r="B51" s="13" t="s">
        <v>110</v>
      </c>
      <c r="C51" s="14"/>
      <c r="D51" s="14" t="s">
        <v>109</v>
      </c>
      <c r="E51" s="14" t="s">
        <v>21</v>
      </c>
      <c r="F51" s="15" t="s">
        <v>22</v>
      </c>
      <c r="G51" s="21"/>
      <c r="H51" s="58"/>
      <c r="I51" s="14"/>
      <c r="J51" s="14" t="s">
        <v>23</v>
      </c>
      <c r="K51" s="14"/>
      <c r="L51" s="14"/>
      <c r="M51" s="14" t="s">
        <v>29</v>
      </c>
      <c r="N51" s="14" t="s">
        <v>25</v>
      </c>
      <c r="O51" s="14"/>
      <c r="P51" s="14"/>
      <c r="Q51" s="14"/>
      <c r="R51" s="14" t="s">
        <v>30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s="18" customFormat="1" ht="15" customHeight="1">
      <c r="A52" s="12">
        <v>1621</v>
      </c>
      <c r="B52" s="13" t="s">
        <v>111</v>
      </c>
      <c r="C52" s="14"/>
      <c r="D52" s="14" t="s">
        <v>109</v>
      </c>
      <c r="E52" s="14" t="s">
        <v>92</v>
      </c>
      <c r="F52" s="15" t="s">
        <v>22</v>
      </c>
      <c r="G52" s="14"/>
      <c r="H52" s="58">
        <v>2</v>
      </c>
      <c r="I52" s="14"/>
      <c r="J52" s="14" t="s">
        <v>23</v>
      </c>
      <c r="K52" s="14"/>
      <c r="L52" s="14"/>
      <c r="M52" s="14" t="s">
        <v>32</v>
      </c>
      <c r="N52" s="25" t="s">
        <v>37</v>
      </c>
      <c r="O52" s="14" t="s">
        <v>112</v>
      </c>
      <c r="P52" s="14"/>
      <c r="Q52" s="14"/>
      <c r="R52" s="14" t="s">
        <v>33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s="18" customFormat="1" ht="15" customHeight="1">
      <c r="A53" s="12">
        <v>56</v>
      </c>
      <c r="B53" s="13" t="s">
        <v>113</v>
      </c>
      <c r="C53" s="14"/>
      <c r="D53" s="14" t="s">
        <v>114</v>
      </c>
      <c r="E53" s="14" t="s">
        <v>115</v>
      </c>
      <c r="F53" s="15" t="s">
        <v>22</v>
      </c>
      <c r="G53" s="14"/>
      <c r="H53" s="58"/>
      <c r="I53" s="14"/>
      <c r="J53" s="14" t="s">
        <v>23</v>
      </c>
      <c r="K53" s="15"/>
      <c r="L53" s="15"/>
      <c r="M53" s="14" t="s">
        <v>27</v>
      </c>
      <c r="N53" s="14" t="s">
        <v>25</v>
      </c>
      <c r="O53" s="14"/>
      <c r="P53" s="14"/>
      <c r="Q53" s="14"/>
      <c r="R53" s="17">
        <v>43633</v>
      </c>
      <c r="S53" s="12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s="18" customFormat="1" ht="15" customHeight="1">
      <c r="A54" s="12">
        <v>833</v>
      </c>
      <c r="B54" s="13" t="s">
        <v>116</v>
      </c>
      <c r="C54" s="14"/>
      <c r="D54" s="14" t="s">
        <v>114</v>
      </c>
      <c r="E54" s="14" t="s">
        <v>115</v>
      </c>
      <c r="F54" s="15" t="s">
        <v>22</v>
      </c>
      <c r="G54" s="21"/>
      <c r="H54" s="58"/>
      <c r="I54" s="14"/>
      <c r="J54" s="14" t="s">
        <v>23</v>
      </c>
      <c r="K54" s="14"/>
      <c r="L54" s="14"/>
      <c r="M54" s="14" t="s">
        <v>29</v>
      </c>
      <c r="N54" s="14" t="s">
        <v>25</v>
      </c>
      <c r="O54" s="14"/>
      <c r="P54" s="14"/>
      <c r="Q54" s="14"/>
      <c r="R54" s="14" t="s">
        <v>30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s="18" customFormat="1" ht="15" customHeight="1">
      <c r="A55" s="12">
        <v>1622</v>
      </c>
      <c r="B55" s="13" t="s">
        <v>117</v>
      </c>
      <c r="C55" s="14"/>
      <c r="D55" s="14" t="s">
        <v>114</v>
      </c>
      <c r="E55" s="14" t="s">
        <v>115</v>
      </c>
      <c r="F55" s="15" t="s">
        <v>22</v>
      </c>
      <c r="G55" s="14"/>
      <c r="H55" s="58">
        <v>2</v>
      </c>
      <c r="I55" s="14"/>
      <c r="J55" s="14" t="s">
        <v>23</v>
      </c>
      <c r="K55" s="14"/>
      <c r="L55" s="14"/>
      <c r="M55" s="14" t="s">
        <v>32</v>
      </c>
      <c r="N55" s="14" t="s">
        <v>25</v>
      </c>
      <c r="O55" s="14"/>
      <c r="P55" s="14"/>
      <c r="Q55" s="14"/>
      <c r="R55" s="14" t="s">
        <v>33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s="18" customFormat="1" ht="15" customHeight="1">
      <c r="A56" s="12">
        <v>57</v>
      </c>
      <c r="B56" s="13" t="s">
        <v>118</v>
      </c>
      <c r="C56" s="14"/>
      <c r="D56" s="14" t="s">
        <v>119</v>
      </c>
      <c r="E56" s="14" t="s">
        <v>21</v>
      </c>
      <c r="F56" s="15" t="s">
        <v>22</v>
      </c>
      <c r="G56" s="14"/>
      <c r="H56" s="58"/>
      <c r="I56" s="14"/>
      <c r="J56" s="14" t="s">
        <v>23</v>
      </c>
      <c r="K56" s="15"/>
      <c r="L56" s="15"/>
      <c r="M56" s="14" t="s">
        <v>27</v>
      </c>
      <c r="N56" s="14" t="s">
        <v>25</v>
      </c>
      <c r="O56" s="14"/>
      <c r="P56" s="14"/>
      <c r="Q56" s="14"/>
      <c r="R56" s="17">
        <v>43633</v>
      </c>
      <c r="S56" s="12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s="18" customFormat="1" ht="15" customHeight="1">
      <c r="A57" s="12">
        <v>834</v>
      </c>
      <c r="B57" s="13" t="s">
        <v>120</v>
      </c>
      <c r="C57" s="14"/>
      <c r="D57" s="14" t="s">
        <v>119</v>
      </c>
      <c r="E57" s="14" t="s">
        <v>21</v>
      </c>
      <c r="F57" s="15" t="s">
        <v>22</v>
      </c>
      <c r="G57" s="21"/>
      <c r="H57" s="58"/>
      <c r="I57" s="14"/>
      <c r="J57" s="14" t="s">
        <v>23</v>
      </c>
      <c r="K57" s="14"/>
      <c r="L57" s="14"/>
      <c r="M57" s="14" t="s">
        <v>29</v>
      </c>
      <c r="N57" s="14" t="s">
        <v>25</v>
      </c>
      <c r="O57" s="14"/>
      <c r="P57" s="14"/>
      <c r="Q57" s="14"/>
      <c r="R57" s="14" t="s">
        <v>30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s="18" customFormat="1" ht="15" customHeight="1">
      <c r="A58" s="12">
        <v>1623</v>
      </c>
      <c r="B58" s="13" t="s">
        <v>121</v>
      </c>
      <c r="C58" s="14"/>
      <c r="D58" s="14" t="s">
        <v>119</v>
      </c>
      <c r="E58" s="14" t="s">
        <v>21</v>
      </c>
      <c r="F58" s="15" t="s">
        <v>22</v>
      </c>
      <c r="G58" s="14"/>
      <c r="H58" s="58">
        <v>0</v>
      </c>
      <c r="I58" s="14"/>
      <c r="J58" s="14" t="s">
        <v>23</v>
      </c>
      <c r="K58" s="14"/>
      <c r="L58" s="14"/>
      <c r="M58" s="14" t="s">
        <v>32</v>
      </c>
      <c r="N58" s="25" t="s">
        <v>37</v>
      </c>
      <c r="O58" s="14" t="s">
        <v>122</v>
      </c>
      <c r="P58" s="14"/>
      <c r="Q58" s="14"/>
      <c r="R58" s="14" t="s">
        <v>33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s="18" customFormat="1" ht="15" customHeight="1">
      <c r="A59" s="12">
        <v>58</v>
      </c>
      <c r="B59" s="13" t="s">
        <v>123</v>
      </c>
      <c r="C59" s="14"/>
      <c r="D59" s="14" t="s">
        <v>124</v>
      </c>
      <c r="E59" s="14" t="s">
        <v>21</v>
      </c>
      <c r="F59" s="15" t="s">
        <v>22</v>
      </c>
      <c r="G59" s="14"/>
      <c r="H59" s="58"/>
      <c r="I59" s="14"/>
      <c r="J59" s="14" t="s">
        <v>23</v>
      </c>
      <c r="K59" s="15"/>
      <c r="L59" s="15"/>
      <c r="M59" s="14" t="s">
        <v>27</v>
      </c>
      <c r="N59" s="14" t="s">
        <v>25</v>
      </c>
      <c r="O59" s="14"/>
      <c r="P59" s="14"/>
      <c r="Q59" s="14"/>
      <c r="R59" s="17">
        <v>43633</v>
      </c>
      <c r="S59" s="12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s="18" customFormat="1" ht="15" customHeight="1">
      <c r="A60" s="12">
        <v>835</v>
      </c>
      <c r="B60" s="13" t="s">
        <v>125</v>
      </c>
      <c r="C60" s="14"/>
      <c r="D60" s="14" t="s">
        <v>124</v>
      </c>
      <c r="E60" s="14" t="s">
        <v>21</v>
      </c>
      <c r="F60" s="15" t="s">
        <v>22</v>
      </c>
      <c r="G60" s="21"/>
      <c r="H60" s="58"/>
      <c r="I60" s="14"/>
      <c r="J60" s="14" t="s">
        <v>23</v>
      </c>
      <c r="K60" s="14"/>
      <c r="L60" s="14"/>
      <c r="M60" s="14" t="s">
        <v>29</v>
      </c>
      <c r="N60" s="14" t="s">
        <v>25</v>
      </c>
      <c r="O60" s="14"/>
      <c r="P60" s="14"/>
      <c r="Q60" s="14"/>
      <c r="R60" s="14" t="s">
        <v>30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s="18" customFormat="1" ht="15" customHeight="1">
      <c r="A61" s="12">
        <v>1624</v>
      </c>
      <c r="B61" s="13" t="s">
        <v>126</v>
      </c>
      <c r="C61" s="14"/>
      <c r="D61" s="14" t="s">
        <v>124</v>
      </c>
      <c r="E61" s="14" t="s">
        <v>21</v>
      </c>
      <c r="F61" s="15" t="s">
        <v>22</v>
      </c>
      <c r="G61" s="14"/>
      <c r="H61" s="58">
        <v>1</v>
      </c>
      <c r="I61" s="14"/>
      <c r="J61" s="14" t="s">
        <v>23</v>
      </c>
      <c r="K61" s="14"/>
      <c r="L61" s="14"/>
      <c r="M61" s="14" t="s">
        <v>32</v>
      </c>
      <c r="N61" s="14" t="s">
        <v>25</v>
      </c>
      <c r="O61" s="14"/>
      <c r="P61" s="14"/>
      <c r="Q61" s="14"/>
      <c r="R61" s="14" t="s">
        <v>33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s="18" customFormat="1" ht="15" customHeight="1">
      <c r="A62" s="12">
        <v>59</v>
      </c>
      <c r="B62" s="13" t="s">
        <v>127</v>
      </c>
      <c r="C62" s="14"/>
      <c r="D62" s="14" t="s">
        <v>128</v>
      </c>
      <c r="E62" s="14" t="s">
        <v>21</v>
      </c>
      <c r="F62" s="15" t="s">
        <v>22</v>
      </c>
      <c r="G62" s="14"/>
      <c r="H62" s="58"/>
      <c r="I62" s="14"/>
      <c r="J62" s="14" t="s">
        <v>23</v>
      </c>
      <c r="K62" s="15"/>
      <c r="L62" s="15"/>
      <c r="M62" s="14" t="s">
        <v>27</v>
      </c>
      <c r="N62" s="14" t="s">
        <v>25</v>
      </c>
      <c r="O62" s="14"/>
      <c r="P62" s="14"/>
      <c r="Q62" s="14"/>
      <c r="R62" s="17">
        <v>43633</v>
      </c>
      <c r="S62" s="12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s="18" customFormat="1" ht="15" customHeight="1">
      <c r="A63" s="12">
        <v>836</v>
      </c>
      <c r="B63" s="13" t="s">
        <v>129</v>
      </c>
      <c r="C63" s="14"/>
      <c r="D63" s="14" t="s">
        <v>128</v>
      </c>
      <c r="E63" s="14" t="s">
        <v>21</v>
      </c>
      <c r="F63" s="15" t="s">
        <v>22</v>
      </c>
      <c r="G63" s="21"/>
      <c r="H63" s="58"/>
      <c r="I63" s="14"/>
      <c r="J63" s="14" t="s">
        <v>23</v>
      </c>
      <c r="K63" s="14"/>
      <c r="L63" s="14"/>
      <c r="M63" s="14" t="s">
        <v>29</v>
      </c>
      <c r="N63" s="14" t="s">
        <v>25</v>
      </c>
      <c r="O63" s="14"/>
      <c r="P63" s="14"/>
      <c r="Q63" s="14"/>
      <c r="R63" s="14" t="s">
        <v>30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s="18" customFormat="1" ht="15" customHeight="1">
      <c r="A64" s="12">
        <v>1625</v>
      </c>
      <c r="B64" s="13" t="s">
        <v>130</v>
      </c>
      <c r="C64" s="14"/>
      <c r="D64" s="14" t="s">
        <v>128</v>
      </c>
      <c r="E64" s="14" t="s">
        <v>21</v>
      </c>
      <c r="F64" s="15" t="s">
        <v>22</v>
      </c>
      <c r="G64" s="14"/>
      <c r="H64" s="58">
        <v>0</v>
      </c>
      <c r="I64" s="14"/>
      <c r="J64" s="14" t="s">
        <v>23</v>
      </c>
      <c r="K64" s="14"/>
      <c r="L64" s="14"/>
      <c r="M64" s="14" t="s">
        <v>32</v>
      </c>
      <c r="N64" s="14" t="s">
        <v>25</v>
      </c>
      <c r="O64" s="14"/>
      <c r="P64" s="14"/>
      <c r="Q64" s="14"/>
      <c r="R64" s="14" t="s">
        <v>33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s="18" customFormat="1" ht="15" customHeight="1">
      <c r="A65" s="12">
        <v>60</v>
      </c>
      <c r="B65" s="13" t="s">
        <v>131</v>
      </c>
      <c r="C65" s="14"/>
      <c r="D65" s="14" t="s">
        <v>132</v>
      </c>
      <c r="E65" s="14" t="s">
        <v>21</v>
      </c>
      <c r="F65" s="15" t="s">
        <v>22</v>
      </c>
      <c r="G65" s="14"/>
      <c r="H65" s="58"/>
      <c r="I65" s="14"/>
      <c r="J65" s="14" t="s">
        <v>23</v>
      </c>
      <c r="K65" s="15"/>
      <c r="L65" s="15"/>
      <c r="M65" s="14" t="s">
        <v>27</v>
      </c>
      <c r="N65" s="14" t="s">
        <v>25</v>
      </c>
      <c r="O65" s="14"/>
      <c r="P65" s="14"/>
      <c r="Q65" s="14"/>
      <c r="R65" s="17">
        <v>43633</v>
      </c>
      <c r="S65" s="12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s="18" customFormat="1" ht="15" customHeight="1">
      <c r="A66" s="12">
        <v>837</v>
      </c>
      <c r="B66" s="13" t="s">
        <v>133</v>
      </c>
      <c r="C66" s="14"/>
      <c r="D66" s="14" t="s">
        <v>132</v>
      </c>
      <c r="E66" s="14" t="s">
        <v>21</v>
      </c>
      <c r="F66" s="15" t="s">
        <v>22</v>
      </c>
      <c r="G66" s="21"/>
      <c r="H66" s="58"/>
      <c r="I66" s="14"/>
      <c r="J66" s="14" t="s">
        <v>23</v>
      </c>
      <c r="K66" s="14"/>
      <c r="L66" s="14"/>
      <c r="M66" s="14" t="s">
        <v>29</v>
      </c>
      <c r="N66" s="14" t="s">
        <v>25</v>
      </c>
      <c r="O66" s="14"/>
      <c r="P66" s="14"/>
      <c r="Q66" s="14"/>
      <c r="R66" s="14" t="s">
        <v>30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s="18" customFormat="1" ht="15" customHeight="1">
      <c r="A67" s="12">
        <v>1626</v>
      </c>
      <c r="B67" s="13" t="s">
        <v>134</v>
      </c>
      <c r="C67" s="14"/>
      <c r="D67" s="14" t="s">
        <v>132</v>
      </c>
      <c r="E67" s="14" t="s">
        <v>21</v>
      </c>
      <c r="F67" s="15" t="s">
        <v>22</v>
      </c>
      <c r="G67" s="14"/>
      <c r="H67" s="58">
        <v>0</v>
      </c>
      <c r="I67" s="14"/>
      <c r="J67" s="14" t="s">
        <v>23</v>
      </c>
      <c r="K67" s="14"/>
      <c r="L67" s="14"/>
      <c r="M67" s="14" t="s">
        <v>32</v>
      </c>
      <c r="N67" s="14" t="s">
        <v>25</v>
      </c>
      <c r="O67" s="14"/>
      <c r="P67" s="14"/>
      <c r="Q67" s="14"/>
      <c r="R67" s="14" t="s">
        <v>33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s="18" customFormat="1" ht="15" customHeight="1">
      <c r="A68" s="12">
        <v>61</v>
      </c>
      <c r="B68" s="13" t="s">
        <v>135</v>
      </c>
      <c r="C68" s="14"/>
      <c r="D68" s="14" t="s">
        <v>136</v>
      </c>
      <c r="E68" s="14" t="s">
        <v>137</v>
      </c>
      <c r="F68" s="15" t="s">
        <v>22</v>
      </c>
      <c r="G68" s="14"/>
      <c r="H68" s="58"/>
      <c r="I68" s="14"/>
      <c r="J68" s="14" t="s">
        <v>23</v>
      </c>
      <c r="K68" s="15"/>
      <c r="L68" s="15"/>
      <c r="M68" s="14" t="s">
        <v>27</v>
      </c>
      <c r="N68" s="25" t="s">
        <v>37</v>
      </c>
      <c r="O68" s="14" t="s">
        <v>138</v>
      </c>
      <c r="P68" s="14"/>
      <c r="Q68" s="14"/>
      <c r="R68" s="17">
        <v>43633</v>
      </c>
      <c r="S68" s="12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s="18" customFormat="1" ht="15" customHeight="1">
      <c r="A69" s="12">
        <v>838</v>
      </c>
      <c r="B69" s="13" t="s">
        <v>139</v>
      </c>
      <c r="C69" s="14"/>
      <c r="D69" s="14" t="s">
        <v>136</v>
      </c>
      <c r="E69" s="14" t="s">
        <v>137</v>
      </c>
      <c r="F69" s="15" t="s">
        <v>22</v>
      </c>
      <c r="G69" s="21"/>
      <c r="H69" s="58">
        <v>2</v>
      </c>
      <c r="I69" s="14"/>
      <c r="J69" s="14" t="s">
        <v>23</v>
      </c>
      <c r="K69" s="14"/>
      <c r="L69" s="14"/>
      <c r="M69" s="14" t="s">
        <v>29</v>
      </c>
      <c r="N69" s="25" t="s">
        <v>37</v>
      </c>
      <c r="O69" s="14" t="s">
        <v>140</v>
      </c>
      <c r="P69" s="14"/>
      <c r="Q69" s="14"/>
      <c r="R69" s="14" t="s">
        <v>30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s="18" customFormat="1" ht="15" customHeight="1">
      <c r="A70" s="12">
        <v>1627</v>
      </c>
      <c r="B70" s="13" t="s">
        <v>141</v>
      </c>
      <c r="C70" s="14"/>
      <c r="D70" s="14" t="s">
        <v>136</v>
      </c>
      <c r="E70" s="14" t="s">
        <v>137</v>
      </c>
      <c r="F70" s="15" t="s">
        <v>22</v>
      </c>
      <c r="G70" s="14"/>
      <c r="H70" s="58">
        <v>4</v>
      </c>
      <c r="I70" s="14"/>
      <c r="J70" s="14" t="s">
        <v>23</v>
      </c>
      <c r="K70" s="14"/>
      <c r="L70" s="14"/>
      <c r="M70" s="14" t="s">
        <v>32</v>
      </c>
      <c r="N70" s="25" t="s">
        <v>37</v>
      </c>
      <c r="O70" s="14" t="s">
        <v>142</v>
      </c>
      <c r="P70" s="14"/>
      <c r="Q70" s="14"/>
      <c r="R70" s="14" t="s">
        <v>33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s="18" customFormat="1" ht="15" customHeight="1">
      <c r="A71" s="12">
        <v>62</v>
      </c>
      <c r="B71" s="13" t="s">
        <v>143</v>
      </c>
      <c r="C71" s="14"/>
      <c r="D71" s="14" t="s">
        <v>144</v>
      </c>
      <c r="E71" s="14" t="s">
        <v>21</v>
      </c>
      <c r="F71" s="15" t="s">
        <v>22</v>
      </c>
      <c r="G71" s="14"/>
      <c r="H71" s="58"/>
      <c r="I71" s="14"/>
      <c r="J71" s="14" t="s">
        <v>23</v>
      </c>
      <c r="K71" s="15"/>
      <c r="L71" s="15"/>
      <c r="M71" s="14" t="s">
        <v>27</v>
      </c>
      <c r="N71" s="14" t="s">
        <v>25</v>
      </c>
      <c r="O71" s="14"/>
      <c r="P71" s="14"/>
      <c r="Q71" s="14"/>
      <c r="R71" s="17">
        <v>43633</v>
      </c>
      <c r="S71" s="12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s="18" customFormat="1" ht="15" customHeight="1">
      <c r="A72" s="12">
        <v>839</v>
      </c>
      <c r="B72" s="13" t="s">
        <v>145</v>
      </c>
      <c r="C72" s="14"/>
      <c r="D72" s="14" t="s">
        <v>144</v>
      </c>
      <c r="E72" s="14" t="s">
        <v>21</v>
      </c>
      <c r="F72" s="15" t="s">
        <v>22</v>
      </c>
      <c r="G72" s="21"/>
      <c r="H72" s="58"/>
      <c r="I72" s="14"/>
      <c r="J72" s="14" t="s">
        <v>23</v>
      </c>
      <c r="K72" s="14"/>
      <c r="L72" s="14"/>
      <c r="M72" s="14" t="s">
        <v>29</v>
      </c>
      <c r="N72" s="14" t="s">
        <v>25</v>
      </c>
      <c r="O72" s="14"/>
      <c r="P72" s="14"/>
      <c r="Q72" s="14"/>
      <c r="R72" s="14" t="s">
        <v>30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s="18" customFormat="1" ht="15" customHeight="1">
      <c r="A73" s="12">
        <v>1628</v>
      </c>
      <c r="B73" s="13" t="s">
        <v>146</v>
      </c>
      <c r="C73" s="14"/>
      <c r="D73" s="14" t="s">
        <v>144</v>
      </c>
      <c r="E73" s="14" t="s">
        <v>21</v>
      </c>
      <c r="F73" s="15" t="s">
        <v>22</v>
      </c>
      <c r="G73" s="14"/>
      <c r="H73" s="58">
        <v>0</v>
      </c>
      <c r="I73" s="14"/>
      <c r="J73" s="14" t="s">
        <v>23</v>
      </c>
      <c r="K73" s="14"/>
      <c r="L73" s="14"/>
      <c r="M73" s="14" t="s">
        <v>32</v>
      </c>
      <c r="N73" s="14" t="s">
        <v>25</v>
      </c>
      <c r="O73" s="14"/>
      <c r="P73" s="14"/>
      <c r="Q73" s="14"/>
      <c r="R73" s="14" t="s">
        <v>33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s="18" customFormat="1" ht="15" customHeight="1">
      <c r="A74" s="12">
        <v>36</v>
      </c>
      <c r="B74" s="13" t="s">
        <v>147</v>
      </c>
      <c r="C74" s="14"/>
      <c r="D74" s="14" t="s">
        <v>148</v>
      </c>
      <c r="E74" s="14" t="s">
        <v>92</v>
      </c>
      <c r="F74" s="15" t="s">
        <v>22</v>
      </c>
      <c r="G74" s="14"/>
      <c r="H74" s="58"/>
      <c r="I74" s="14"/>
      <c r="J74" s="14" t="s">
        <v>23</v>
      </c>
      <c r="K74" s="15"/>
      <c r="L74" s="15"/>
      <c r="M74" s="14" t="s">
        <v>24</v>
      </c>
      <c r="N74" s="14" t="s">
        <v>25</v>
      </c>
      <c r="O74" s="14"/>
      <c r="P74" s="14"/>
      <c r="Q74" s="14"/>
      <c r="R74" s="17">
        <v>43599</v>
      </c>
      <c r="S74" s="12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s="18" customFormat="1" ht="15" customHeight="1">
      <c r="A75" s="12">
        <v>63</v>
      </c>
      <c r="B75" s="13" t="s">
        <v>149</v>
      </c>
      <c r="C75" s="14"/>
      <c r="D75" s="14" t="s">
        <v>148</v>
      </c>
      <c r="E75" s="14" t="s">
        <v>92</v>
      </c>
      <c r="F75" s="15" t="s">
        <v>22</v>
      </c>
      <c r="G75" s="14"/>
      <c r="H75" s="58"/>
      <c r="I75" s="14"/>
      <c r="J75" s="14" t="s">
        <v>23</v>
      </c>
      <c r="K75" s="15"/>
      <c r="L75" s="15"/>
      <c r="M75" s="14" t="s">
        <v>27</v>
      </c>
      <c r="N75" s="25" t="s">
        <v>37</v>
      </c>
      <c r="O75" s="14" t="s">
        <v>80</v>
      </c>
      <c r="P75" s="14"/>
      <c r="Q75" s="14"/>
      <c r="R75" s="17">
        <v>43633</v>
      </c>
      <c r="S75" s="12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s="18" customFormat="1" ht="15" customHeight="1">
      <c r="A76" s="12">
        <v>840</v>
      </c>
      <c r="B76" s="13" t="s">
        <v>150</v>
      </c>
      <c r="C76" s="14"/>
      <c r="D76" s="14" t="s">
        <v>148</v>
      </c>
      <c r="E76" s="14" t="s">
        <v>92</v>
      </c>
      <c r="F76" s="15" t="s">
        <v>22</v>
      </c>
      <c r="G76" s="21"/>
      <c r="H76" s="58">
        <v>3</v>
      </c>
      <c r="I76" s="14"/>
      <c r="J76" s="14" t="s">
        <v>23</v>
      </c>
      <c r="K76" s="14"/>
      <c r="L76" s="14"/>
      <c r="M76" s="14" t="s">
        <v>29</v>
      </c>
      <c r="N76" s="25" t="s">
        <v>37</v>
      </c>
      <c r="O76" s="14" t="s">
        <v>151</v>
      </c>
      <c r="P76" s="14"/>
      <c r="Q76" s="14"/>
      <c r="R76" s="14" t="s">
        <v>30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s="18" customFormat="1" ht="15" customHeight="1">
      <c r="A77" s="12">
        <v>1629</v>
      </c>
      <c r="B77" s="13" t="s">
        <v>152</v>
      </c>
      <c r="C77" s="14"/>
      <c r="D77" s="14" t="s">
        <v>148</v>
      </c>
      <c r="E77" s="14" t="s">
        <v>92</v>
      </c>
      <c r="F77" s="15" t="s">
        <v>22</v>
      </c>
      <c r="G77" s="14"/>
      <c r="H77" s="58">
        <v>4</v>
      </c>
      <c r="I77" s="14"/>
      <c r="J77" s="14" t="s">
        <v>23</v>
      </c>
      <c r="K77" s="14"/>
      <c r="L77" s="14"/>
      <c r="M77" s="14" t="s">
        <v>32</v>
      </c>
      <c r="N77" s="25" t="s">
        <v>37</v>
      </c>
      <c r="O77" s="14" t="s">
        <v>153</v>
      </c>
      <c r="P77" s="14"/>
      <c r="Q77" s="14"/>
      <c r="R77" s="14" t="s">
        <v>33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s="18" customFormat="1" ht="15" customHeight="1">
      <c r="A78" s="12">
        <v>64</v>
      </c>
      <c r="B78" s="13" t="s">
        <v>154</v>
      </c>
      <c r="C78" s="14"/>
      <c r="D78" s="14" t="s">
        <v>155</v>
      </c>
      <c r="E78" s="14" t="s">
        <v>36</v>
      </c>
      <c r="F78" s="15" t="s">
        <v>22</v>
      </c>
      <c r="G78" s="14"/>
      <c r="H78" s="58"/>
      <c r="I78" s="14"/>
      <c r="J78" s="14" t="s">
        <v>23</v>
      </c>
      <c r="K78" s="15"/>
      <c r="L78" s="15"/>
      <c r="M78" s="14" t="s">
        <v>27</v>
      </c>
      <c r="N78" s="14" t="s">
        <v>25</v>
      </c>
      <c r="O78" s="14"/>
      <c r="P78" s="14"/>
      <c r="Q78" s="14"/>
      <c r="R78" s="17">
        <v>43633</v>
      </c>
      <c r="S78" s="12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s="18" customFormat="1" ht="15" customHeight="1">
      <c r="A79" s="12">
        <v>841</v>
      </c>
      <c r="B79" s="13" t="s">
        <v>156</v>
      </c>
      <c r="C79" s="14"/>
      <c r="D79" s="14" t="s">
        <v>155</v>
      </c>
      <c r="E79" s="14" t="s">
        <v>36</v>
      </c>
      <c r="F79" s="15" t="s">
        <v>22</v>
      </c>
      <c r="G79" s="21"/>
      <c r="H79" s="58">
        <v>2</v>
      </c>
      <c r="I79" s="14"/>
      <c r="J79" s="14" t="s">
        <v>23</v>
      </c>
      <c r="K79" s="14"/>
      <c r="L79" s="14"/>
      <c r="M79" s="14" t="s">
        <v>29</v>
      </c>
      <c r="N79" s="25" t="s">
        <v>37</v>
      </c>
      <c r="O79" s="14" t="s">
        <v>157</v>
      </c>
      <c r="P79" s="14"/>
      <c r="Q79" s="14"/>
      <c r="R79" s="14" t="s">
        <v>158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s="18" customFormat="1" ht="15" customHeight="1">
      <c r="A80" s="12">
        <v>1630</v>
      </c>
      <c r="B80" s="13" t="s">
        <v>159</v>
      </c>
      <c r="C80" s="14"/>
      <c r="D80" s="14" t="s">
        <v>155</v>
      </c>
      <c r="E80" s="14" t="s">
        <v>36</v>
      </c>
      <c r="F80" s="15" t="s">
        <v>22</v>
      </c>
      <c r="G80" s="14"/>
      <c r="H80" s="58">
        <v>3</v>
      </c>
      <c r="I80" s="14"/>
      <c r="J80" s="14" t="s">
        <v>23</v>
      </c>
      <c r="K80" s="14"/>
      <c r="L80" s="14"/>
      <c r="M80" s="14" t="s">
        <v>32</v>
      </c>
      <c r="N80" s="25" t="s">
        <v>37</v>
      </c>
      <c r="O80" s="14" t="s">
        <v>160</v>
      </c>
      <c r="P80" s="14"/>
      <c r="Q80" s="14"/>
      <c r="R80" s="14" t="s">
        <v>33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s="18" customFormat="1" ht="15" customHeight="1">
      <c r="A81" s="12">
        <v>23</v>
      </c>
      <c r="B81" s="13" t="s">
        <v>161</v>
      </c>
      <c r="C81" s="14"/>
      <c r="D81" s="14" t="s">
        <v>162</v>
      </c>
      <c r="E81" s="14" t="s">
        <v>36</v>
      </c>
      <c r="F81" s="15" t="s">
        <v>22</v>
      </c>
      <c r="G81" s="14"/>
      <c r="H81" s="58"/>
      <c r="I81" s="14"/>
      <c r="J81" s="14" t="s">
        <v>23</v>
      </c>
      <c r="K81" s="15"/>
      <c r="L81" s="15"/>
      <c r="M81" s="14" t="s">
        <v>24</v>
      </c>
      <c r="N81" s="14" t="s">
        <v>25</v>
      </c>
      <c r="O81" s="14"/>
      <c r="P81" s="14"/>
      <c r="Q81" s="14"/>
      <c r="R81" s="17">
        <v>43599</v>
      </c>
      <c r="S81" s="12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s="18" customFormat="1" ht="15" customHeight="1">
      <c r="A82" s="12">
        <v>65</v>
      </c>
      <c r="B82" s="13" t="s">
        <v>163</v>
      </c>
      <c r="C82" s="14"/>
      <c r="D82" s="14" t="s">
        <v>162</v>
      </c>
      <c r="E82" s="14" t="s">
        <v>36</v>
      </c>
      <c r="F82" s="15" t="s">
        <v>22</v>
      </c>
      <c r="G82" s="14"/>
      <c r="H82" s="58">
        <v>3</v>
      </c>
      <c r="I82" s="14"/>
      <c r="J82" s="14" t="s">
        <v>23</v>
      </c>
      <c r="K82" s="15"/>
      <c r="L82" s="15"/>
      <c r="M82" s="14" t="s">
        <v>27</v>
      </c>
      <c r="N82" s="14" t="s">
        <v>25</v>
      </c>
      <c r="O82" s="14"/>
      <c r="P82" s="14"/>
      <c r="Q82" s="14"/>
      <c r="R82" s="17">
        <v>43633</v>
      </c>
      <c r="S82" s="12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s="18" customFormat="1" ht="15" customHeight="1">
      <c r="A83" s="12">
        <v>842</v>
      </c>
      <c r="B83" s="13" t="s">
        <v>164</v>
      </c>
      <c r="C83" s="14"/>
      <c r="D83" s="14" t="s">
        <v>162</v>
      </c>
      <c r="E83" s="14" t="s">
        <v>36</v>
      </c>
      <c r="F83" s="15" t="s">
        <v>22</v>
      </c>
      <c r="G83" s="21"/>
      <c r="H83" s="58">
        <v>3</v>
      </c>
      <c r="I83" s="14"/>
      <c r="J83" s="14" t="s">
        <v>23</v>
      </c>
      <c r="K83" s="14"/>
      <c r="L83" s="14"/>
      <c r="M83" s="14" t="s">
        <v>29</v>
      </c>
      <c r="N83" s="14" t="s">
        <v>25</v>
      </c>
      <c r="O83" s="14"/>
      <c r="P83" s="14"/>
      <c r="Q83" s="14"/>
      <c r="R83" s="14" t="s">
        <v>158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s="18" customFormat="1" ht="15" customHeight="1">
      <c r="A84" s="12">
        <v>1631</v>
      </c>
      <c r="B84" s="13" t="s">
        <v>165</v>
      </c>
      <c r="C84" s="14"/>
      <c r="D84" s="14" t="s">
        <v>162</v>
      </c>
      <c r="E84" s="14" t="s">
        <v>36</v>
      </c>
      <c r="F84" s="15" t="s">
        <v>22</v>
      </c>
      <c r="G84" s="14"/>
      <c r="H84" s="58">
        <v>2</v>
      </c>
      <c r="I84" s="14"/>
      <c r="J84" s="14" t="s">
        <v>23</v>
      </c>
      <c r="K84" s="14"/>
      <c r="L84" s="14"/>
      <c r="M84" s="14" t="s">
        <v>32</v>
      </c>
      <c r="N84" s="14" t="s">
        <v>25</v>
      </c>
      <c r="O84" s="14"/>
      <c r="P84" s="14"/>
      <c r="Q84" s="14"/>
      <c r="R84" s="14" t="s">
        <v>33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s="18" customFormat="1" ht="15" customHeight="1">
      <c r="A85" s="12">
        <v>66</v>
      </c>
      <c r="B85" s="13" t="s">
        <v>166</v>
      </c>
      <c r="C85" s="14"/>
      <c r="D85" s="14" t="s">
        <v>167</v>
      </c>
      <c r="E85" s="14" t="s">
        <v>92</v>
      </c>
      <c r="F85" s="15" t="s">
        <v>22</v>
      </c>
      <c r="G85" s="14"/>
      <c r="H85" s="58">
        <v>1</v>
      </c>
      <c r="I85" s="14"/>
      <c r="J85" s="14" t="s">
        <v>23</v>
      </c>
      <c r="K85" s="15"/>
      <c r="L85" s="15"/>
      <c r="M85" s="14" t="s">
        <v>27</v>
      </c>
      <c r="N85" s="14" t="s">
        <v>25</v>
      </c>
      <c r="O85" s="14"/>
      <c r="P85" s="14"/>
      <c r="Q85" s="14"/>
      <c r="R85" s="17">
        <v>43633</v>
      </c>
      <c r="S85" s="12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s="18" customFormat="1" ht="15" customHeight="1">
      <c r="A86" s="12">
        <v>843</v>
      </c>
      <c r="B86" s="13" t="s">
        <v>168</v>
      </c>
      <c r="C86" s="14"/>
      <c r="D86" s="14" t="s">
        <v>167</v>
      </c>
      <c r="E86" s="14" t="s">
        <v>92</v>
      </c>
      <c r="F86" s="15" t="s">
        <v>22</v>
      </c>
      <c r="G86" s="21"/>
      <c r="H86" s="58"/>
      <c r="I86" s="14"/>
      <c r="J86" s="14" t="s">
        <v>23</v>
      </c>
      <c r="K86" s="14"/>
      <c r="L86" s="14"/>
      <c r="M86" s="14" t="s">
        <v>29</v>
      </c>
      <c r="N86" s="14" t="s">
        <v>25</v>
      </c>
      <c r="O86" s="14"/>
      <c r="P86" s="14"/>
      <c r="Q86" s="14"/>
      <c r="R86" s="14" t="s">
        <v>158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s="18" customFormat="1" ht="15" customHeight="1">
      <c r="A87" s="12">
        <v>1632</v>
      </c>
      <c r="B87" s="13" t="s">
        <v>169</v>
      </c>
      <c r="C87" s="14"/>
      <c r="D87" s="14" t="s">
        <v>167</v>
      </c>
      <c r="E87" s="14" t="s">
        <v>92</v>
      </c>
      <c r="F87" s="15" t="s">
        <v>22</v>
      </c>
      <c r="G87" s="14"/>
      <c r="H87" s="58">
        <v>0</v>
      </c>
      <c r="I87" s="14"/>
      <c r="J87" s="14" t="s">
        <v>23</v>
      </c>
      <c r="K87" s="14"/>
      <c r="L87" s="14"/>
      <c r="M87" s="14" t="s">
        <v>32</v>
      </c>
      <c r="N87" s="14" t="s">
        <v>25</v>
      </c>
      <c r="O87" s="14"/>
      <c r="P87" s="14"/>
      <c r="Q87" s="14"/>
      <c r="R87" s="14" t="s">
        <v>33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s="18" customFormat="1" ht="15" customHeight="1">
      <c r="A88" s="12">
        <v>67</v>
      </c>
      <c r="B88" s="13" t="s">
        <v>170</v>
      </c>
      <c r="C88" s="14"/>
      <c r="D88" s="14" t="s">
        <v>171</v>
      </c>
      <c r="E88" s="14" t="s">
        <v>172</v>
      </c>
      <c r="F88" s="15" t="s">
        <v>22</v>
      </c>
      <c r="G88" s="14"/>
      <c r="H88" s="58">
        <v>1</v>
      </c>
      <c r="I88" s="14"/>
      <c r="J88" s="14" t="s">
        <v>23</v>
      </c>
      <c r="K88" s="15"/>
      <c r="L88" s="15"/>
      <c r="M88" s="14" t="s">
        <v>27</v>
      </c>
      <c r="N88" s="25" t="s">
        <v>37</v>
      </c>
      <c r="O88" s="14" t="s">
        <v>173</v>
      </c>
      <c r="P88" s="14"/>
      <c r="Q88" s="14"/>
      <c r="R88" s="17">
        <v>43633</v>
      </c>
      <c r="S88" s="12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s="18" customFormat="1" ht="15" customHeight="1">
      <c r="A89" s="12">
        <v>844</v>
      </c>
      <c r="B89" s="13" t="s">
        <v>174</v>
      </c>
      <c r="C89" s="14"/>
      <c r="D89" s="14" t="s">
        <v>171</v>
      </c>
      <c r="E89" s="14" t="s">
        <v>172</v>
      </c>
      <c r="F89" s="15" t="s">
        <v>22</v>
      </c>
      <c r="G89" s="21"/>
      <c r="H89" s="58">
        <v>4</v>
      </c>
      <c r="I89" s="14"/>
      <c r="J89" s="14" t="s">
        <v>23</v>
      </c>
      <c r="K89" s="14"/>
      <c r="L89" s="14"/>
      <c r="M89" s="14" t="s">
        <v>29</v>
      </c>
      <c r="N89" s="25" t="s">
        <v>37</v>
      </c>
      <c r="O89" s="14" t="s">
        <v>175</v>
      </c>
      <c r="P89" s="14"/>
      <c r="Q89" s="14"/>
      <c r="R89" s="14" t="s">
        <v>158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s="18" customFormat="1" ht="15" customHeight="1">
      <c r="A90" s="12">
        <v>1633</v>
      </c>
      <c r="B90" s="13" t="s">
        <v>176</v>
      </c>
      <c r="C90" s="14"/>
      <c r="D90" s="14" t="s">
        <v>171</v>
      </c>
      <c r="E90" s="14" t="s">
        <v>172</v>
      </c>
      <c r="F90" s="15" t="s">
        <v>22</v>
      </c>
      <c r="G90" s="14"/>
      <c r="H90" s="58">
        <v>4</v>
      </c>
      <c r="I90" s="14"/>
      <c r="J90" s="14" t="s">
        <v>23</v>
      </c>
      <c r="K90" s="14"/>
      <c r="L90" s="14"/>
      <c r="M90" s="14" t="s">
        <v>32</v>
      </c>
      <c r="N90" s="25" t="s">
        <v>37</v>
      </c>
      <c r="O90" s="14" t="s">
        <v>177</v>
      </c>
      <c r="P90" s="14"/>
      <c r="Q90" s="14"/>
      <c r="R90" s="14" t="s">
        <v>33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s="18" customFormat="1" ht="15" customHeight="1">
      <c r="A91" s="12">
        <v>68</v>
      </c>
      <c r="B91" s="13" t="s">
        <v>178</v>
      </c>
      <c r="C91" s="14"/>
      <c r="D91" s="14" t="s">
        <v>173</v>
      </c>
      <c r="E91" s="14" t="s">
        <v>36</v>
      </c>
      <c r="F91" s="15" t="s">
        <v>22</v>
      </c>
      <c r="G91" s="14"/>
      <c r="H91" s="58"/>
      <c r="I91" s="19"/>
      <c r="J91" s="14" t="s">
        <v>23</v>
      </c>
      <c r="K91" s="15"/>
      <c r="L91" s="15"/>
      <c r="M91" s="14" t="s">
        <v>27</v>
      </c>
      <c r="N91" s="25" t="s">
        <v>37</v>
      </c>
      <c r="O91" s="14" t="s">
        <v>179</v>
      </c>
      <c r="P91" s="14"/>
      <c r="Q91" s="14"/>
      <c r="R91" s="17">
        <v>43633</v>
      </c>
      <c r="S91" s="12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s="18" customFormat="1" ht="15" customHeight="1">
      <c r="A92" s="12">
        <v>845</v>
      </c>
      <c r="B92" s="13" t="s">
        <v>180</v>
      </c>
      <c r="C92" s="14"/>
      <c r="D92" s="14" t="s">
        <v>173</v>
      </c>
      <c r="E92" s="14" t="s">
        <v>36</v>
      </c>
      <c r="F92" s="15" t="s">
        <v>22</v>
      </c>
      <c r="G92" s="21"/>
      <c r="H92" s="58">
        <v>2</v>
      </c>
      <c r="I92" s="14"/>
      <c r="J92" s="14" t="s">
        <v>23</v>
      </c>
      <c r="K92" s="14"/>
      <c r="L92" s="14"/>
      <c r="M92" s="14" t="s">
        <v>29</v>
      </c>
      <c r="N92" s="25" t="s">
        <v>37</v>
      </c>
      <c r="O92" s="14" t="s">
        <v>181</v>
      </c>
      <c r="P92" s="14"/>
      <c r="Q92" s="14"/>
      <c r="R92" s="14" t="s">
        <v>158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s="18" customFormat="1" ht="15" customHeight="1">
      <c r="A93" s="12">
        <v>1634</v>
      </c>
      <c r="B93" s="13" t="s">
        <v>182</v>
      </c>
      <c r="C93" s="14"/>
      <c r="D93" s="14" t="s">
        <v>173</v>
      </c>
      <c r="E93" s="14" t="s">
        <v>36</v>
      </c>
      <c r="F93" s="15" t="s">
        <v>22</v>
      </c>
      <c r="G93" s="14"/>
      <c r="H93" s="58">
        <v>3</v>
      </c>
      <c r="I93" s="14"/>
      <c r="J93" s="14" t="s">
        <v>23</v>
      </c>
      <c r="K93" s="14"/>
      <c r="L93" s="14"/>
      <c r="M93" s="14" t="s">
        <v>32</v>
      </c>
      <c r="N93" s="25" t="s">
        <v>37</v>
      </c>
      <c r="O93" s="14" t="s">
        <v>183</v>
      </c>
      <c r="P93" s="14"/>
      <c r="Q93" s="14"/>
      <c r="R93" s="14" t="s">
        <v>33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s="18" customFormat="1" ht="15" customHeight="1">
      <c r="A94" s="12">
        <v>69</v>
      </c>
      <c r="B94" s="13" t="s">
        <v>184</v>
      </c>
      <c r="C94" s="14"/>
      <c r="D94" s="14" t="s">
        <v>185</v>
      </c>
      <c r="E94" s="14" t="s">
        <v>172</v>
      </c>
      <c r="F94" s="15" t="s">
        <v>22</v>
      </c>
      <c r="G94" s="14"/>
      <c r="H94" s="58">
        <v>1</v>
      </c>
      <c r="I94" s="19"/>
      <c r="J94" s="14" t="s">
        <v>23</v>
      </c>
      <c r="K94" s="15"/>
      <c r="L94" s="15"/>
      <c r="M94" s="14" t="s">
        <v>27</v>
      </c>
      <c r="N94" s="14" t="s">
        <v>25</v>
      </c>
      <c r="O94" s="14"/>
      <c r="P94" s="14"/>
      <c r="Q94" s="14"/>
      <c r="R94" s="17">
        <v>43633</v>
      </c>
      <c r="S94" s="12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s="18" customFormat="1" ht="15" customHeight="1">
      <c r="A95" s="12">
        <v>846</v>
      </c>
      <c r="B95" s="13" t="s">
        <v>186</v>
      </c>
      <c r="C95" s="14"/>
      <c r="D95" s="14" t="s">
        <v>185</v>
      </c>
      <c r="E95" s="14" t="s">
        <v>172</v>
      </c>
      <c r="F95" s="15" t="s">
        <v>22</v>
      </c>
      <c r="G95" s="21"/>
      <c r="H95" s="58">
        <v>1</v>
      </c>
      <c r="I95" s="14"/>
      <c r="J95" s="14" t="s">
        <v>23</v>
      </c>
      <c r="K95" s="14"/>
      <c r="L95" s="14"/>
      <c r="M95" s="14" t="s">
        <v>29</v>
      </c>
      <c r="N95" s="14" t="s">
        <v>25</v>
      </c>
      <c r="O95" s="14"/>
      <c r="P95" s="14"/>
      <c r="Q95" s="14"/>
      <c r="R95" s="14" t="s">
        <v>158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s="18" customFormat="1" ht="15" customHeight="1">
      <c r="A96" s="12">
        <v>1635</v>
      </c>
      <c r="B96" s="13" t="s">
        <v>187</v>
      </c>
      <c r="C96" s="14"/>
      <c r="D96" s="14" t="s">
        <v>185</v>
      </c>
      <c r="E96" s="14" t="s">
        <v>172</v>
      </c>
      <c r="F96" s="15" t="s">
        <v>22</v>
      </c>
      <c r="G96" s="14"/>
      <c r="H96" s="58">
        <v>1</v>
      </c>
      <c r="I96" s="14"/>
      <c r="J96" s="14" t="s">
        <v>23</v>
      </c>
      <c r="K96" s="14"/>
      <c r="L96" s="14"/>
      <c r="M96" s="14" t="s">
        <v>32</v>
      </c>
      <c r="N96" s="14" t="s">
        <v>25</v>
      </c>
      <c r="O96" s="14"/>
      <c r="P96" s="14"/>
      <c r="Q96" s="14"/>
      <c r="R96" s="14" t="s">
        <v>33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s="18" customFormat="1" ht="15" customHeight="1">
      <c r="A97" s="12">
        <v>70</v>
      </c>
      <c r="B97" s="13" t="s">
        <v>188</v>
      </c>
      <c r="C97" s="14"/>
      <c r="D97" s="14" t="s">
        <v>80</v>
      </c>
      <c r="E97" s="14" t="s">
        <v>36</v>
      </c>
      <c r="F97" s="15" t="s">
        <v>22</v>
      </c>
      <c r="G97" s="14"/>
      <c r="H97" s="58"/>
      <c r="I97" s="19"/>
      <c r="J97" s="14" t="s">
        <v>23</v>
      </c>
      <c r="K97" s="15"/>
      <c r="L97" s="15"/>
      <c r="M97" s="14" t="s">
        <v>27</v>
      </c>
      <c r="N97" s="25" t="s">
        <v>37</v>
      </c>
      <c r="O97" s="14" t="s">
        <v>189</v>
      </c>
      <c r="P97" s="14"/>
      <c r="Q97" s="14"/>
      <c r="R97" s="17">
        <v>43633</v>
      </c>
      <c r="S97" s="12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s="18" customFormat="1" ht="15" customHeight="1">
      <c r="A98" s="12">
        <v>847</v>
      </c>
      <c r="B98" s="13" t="s">
        <v>190</v>
      </c>
      <c r="C98" s="14"/>
      <c r="D98" s="14" t="s">
        <v>80</v>
      </c>
      <c r="E98" s="14" t="s">
        <v>36</v>
      </c>
      <c r="F98" s="15" t="s">
        <v>22</v>
      </c>
      <c r="G98" s="21"/>
      <c r="H98" s="58">
        <v>1</v>
      </c>
      <c r="I98" s="14"/>
      <c r="J98" s="14" t="s">
        <v>23</v>
      </c>
      <c r="K98" s="14"/>
      <c r="L98" s="14"/>
      <c r="M98" s="14" t="s">
        <v>29</v>
      </c>
      <c r="N98" s="25" t="s">
        <v>37</v>
      </c>
      <c r="O98" s="14" t="s">
        <v>191</v>
      </c>
      <c r="P98" s="14"/>
      <c r="Q98" s="14"/>
      <c r="R98" s="14" t="s">
        <v>158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s="18" customFormat="1" ht="15" customHeight="1">
      <c r="A99" s="12">
        <v>1636</v>
      </c>
      <c r="B99" s="13" t="s">
        <v>192</v>
      </c>
      <c r="C99" s="14"/>
      <c r="D99" s="14" t="s">
        <v>80</v>
      </c>
      <c r="E99" s="14" t="s">
        <v>36</v>
      </c>
      <c r="F99" s="15" t="s">
        <v>22</v>
      </c>
      <c r="G99" s="14"/>
      <c r="H99" s="58">
        <v>0</v>
      </c>
      <c r="I99" s="14"/>
      <c r="J99" s="14" t="s">
        <v>23</v>
      </c>
      <c r="K99" s="14"/>
      <c r="L99" s="14"/>
      <c r="M99" s="14" t="s">
        <v>32</v>
      </c>
      <c r="N99" s="14" t="s">
        <v>25</v>
      </c>
      <c r="O99" s="14"/>
      <c r="P99" s="14"/>
      <c r="Q99" s="14"/>
      <c r="R99" s="14" t="s">
        <v>33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s="18" customFormat="1" ht="15" customHeight="1">
      <c r="A100" s="12">
        <v>71</v>
      </c>
      <c r="B100" s="13" t="s">
        <v>193</v>
      </c>
      <c r="C100" s="14"/>
      <c r="D100" s="14" t="s">
        <v>52</v>
      </c>
      <c r="E100" s="14" t="s">
        <v>36</v>
      </c>
      <c r="F100" s="15" t="s">
        <v>22</v>
      </c>
      <c r="G100" s="14"/>
      <c r="H100" s="58"/>
      <c r="I100" s="19"/>
      <c r="J100" s="14" t="s">
        <v>23</v>
      </c>
      <c r="K100" s="15"/>
      <c r="L100" s="15"/>
      <c r="M100" s="14" t="s">
        <v>27</v>
      </c>
      <c r="N100" s="25" t="s">
        <v>194</v>
      </c>
      <c r="O100" s="14" t="s">
        <v>138</v>
      </c>
      <c r="P100" s="14"/>
      <c r="Q100" s="14"/>
      <c r="R100" s="17">
        <v>43633</v>
      </c>
      <c r="S100" s="12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s="18" customFormat="1" ht="15" customHeight="1">
      <c r="A101" s="12">
        <v>848</v>
      </c>
      <c r="B101" s="13" t="s">
        <v>195</v>
      </c>
      <c r="C101" s="14"/>
      <c r="D101" s="14" t="s">
        <v>52</v>
      </c>
      <c r="E101" s="14" t="s">
        <v>36</v>
      </c>
      <c r="F101" s="15" t="s">
        <v>22</v>
      </c>
      <c r="G101" s="21"/>
      <c r="H101" s="58"/>
      <c r="I101" s="14"/>
      <c r="J101" s="14" t="s">
        <v>23</v>
      </c>
      <c r="K101" s="14"/>
      <c r="L101" s="14"/>
      <c r="M101" s="14" t="s">
        <v>29</v>
      </c>
      <c r="N101" s="14" t="s">
        <v>25</v>
      </c>
      <c r="O101" s="14"/>
      <c r="P101" s="14"/>
      <c r="Q101" s="14"/>
      <c r="R101" s="14" t="s">
        <v>158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s="18" customFormat="1" ht="15" customHeight="1">
      <c r="A102" s="12">
        <v>1637</v>
      </c>
      <c r="B102" s="13" t="s">
        <v>196</v>
      </c>
      <c r="C102" s="14"/>
      <c r="D102" s="14" t="s">
        <v>52</v>
      </c>
      <c r="E102" s="14" t="s">
        <v>36</v>
      </c>
      <c r="F102" s="15" t="s">
        <v>22</v>
      </c>
      <c r="G102" s="14"/>
      <c r="H102" s="58">
        <v>0</v>
      </c>
      <c r="I102" s="14"/>
      <c r="J102" s="14" t="s">
        <v>23</v>
      </c>
      <c r="K102" s="14"/>
      <c r="L102" s="14"/>
      <c r="M102" s="14" t="s">
        <v>32</v>
      </c>
      <c r="N102" s="14" t="s">
        <v>25</v>
      </c>
      <c r="O102" s="14"/>
      <c r="P102" s="14"/>
      <c r="Q102" s="14"/>
      <c r="R102" s="14" t="s">
        <v>33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s="18" customFormat="1" ht="15" customHeight="1">
      <c r="A103" s="12">
        <v>30</v>
      </c>
      <c r="B103" s="13" t="s">
        <v>197</v>
      </c>
      <c r="C103" s="14"/>
      <c r="D103" s="14" t="s">
        <v>38</v>
      </c>
      <c r="E103" s="14" t="s">
        <v>92</v>
      </c>
      <c r="F103" s="15" t="s">
        <v>22</v>
      </c>
      <c r="G103" s="14"/>
      <c r="H103" s="58"/>
      <c r="I103" s="14"/>
      <c r="J103" s="14" t="s">
        <v>23</v>
      </c>
      <c r="K103" s="15"/>
      <c r="L103" s="15"/>
      <c r="M103" s="14" t="s">
        <v>24</v>
      </c>
      <c r="N103" s="14" t="s">
        <v>25</v>
      </c>
      <c r="O103" s="14"/>
      <c r="P103" s="14"/>
      <c r="Q103" s="14"/>
      <c r="R103" s="17">
        <v>43599</v>
      </c>
      <c r="S103" s="12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s="18" customFormat="1" ht="15" customHeight="1">
      <c r="A104" s="12">
        <v>72</v>
      </c>
      <c r="B104" s="13" t="s">
        <v>198</v>
      </c>
      <c r="C104" s="14"/>
      <c r="D104" s="14" t="s">
        <v>38</v>
      </c>
      <c r="E104" s="14" t="s">
        <v>92</v>
      </c>
      <c r="F104" s="15" t="s">
        <v>22</v>
      </c>
      <c r="G104" s="14"/>
      <c r="H104" s="58"/>
      <c r="I104" s="19"/>
      <c r="J104" s="14" t="s">
        <v>23</v>
      </c>
      <c r="K104" s="15"/>
      <c r="L104" s="15"/>
      <c r="M104" s="14" t="s">
        <v>27</v>
      </c>
      <c r="N104" s="25" t="s">
        <v>37</v>
      </c>
      <c r="O104" s="14" t="s">
        <v>189</v>
      </c>
      <c r="P104" s="14"/>
      <c r="Q104" s="14"/>
      <c r="R104" s="17">
        <v>43633</v>
      </c>
      <c r="S104" s="12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s="18" customFormat="1" ht="15" customHeight="1">
      <c r="A105" s="12">
        <v>849</v>
      </c>
      <c r="B105" s="13" t="s">
        <v>199</v>
      </c>
      <c r="C105" s="14"/>
      <c r="D105" s="14" t="s">
        <v>38</v>
      </c>
      <c r="E105" s="14" t="s">
        <v>92</v>
      </c>
      <c r="F105" s="15" t="s">
        <v>22</v>
      </c>
      <c r="G105" s="21"/>
      <c r="H105" s="58">
        <v>4</v>
      </c>
      <c r="I105" s="14"/>
      <c r="J105" s="14" t="s">
        <v>23</v>
      </c>
      <c r="K105" s="14"/>
      <c r="L105" s="14"/>
      <c r="M105" s="14" t="s">
        <v>29</v>
      </c>
      <c r="N105" s="25" t="s">
        <v>37</v>
      </c>
      <c r="O105" s="14" t="s">
        <v>200</v>
      </c>
      <c r="P105" s="14"/>
      <c r="Q105" s="14"/>
      <c r="R105" s="14" t="s">
        <v>158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s="18" customFormat="1" ht="15" customHeight="1">
      <c r="A106" s="12">
        <v>1638</v>
      </c>
      <c r="B106" s="13" t="s">
        <v>201</v>
      </c>
      <c r="C106" s="14"/>
      <c r="D106" s="14" t="s">
        <v>38</v>
      </c>
      <c r="E106" s="14" t="s">
        <v>92</v>
      </c>
      <c r="F106" s="15" t="s">
        <v>22</v>
      </c>
      <c r="G106" s="14"/>
      <c r="H106" s="58">
        <v>4</v>
      </c>
      <c r="I106" s="14"/>
      <c r="J106" s="14" t="s">
        <v>23</v>
      </c>
      <c r="K106" s="14"/>
      <c r="L106" s="14"/>
      <c r="M106" s="14" t="s">
        <v>32</v>
      </c>
      <c r="N106" s="25" t="s">
        <v>37</v>
      </c>
      <c r="O106" s="14" t="s">
        <v>202</v>
      </c>
      <c r="P106" s="14"/>
      <c r="Q106" s="14"/>
      <c r="R106" s="14" t="s">
        <v>33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s="18" customFormat="1" ht="15" customHeight="1">
      <c r="A107" s="12">
        <v>73</v>
      </c>
      <c r="B107" s="13" t="s">
        <v>203</v>
      </c>
      <c r="C107" s="14"/>
      <c r="D107" s="14" t="s">
        <v>179</v>
      </c>
      <c r="E107" s="14" t="s">
        <v>21</v>
      </c>
      <c r="F107" s="15" t="s">
        <v>22</v>
      </c>
      <c r="G107" s="14"/>
      <c r="H107" s="58"/>
      <c r="I107" s="19"/>
      <c r="J107" s="14" t="s">
        <v>23</v>
      </c>
      <c r="K107" s="15"/>
      <c r="L107" s="15"/>
      <c r="M107" s="14" t="s">
        <v>27</v>
      </c>
      <c r="N107" s="14" t="s">
        <v>25</v>
      </c>
      <c r="O107" s="14"/>
      <c r="P107" s="14"/>
      <c r="Q107" s="14"/>
      <c r="R107" s="17">
        <v>43633</v>
      </c>
      <c r="S107" s="12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s="18" customFormat="1" ht="15" customHeight="1">
      <c r="A108" s="12">
        <v>850</v>
      </c>
      <c r="B108" s="13" t="s">
        <v>204</v>
      </c>
      <c r="C108" s="14"/>
      <c r="D108" s="14" t="s">
        <v>179</v>
      </c>
      <c r="E108" s="14" t="s">
        <v>21</v>
      </c>
      <c r="F108" s="15" t="s">
        <v>22</v>
      </c>
      <c r="G108" s="21"/>
      <c r="H108" s="58"/>
      <c r="I108" s="14"/>
      <c r="J108" s="14" t="s">
        <v>23</v>
      </c>
      <c r="K108" s="14"/>
      <c r="L108" s="14"/>
      <c r="M108" s="14" t="s">
        <v>29</v>
      </c>
      <c r="N108" s="14" t="s">
        <v>25</v>
      </c>
      <c r="O108" s="14"/>
      <c r="P108" s="14"/>
      <c r="Q108" s="14"/>
      <c r="R108" s="14" t="s">
        <v>158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s="18" customFormat="1" ht="15" customHeight="1">
      <c r="A109" s="12">
        <v>1639</v>
      </c>
      <c r="B109" s="13" t="s">
        <v>205</v>
      </c>
      <c r="C109" s="14"/>
      <c r="D109" s="14" t="s">
        <v>179</v>
      </c>
      <c r="E109" s="14" t="s">
        <v>21</v>
      </c>
      <c r="F109" s="15" t="s">
        <v>22</v>
      </c>
      <c r="G109" s="14"/>
      <c r="H109" s="58">
        <v>1</v>
      </c>
      <c r="I109" s="14"/>
      <c r="J109" s="14" t="s">
        <v>23</v>
      </c>
      <c r="K109" s="14"/>
      <c r="L109" s="14"/>
      <c r="M109" s="14" t="s">
        <v>32</v>
      </c>
      <c r="N109" s="14" t="s">
        <v>25</v>
      </c>
      <c r="O109" s="14"/>
      <c r="P109" s="14"/>
      <c r="Q109" s="14"/>
      <c r="R109" s="14" t="s">
        <v>33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s="18" customFormat="1" ht="15" customHeight="1">
      <c r="A110" s="12">
        <v>74</v>
      </c>
      <c r="B110" s="13" t="s">
        <v>206</v>
      </c>
      <c r="C110" s="14"/>
      <c r="D110" s="14" t="s">
        <v>45</v>
      </c>
      <c r="E110" s="14" t="s">
        <v>21</v>
      </c>
      <c r="F110" s="15" t="s">
        <v>22</v>
      </c>
      <c r="G110" s="14"/>
      <c r="H110" s="58"/>
      <c r="I110" s="19"/>
      <c r="J110" s="14" t="s">
        <v>23</v>
      </c>
      <c r="K110" s="15"/>
      <c r="L110" s="15"/>
      <c r="M110" s="14" t="s">
        <v>27</v>
      </c>
      <c r="N110" s="14" t="s">
        <v>25</v>
      </c>
      <c r="O110" s="14"/>
      <c r="P110" s="14"/>
      <c r="Q110" s="14"/>
      <c r="R110" s="17">
        <v>43633</v>
      </c>
      <c r="S110" s="12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s="18" customFormat="1" ht="15" customHeight="1">
      <c r="A111" s="12">
        <v>851</v>
      </c>
      <c r="B111" s="13" t="s">
        <v>207</v>
      </c>
      <c r="C111" s="14"/>
      <c r="D111" s="14" t="s">
        <v>45</v>
      </c>
      <c r="E111" s="14" t="s">
        <v>21</v>
      </c>
      <c r="F111" s="15" t="s">
        <v>22</v>
      </c>
      <c r="G111" s="21"/>
      <c r="H111" s="58"/>
      <c r="I111" s="14"/>
      <c r="J111" s="14" t="s">
        <v>23</v>
      </c>
      <c r="K111" s="14"/>
      <c r="L111" s="14"/>
      <c r="M111" s="14" t="s">
        <v>29</v>
      </c>
      <c r="N111" s="25" t="s">
        <v>37</v>
      </c>
      <c r="O111" s="14" t="s">
        <v>208</v>
      </c>
      <c r="P111" s="14"/>
      <c r="Q111" s="14"/>
      <c r="R111" s="14" t="s">
        <v>158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s="18" customFormat="1" ht="15" customHeight="1">
      <c r="A112" s="12">
        <v>1640</v>
      </c>
      <c r="B112" s="13" t="s">
        <v>209</v>
      </c>
      <c r="C112" s="14"/>
      <c r="D112" s="14" t="s">
        <v>45</v>
      </c>
      <c r="E112" s="14" t="s">
        <v>21</v>
      </c>
      <c r="F112" s="15" t="s">
        <v>22</v>
      </c>
      <c r="G112" s="14"/>
      <c r="H112" s="58">
        <v>0</v>
      </c>
      <c r="I112" s="14"/>
      <c r="J112" s="14" t="s">
        <v>23</v>
      </c>
      <c r="K112" s="14"/>
      <c r="L112" s="14"/>
      <c r="M112" s="14" t="s">
        <v>32</v>
      </c>
      <c r="N112" s="25" t="s">
        <v>37</v>
      </c>
      <c r="O112" s="14" t="s">
        <v>210</v>
      </c>
      <c r="P112" s="14"/>
      <c r="Q112" s="14"/>
      <c r="R112" s="14" t="s">
        <v>33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s="18" customFormat="1" ht="15" customHeight="1">
      <c r="A113" s="12">
        <v>75</v>
      </c>
      <c r="B113" s="13" t="s">
        <v>211</v>
      </c>
      <c r="C113" s="14"/>
      <c r="D113" s="14" t="s">
        <v>189</v>
      </c>
      <c r="E113" s="14" t="s">
        <v>21</v>
      </c>
      <c r="F113" s="15" t="s">
        <v>22</v>
      </c>
      <c r="G113" s="14"/>
      <c r="H113" s="58"/>
      <c r="I113" s="19"/>
      <c r="J113" s="14" t="s">
        <v>23</v>
      </c>
      <c r="K113" s="15"/>
      <c r="L113" s="15"/>
      <c r="M113" s="14" t="s">
        <v>27</v>
      </c>
      <c r="N113" s="14" t="s">
        <v>25</v>
      </c>
      <c r="O113" s="14"/>
      <c r="P113" s="14"/>
      <c r="Q113" s="14"/>
      <c r="R113" s="17">
        <v>43633</v>
      </c>
      <c r="S113" s="12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s="18" customFormat="1" ht="15" customHeight="1">
      <c r="A114" s="12">
        <v>852</v>
      </c>
      <c r="B114" s="13" t="s">
        <v>212</v>
      </c>
      <c r="C114" s="14"/>
      <c r="D114" s="14" t="s">
        <v>189</v>
      </c>
      <c r="E114" s="14" t="s">
        <v>21</v>
      </c>
      <c r="F114" s="15" t="s">
        <v>22</v>
      </c>
      <c r="G114" s="21"/>
      <c r="H114" s="58"/>
      <c r="I114" s="14"/>
      <c r="J114" s="14" t="s">
        <v>23</v>
      </c>
      <c r="K114" s="14"/>
      <c r="L114" s="14"/>
      <c r="M114" s="14" t="s">
        <v>29</v>
      </c>
      <c r="N114" s="14" t="s">
        <v>25</v>
      </c>
      <c r="O114" s="14"/>
      <c r="P114" s="14"/>
      <c r="Q114" s="14"/>
      <c r="R114" s="14" t="s">
        <v>158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s="18" customFormat="1" ht="15" customHeight="1">
      <c r="A115" s="12">
        <v>1641</v>
      </c>
      <c r="B115" s="13" t="s">
        <v>213</v>
      </c>
      <c r="C115" s="14"/>
      <c r="D115" s="14" t="s">
        <v>189</v>
      </c>
      <c r="E115" s="14" t="s">
        <v>21</v>
      </c>
      <c r="F115" s="15" t="s">
        <v>22</v>
      </c>
      <c r="G115" s="14"/>
      <c r="H115" s="58">
        <v>0</v>
      </c>
      <c r="I115" s="14"/>
      <c r="J115" s="14" t="s">
        <v>23</v>
      </c>
      <c r="K115" s="14"/>
      <c r="L115" s="14"/>
      <c r="M115" s="14" t="s">
        <v>32</v>
      </c>
      <c r="N115" s="14" t="s">
        <v>25</v>
      </c>
      <c r="O115" s="14"/>
      <c r="P115" s="14"/>
      <c r="Q115" s="14"/>
      <c r="R115" s="14" t="s">
        <v>33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s="18" customFormat="1" ht="15" customHeight="1">
      <c r="A116" s="12">
        <v>76</v>
      </c>
      <c r="B116" s="13" t="s">
        <v>214</v>
      </c>
      <c r="C116" s="14"/>
      <c r="D116" s="14" t="s">
        <v>138</v>
      </c>
      <c r="E116" s="14" t="s">
        <v>215</v>
      </c>
      <c r="F116" s="15" t="s">
        <v>22</v>
      </c>
      <c r="G116" s="14"/>
      <c r="H116" s="58"/>
      <c r="I116" s="19"/>
      <c r="J116" s="14" t="s">
        <v>23</v>
      </c>
      <c r="K116" s="15"/>
      <c r="L116" s="15"/>
      <c r="M116" s="14" t="s">
        <v>27</v>
      </c>
      <c r="N116" s="25" t="s">
        <v>37</v>
      </c>
      <c r="O116" s="14" t="s">
        <v>45</v>
      </c>
      <c r="P116" s="14"/>
      <c r="Q116" s="14"/>
      <c r="R116" s="17">
        <v>43633</v>
      </c>
      <c r="S116" s="12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s="18" customFormat="1" ht="15" customHeight="1">
      <c r="A117" s="12">
        <v>853</v>
      </c>
      <c r="B117" s="13" t="s">
        <v>216</v>
      </c>
      <c r="C117" s="14"/>
      <c r="D117" s="14" t="s">
        <v>138</v>
      </c>
      <c r="E117" s="14" t="s">
        <v>215</v>
      </c>
      <c r="F117" s="15" t="s">
        <v>22</v>
      </c>
      <c r="G117" s="21"/>
      <c r="H117" s="58">
        <v>3</v>
      </c>
      <c r="I117" s="14"/>
      <c r="J117" s="14" t="s">
        <v>23</v>
      </c>
      <c r="K117" s="14"/>
      <c r="L117" s="14"/>
      <c r="M117" s="14" t="s">
        <v>29</v>
      </c>
      <c r="N117" s="25" t="s">
        <v>37</v>
      </c>
      <c r="O117" s="14" t="s">
        <v>217</v>
      </c>
      <c r="P117" s="14"/>
      <c r="Q117" s="14"/>
      <c r="R117" s="14" t="s">
        <v>158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s="18" customFormat="1" ht="15" customHeight="1">
      <c r="A118" s="12">
        <v>1642</v>
      </c>
      <c r="B118" s="13" t="s">
        <v>218</v>
      </c>
      <c r="C118" s="14"/>
      <c r="D118" s="14" t="s">
        <v>138</v>
      </c>
      <c r="E118" s="14" t="s">
        <v>215</v>
      </c>
      <c r="F118" s="15" t="s">
        <v>22</v>
      </c>
      <c r="G118" s="14"/>
      <c r="H118" s="58">
        <v>3</v>
      </c>
      <c r="I118" s="14"/>
      <c r="J118" s="14" t="s">
        <v>23</v>
      </c>
      <c r="K118" s="14"/>
      <c r="L118" s="14"/>
      <c r="M118" s="14" t="s">
        <v>32</v>
      </c>
      <c r="N118" s="25" t="s">
        <v>37</v>
      </c>
      <c r="O118" s="14" t="s">
        <v>219</v>
      </c>
      <c r="P118" s="14"/>
      <c r="Q118" s="14"/>
      <c r="R118" s="14" t="s">
        <v>33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s="18" customFormat="1" ht="15" customHeight="1">
      <c r="A119" s="12">
        <v>77</v>
      </c>
      <c r="B119" s="13" t="s">
        <v>220</v>
      </c>
      <c r="C119" s="14"/>
      <c r="D119" s="14" t="s">
        <v>221</v>
      </c>
      <c r="E119" s="14" t="s">
        <v>215</v>
      </c>
      <c r="F119" s="15" t="s">
        <v>22</v>
      </c>
      <c r="G119" s="14"/>
      <c r="H119" s="58"/>
      <c r="I119" s="19"/>
      <c r="J119" s="14" t="s">
        <v>23</v>
      </c>
      <c r="K119" s="15"/>
      <c r="L119" s="15"/>
      <c r="M119" s="14" t="s">
        <v>27</v>
      </c>
      <c r="N119" s="25" t="s">
        <v>37</v>
      </c>
      <c r="O119" s="14" t="s">
        <v>52</v>
      </c>
      <c r="P119" s="14"/>
      <c r="Q119" s="14"/>
      <c r="R119" s="17">
        <v>43633</v>
      </c>
      <c r="S119" s="12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s="18" customFormat="1" ht="15" customHeight="1">
      <c r="A120" s="12">
        <v>854</v>
      </c>
      <c r="B120" s="13" t="s">
        <v>222</v>
      </c>
      <c r="C120" s="14"/>
      <c r="D120" s="14" t="s">
        <v>221</v>
      </c>
      <c r="E120" s="14" t="s">
        <v>215</v>
      </c>
      <c r="F120" s="15" t="s">
        <v>22</v>
      </c>
      <c r="G120" s="21"/>
      <c r="H120" s="58">
        <v>2</v>
      </c>
      <c r="I120" s="14"/>
      <c r="J120" s="14" t="s">
        <v>23</v>
      </c>
      <c r="K120" s="14"/>
      <c r="L120" s="14"/>
      <c r="M120" s="14" t="s">
        <v>29</v>
      </c>
      <c r="N120" s="25" t="s">
        <v>37</v>
      </c>
      <c r="O120" s="14" t="s">
        <v>223</v>
      </c>
      <c r="P120" s="14"/>
      <c r="Q120" s="14"/>
      <c r="R120" s="14" t="s">
        <v>158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s="18" customFormat="1" ht="15" customHeight="1">
      <c r="A121" s="12">
        <v>1643</v>
      </c>
      <c r="B121" s="13" t="s">
        <v>224</v>
      </c>
      <c r="C121" s="14"/>
      <c r="D121" s="14" t="s">
        <v>221</v>
      </c>
      <c r="E121" s="14" t="s">
        <v>215</v>
      </c>
      <c r="F121" s="15" t="s">
        <v>22</v>
      </c>
      <c r="G121" s="14"/>
      <c r="H121" s="58">
        <v>2</v>
      </c>
      <c r="I121" s="14"/>
      <c r="J121" s="14" t="s">
        <v>23</v>
      </c>
      <c r="K121" s="14"/>
      <c r="L121" s="14"/>
      <c r="M121" s="14" t="s">
        <v>32</v>
      </c>
      <c r="N121" s="25" t="s">
        <v>37</v>
      </c>
      <c r="O121" s="14" t="s">
        <v>225</v>
      </c>
      <c r="P121" s="14"/>
      <c r="Q121" s="14"/>
      <c r="R121" s="14" t="s">
        <v>33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s="18" customFormat="1" ht="15" customHeight="1">
      <c r="A122" s="12">
        <v>78</v>
      </c>
      <c r="B122" s="13" t="s">
        <v>226</v>
      </c>
      <c r="C122" s="14"/>
      <c r="D122" s="14" t="s">
        <v>227</v>
      </c>
      <c r="E122" s="14" t="s">
        <v>21</v>
      </c>
      <c r="F122" s="15" t="s">
        <v>22</v>
      </c>
      <c r="G122" s="14"/>
      <c r="H122" s="58"/>
      <c r="I122" s="19"/>
      <c r="J122" s="14" t="s">
        <v>23</v>
      </c>
      <c r="K122" s="15"/>
      <c r="L122" s="15"/>
      <c r="M122" s="14" t="s">
        <v>27</v>
      </c>
      <c r="N122" s="14" t="s">
        <v>25</v>
      </c>
      <c r="O122" s="14"/>
      <c r="P122" s="14"/>
      <c r="Q122" s="14"/>
      <c r="R122" s="17">
        <v>43633</v>
      </c>
      <c r="S122" s="12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s="18" customFormat="1" ht="15" customHeight="1">
      <c r="A123" s="12">
        <v>855</v>
      </c>
      <c r="B123" s="13" t="s">
        <v>228</v>
      </c>
      <c r="C123" s="14"/>
      <c r="D123" s="14" t="s">
        <v>227</v>
      </c>
      <c r="E123" s="14" t="s">
        <v>21</v>
      </c>
      <c r="F123" s="15" t="s">
        <v>22</v>
      </c>
      <c r="G123" s="21"/>
      <c r="H123" s="58">
        <v>1</v>
      </c>
      <c r="I123" s="14"/>
      <c r="J123" s="14" t="s">
        <v>23</v>
      </c>
      <c r="K123" s="14"/>
      <c r="L123" s="14"/>
      <c r="M123" s="14" t="s">
        <v>29</v>
      </c>
      <c r="N123" s="14" t="s">
        <v>25</v>
      </c>
      <c r="O123" s="14"/>
      <c r="P123" s="14"/>
      <c r="Q123" s="14"/>
      <c r="R123" s="14" t="s">
        <v>158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s="18" customFormat="1" ht="15" customHeight="1">
      <c r="A124" s="12">
        <v>1644</v>
      </c>
      <c r="B124" s="13" t="s">
        <v>229</v>
      </c>
      <c r="C124" s="14"/>
      <c r="D124" s="14" t="s">
        <v>227</v>
      </c>
      <c r="E124" s="14" t="s">
        <v>21</v>
      </c>
      <c r="F124" s="15" t="s">
        <v>22</v>
      </c>
      <c r="G124" s="14"/>
      <c r="H124" s="58">
        <v>0</v>
      </c>
      <c r="I124" s="14"/>
      <c r="J124" s="14" t="s">
        <v>23</v>
      </c>
      <c r="K124" s="14"/>
      <c r="L124" s="14"/>
      <c r="M124" s="14" t="s">
        <v>32</v>
      </c>
      <c r="N124" s="14" t="s">
        <v>25</v>
      </c>
      <c r="O124" s="14"/>
      <c r="P124" s="14"/>
      <c r="Q124" s="14"/>
      <c r="R124" s="14" t="s">
        <v>33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s="18" customFormat="1" ht="15" customHeight="1">
      <c r="A125" s="12">
        <v>79</v>
      </c>
      <c r="B125" s="13" t="s">
        <v>230</v>
      </c>
      <c r="C125" s="14"/>
      <c r="D125" s="14" t="s">
        <v>231</v>
      </c>
      <c r="E125" s="14" t="s">
        <v>21</v>
      </c>
      <c r="F125" s="15" t="s">
        <v>22</v>
      </c>
      <c r="G125" s="14"/>
      <c r="H125" s="58"/>
      <c r="I125" s="19"/>
      <c r="J125" s="14" t="s">
        <v>23</v>
      </c>
      <c r="K125" s="15"/>
      <c r="L125" s="15"/>
      <c r="M125" s="14" t="s">
        <v>27</v>
      </c>
      <c r="N125" s="14" t="s">
        <v>25</v>
      </c>
      <c r="O125" s="14"/>
      <c r="P125" s="14"/>
      <c r="Q125" s="14"/>
      <c r="R125" s="17">
        <v>43633</v>
      </c>
      <c r="S125" s="1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s="18" customFormat="1" ht="15" customHeight="1">
      <c r="A126" s="12">
        <v>856</v>
      </c>
      <c r="B126" s="13" t="s">
        <v>232</v>
      </c>
      <c r="C126" s="14"/>
      <c r="D126" s="14" t="s">
        <v>231</v>
      </c>
      <c r="E126" s="14" t="s">
        <v>21</v>
      </c>
      <c r="F126" s="15" t="s">
        <v>22</v>
      </c>
      <c r="G126" s="21"/>
      <c r="H126" s="58"/>
      <c r="I126" s="14"/>
      <c r="J126" s="14" t="s">
        <v>23</v>
      </c>
      <c r="K126" s="14"/>
      <c r="L126" s="14"/>
      <c r="M126" s="14" t="s">
        <v>29</v>
      </c>
      <c r="N126" s="14" t="s">
        <v>25</v>
      </c>
      <c r="O126" s="14"/>
      <c r="P126" s="14"/>
      <c r="Q126" s="14"/>
      <c r="R126" s="14" t="s">
        <v>158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s="18" customFormat="1" ht="15" customHeight="1">
      <c r="A127" s="12">
        <v>1645</v>
      </c>
      <c r="B127" s="13" t="s">
        <v>233</v>
      </c>
      <c r="C127" s="14"/>
      <c r="D127" s="14" t="s">
        <v>231</v>
      </c>
      <c r="E127" s="14" t="s">
        <v>21</v>
      </c>
      <c r="F127" s="15" t="s">
        <v>22</v>
      </c>
      <c r="G127" s="14"/>
      <c r="H127" s="58">
        <v>0</v>
      </c>
      <c r="I127" s="14"/>
      <c r="J127" s="14" t="s">
        <v>23</v>
      </c>
      <c r="K127" s="14"/>
      <c r="L127" s="14"/>
      <c r="M127" s="14" t="s">
        <v>32</v>
      </c>
      <c r="N127" s="14" t="s">
        <v>25</v>
      </c>
      <c r="O127" s="14"/>
      <c r="P127" s="14"/>
      <c r="Q127" s="14"/>
      <c r="R127" s="14" t="s">
        <v>33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s="18" customFormat="1" ht="15" customHeight="1">
      <c r="A128" s="12">
        <v>17</v>
      </c>
      <c r="B128" s="13" t="s">
        <v>234</v>
      </c>
      <c r="C128" s="14"/>
      <c r="D128" s="14" t="s">
        <v>235</v>
      </c>
      <c r="E128" s="14" t="s">
        <v>236</v>
      </c>
      <c r="F128" s="15" t="s">
        <v>22</v>
      </c>
      <c r="G128" s="14"/>
      <c r="H128" s="58"/>
      <c r="I128" s="14"/>
      <c r="J128" s="14" t="s">
        <v>23</v>
      </c>
      <c r="K128" s="15"/>
      <c r="L128" s="15"/>
      <c r="M128" s="14" t="s">
        <v>24</v>
      </c>
      <c r="N128" s="14" t="s">
        <v>25</v>
      </c>
      <c r="O128" s="14"/>
      <c r="P128" s="14"/>
      <c r="Q128" s="14"/>
      <c r="R128" s="17">
        <v>43599</v>
      </c>
      <c r="S128" s="12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s="18" customFormat="1" ht="15" customHeight="1">
      <c r="A129" s="12">
        <v>80</v>
      </c>
      <c r="B129" s="13" t="s">
        <v>237</v>
      </c>
      <c r="C129" s="14"/>
      <c r="D129" s="14" t="s">
        <v>235</v>
      </c>
      <c r="E129" s="14" t="s">
        <v>236</v>
      </c>
      <c r="F129" s="15" t="s">
        <v>22</v>
      </c>
      <c r="G129" s="14"/>
      <c r="H129" s="58"/>
      <c r="I129" s="19"/>
      <c r="J129" s="14" t="s">
        <v>23</v>
      </c>
      <c r="K129" s="15"/>
      <c r="L129" s="15"/>
      <c r="M129" s="14" t="s">
        <v>27</v>
      </c>
      <c r="N129" s="14" t="s">
        <v>25</v>
      </c>
      <c r="O129" s="14"/>
      <c r="P129" s="14"/>
      <c r="Q129" s="14"/>
      <c r="R129" s="17">
        <v>43633</v>
      </c>
      <c r="S129" s="12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s="18" customFormat="1" ht="15" customHeight="1">
      <c r="A130" s="12">
        <v>857</v>
      </c>
      <c r="B130" s="13" t="s">
        <v>238</v>
      </c>
      <c r="C130" s="14"/>
      <c r="D130" s="14" t="s">
        <v>235</v>
      </c>
      <c r="E130" s="14" t="s">
        <v>236</v>
      </c>
      <c r="F130" s="15" t="s">
        <v>22</v>
      </c>
      <c r="G130" s="21"/>
      <c r="H130" s="58"/>
      <c r="I130" s="14"/>
      <c r="J130" s="14" t="s">
        <v>23</v>
      </c>
      <c r="K130" s="14"/>
      <c r="L130" s="14"/>
      <c r="M130" s="14" t="s">
        <v>29</v>
      </c>
      <c r="N130" s="25" t="s">
        <v>37</v>
      </c>
      <c r="O130" s="14" t="s">
        <v>239</v>
      </c>
      <c r="P130" s="14"/>
      <c r="Q130" s="14"/>
      <c r="R130" s="14" t="s">
        <v>158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s="18" customFormat="1" ht="15" customHeight="1">
      <c r="A131" s="12">
        <v>1646</v>
      </c>
      <c r="B131" s="13" t="s">
        <v>240</v>
      </c>
      <c r="C131" s="14"/>
      <c r="D131" s="14" t="s">
        <v>235</v>
      </c>
      <c r="E131" s="14" t="s">
        <v>236</v>
      </c>
      <c r="F131" s="15" t="s">
        <v>22</v>
      </c>
      <c r="G131" s="14"/>
      <c r="H131" s="58">
        <v>0</v>
      </c>
      <c r="I131" s="14"/>
      <c r="J131" s="14" t="s">
        <v>23</v>
      </c>
      <c r="K131" s="14"/>
      <c r="L131" s="14"/>
      <c r="M131" s="14" t="s">
        <v>32</v>
      </c>
      <c r="N131" s="14" t="s">
        <v>25</v>
      </c>
      <c r="O131" s="14"/>
      <c r="P131" s="14"/>
      <c r="Q131" s="14"/>
      <c r="R131" s="14" t="s">
        <v>33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s="18" customFormat="1" ht="15" customHeight="1">
      <c r="A132" s="12">
        <v>81</v>
      </c>
      <c r="B132" s="13" t="s">
        <v>241</v>
      </c>
      <c r="C132" s="14"/>
      <c r="D132" s="14" t="s">
        <v>242</v>
      </c>
      <c r="E132" s="14" t="s">
        <v>115</v>
      </c>
      <c r="F132" s="15" t="s">
        <v>22</v>
      </c>
      <c r="G132" s="14"/>
      <c r="H132" s="58"/>
      <c r="I132" s="19"/>
      <c r="J132" s="14" t="s">
        <v>23</v>
      </c>
      <c r="K132" s="15"/>
      <c r="L132" s="15"/>
      <c r="M132" s="14" t="s">
        <v>27</v>
      </c>
      <c r="N132" s="14" t="s">
        <v>25</v>
      </c>
      <c r="O132" s="14"/>
      <c r="P132" s="14"/>
      <c r="Q132" s="14"/>
      <c r="R132" s="17">
        <v>43633</v>
      </c>
      <c r="S132" s="12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s="18" customFormat="1" ht="15" customHeight="1">
      <c r="A133" s="12">
        <v>858</v>
      </c>
      <c r="B133" s="13" t="s">
        <v>243</v>
      </c>
      <c r="C133" s="14"/>
      <c r="D133" s="14" t="s">
        <v>242</v>
      </c>
      <c r="E133" s="14" t="s">
        <v>115</v>
      </c>
      <c r="F133" s="15" t="s">
        <v>22</v>
      </c>
      <c r="G133" s="21"/>
      <c r="H133" s="58"/>
      <c r="I133" s="14"/>
      <c r="J133" s="14" t="s">
        <v>23</v>
      </c>
      <c r="K133" s="14"/>
      <c r="L133" s="14"/>
      <c r="M133" s="14" t="s">
        <v>29</v>
      </c>
      <c r="N133" s="14" t="s">
        <v>25</v>
      </c>
      <c r="O133" s="14"/>
      <c r="P133" s="14"/>
      <c r="Q133" s="14"/>
      <c r="R133" s="14" t="s">
        <v>158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s="18" customFormat="1" ht="15" customHeight="1">
      <c r="A134" s="12">
        <v>1647</v>
      </c>
      <c r="B134" s="13" t="s">
        <v>244</v>
      </c>
      <c r="C134" s="14"/>
      <c r="D134" s="14" t="s">
        <v>242</v>
      </c>
      <c r="E134" s="14" t="s">
        <v>115</v>
      </c>
      <c r="F134" s="15" t="s">
        <v>22</v>
      </c>
      <c r="G134" s="14"/>
      <c r="H134" s="58">
        <v>1</v>
      </c>
      <c r="I134" s="14"/>
      <c r="J134" s="14" t="s">
        <v>23</v>
      </c>
      <c r="K134" s="14"/>
      <c r="L134" s="14"/>
      <c r="M134" s="14" t="s">
        <v>32</v>
      </c>
      <c r="N134" s="14" t="s">
        <v>25</v>
      </c>
      <c r="O134" s="14"/>
      <c r="P134" s="14"/>
      <c r="Q134" s="14"/>
      <c r="R134" s="14" t="s">
        <v>33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s="18" customFormat="1" ht="15" customHeight="1">
      <c r="A135" s="12">
        <v>82</v>
      </c>
      <c r="B135" s="13" t="s">
        <v>245</v>
      </c>
      <c r="C135" s="14"/>
      <c r="D135" s="14" t="s">
        <v>246</v>
      </c>
      <c r="E135" s="14"/>
      <c r="F135" s="15" t="s">
        <v>22</v>
      </c>
      <c r="G135" s="14"/>
      <c r="H135" s="58"/>
      <c r="I135" s="19"/>
      <c r="J135" s="14" t="s">
        <v>23</v>
      </c>
      <c r="K135" s="15"/>
      <c r="L135" s="15"/>
      <c r="M135" s="14" t="s">
        <v>27</v>
      </c>
      <c r="N135" s="14" t="s">
        <v>25</v>
      </c>
      <c r="O135" s="14"/>
      <c r="P135" s="14"/>
      <c r="Q135" s="14"/>
      <c r="R135" s="17">
        <v>43633</v>
      </c>
      <c r="S135" s="12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s="18" customFormat="1" ht="15" customHeight="1">
      <c r="A136" s="12">
        <v>859</v>
      </c>
      <c r="B136" s="13" t="s">
        <v>247</v>
      </c>
      <c r="C136" s="14"/>
      <c r="D136" s="14" t="s">
        <v>246</v>
      </c>
      <c r="E136" s="14"/>
      <c r="F136" s="15" t="s">
        <v>22</v>
      </c>
      <c r="G136" s="21"/>
      <c r="H136" s="58"/>
      <c r="I136" s="14"/>
      <c r="J136" s="14" t="s">
        <v>23</v>
      </c>
      <c r="K136" s="14"/>
      <c r="L136" s="14"/>
      <c r="M136" s="14" t="s">
        <v>29</v>
      </c>
      <c r="N136" s="14" t="s">
        <v>25</v>
      </c>
      <c r="O136" s="14"/>
      <c r="P136" s="14"/>
      <c r="Q136" s="14"/>
      <c r="R136" s="14" t="s">
        <v>158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s="18" customFormat="1" ht="15" customHeight="1">
      <c r="A137" s="12">
        <v>1648</v>
      </c>
      <c r="B137" s="13" t="s">
        <v>248</v>
      </c>
      <c r="C137" s="14"/>
      <c r="D137" s="14" t="s">
        <v>246</v>
      </c>
      <c r="E137" s="14" t="s">
        <v>172</v>
      </c>
      <c r="F137" s="15" t="s">
        <v>22</v>
      </c>
      <c r="G137" s="14"/>
      <c r="H137" s="58">
        <v>0</v>
      </c>
      <c r="I137" s="14"/>
      <c r="J137" s="14" t="s">
        <v>23</v>
      </c>
      <c r="K137" s="14"/>
      <c r="L137" s="14"/>
      <c r="M137" s="14" t="s">
        <v>32</v>
      </c>
      <c r="N137" s="14" t="s">
        <v>25</v>
      </c>
      <c r="O137" s="14"/>
      <c r="P137" s="14"/>
      <c r="Q137" s="14"/>
      <c r="R137" s="14" t="s">
        <v>33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s="18" customFormat="1" ht="15" customHeight="1">
      <c r="A138" s="12">
        <v>83</v>
      </c>
      <c r="B138" s="13" t="s">
        <v>249</v>
      </c>
      <c r="C138" s="14"/>
      <c r="D138" s="14" t="s">
        <v>250</v>
      </c>
      <c r="E138" s="14" t="s">
        <v>215</v>
      </c>
      <c r="F138" s="15" t="s">
        <v>22</v>
      </c>
      <c r="G138" s="14"/>
      <c r="H138" s="58"/>
      <c r="I138" s="19"/>
      <c r="J138" s="14" t="s">
        <v>23</v>
      </c>
      <c r="K138" s="15"/>
      <c r="L138" s="15"/>
      <c r="M138" s="14" t="s">
        <v>27</v>
      </c>
      <c r="N138" s="25" t="s">
        <v>37</v>
      </c>
      <c r="O138" s="14" t="s">
        <v>179</v>
      </c>
      <c r="P138" s="14"/>
      <c r="Q138" s="14"/>
      <c r="R138" s="17">
        <v>43633</v>
      </c>
      <c r="S138" s="12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s="18" customFormat="1" ht="15" customHeight="1">
      <c r="A139" s="12">
        <v>860</v>
      </c>
      <c r="B139" s="13" t="s">
        <v>251</v>
      </c>
      <c r="C139" s="14"/>
      <c r="D139" s="14" t="s">
        <v>250</v>
      </c>
      <c r="E139" s="14" t="s">
        <v>215</v>
      </c>
      <c r="F139" s="15" t="s">
        <v>22</v>
      </c>
      <c r="G139" s="21"/>
      <c r="H139" s="58">
        <v>2</v>
      </c>
      <c r="I139" s="14"/>
      <c r="J139" s="14" t="s">
        <v>23</v>
      </c>
      <c r="K139" s="14"/>
      <c r="L139" s="14"/>
      <c r="M139" s="14" t="s">
        <v>29</v>
      </c>
      <c r="N139" s="25" t="s">
        <v>37</v>
      </c>
      <c r="O139" s="14" t="s">
        <v>252</v>
      </c>
      <c r="P139" s="14"/>
      <c r="Q139" s="14"/>
      <c r="R139" s="14" t="s">
        <v>158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s="18" customFormat="1" ht="15" customHeight="1">
      <c r="A140" s="12">
        <v>1649</v>
      </c>
      <c r="B140" s="13" t="s">
        <v>253</v>
      </c>
      <c r="C140" s="14"/>
      <c r="D140" s="14" t="s">
        <v>250</v>
      </c>
      <c r="E140" s="14" t="s">
        <v>215</v>
      </c>
      <c r="F140" s="15" t="s">
        <v>22</v>
      </c>
      <c r="G140" s="14"/>
      <c r="H140" s="58">
        <v>3</v>
      </c>
      <c r="I140" s="14"/>
      <c r="J140" s="14" t="s">
        <v>23</v>
      </c>
      <c r="K140" s="14"/>
      <c r="L140" s="14"/>
      <c r="M140" s="14" t="s">
        <v>32</v>
      </c>
      <c r="N140" s="25" t="s">
        <v>37</v>
      </c>
      <c r="O140" s="14" t="s">
        <v>254</v>
      </c>
      <c r="P140" s="14"/>
      <c r="Q140" s="14"/>
      <c r="R140" s="14" t="s">
        <v>33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s="18" customFormat="1" ht="15" customHeight="1">
      <c r="A141" s="12">
        <v>22</v>
      </c>
      <c r="B141" s="13" t="s">
        <v>255</v>
      </c>
      <c r="C141" s="14"/>
      <c r="D141" s="14" t="s">
        <v>256</v>
      </c>
      <c r="E141" s="14" t="s">
        <v>36</v>
      </c>
      <c r="F141" s="15" t="s">
        <v>22</v>
      </c>
      <c r="G141" s="14"/>
      <c r="H141" s="58"/>
      <c r="I141" s="14"/>
      <c r="J141" s="14" t="s">
        <v>23</v>
      </c>
      <c r="K141" s="15"/>
      <c r="L141" s="15"/>
      <c r="M141" s="14" t="s">
        <v>24</v>
      </c>
      <c r="N141" s="14" t="s">
        <v>25</v>
      </c>
      <c r="O141" s="14"/>
      <c r="P141" s="14"/>
      <c r="Q141" s="14"/>
      <c r="R141" s="17">
        <v>43599</v>
      </c>
      <c r="S141" s="12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s="18" customFormat="1" ht="15" customHeight="1">
      <c r="A142" s="12">
        <v>84</v>
      </c>
      <c r="B142" s="13" t="s">
        <v>257</v>
      </c>
      <c r="C142" s="14"/>
      <c r="D142" s="14" t="s">
        <v>256</v>
      </c>
      <c r="E142" s="14" t="s">
        <v>36</v>
      </c>
      <c r="F142" s="15" t="s">
        <v>22</v>
      </c>
      <c r="G142" s="14"/>
      <c r="H142" s="58"/>
      <c r="I142" s="19"/>
      <c r="J142" s="14" t="s">
        <v>23</v>
      </c>
      <c r="K142" s="15"/>
      <c r="L142" s="15"/>
      <c r="M142" s="14" t="s">
        <v>27</v>
      </c>
      <c r="N142" s="25" t="s">
        <v>37</v>
      </c>
      <c r="O142" s="14" t="s">
        <v>162</v>
      </c>
      <c r="P142" s="14"/>
      <c r="Q142" s="14"/>
      <c r="R142" s="17">
        <v>43633</v>
      </c>
      <c r="S142" s="12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s="18" customFormat="1" ht="15" customHeight="1">
      <c r="A143" s="12">
        <v>861</v>
      </c>
      <c r="B143" s="13" t="s">
        <v>258</v>
      </c>
      <c r="C143" s="14"/>
      <c r="D143" s="14" t="s">
        <v>256</v>
      </c>
      <c r="E143" s="14" t="s">
        <v>36</v>
      </c>
      <c r="F143" s="15" t="s">
        <v>22</v>
      </c>
      <c r="G143" s="21"/>
      <c r="H143" s="58">
        <v>2</v>
      </c>
      <c r="I143" s="14"/>
      <c r="J143" s="14" t="s">
        <v>23</v>
      </c>
      <c r="K143" s="14"/>
      <c r="L143" s="14"/>
      <c r="M143" s="14" t="s">
        <v>29</v>
      </c>
      <c r="N143" s="25" t="s">
        <v>37</v>
      </c>
      <c r="O143" s="14" t="s">
        <v>259</v>
      </c>
      <c r="P143" s="14"/>
      <c r="Q143" s="14"/>
      <c r="R143" s="14" t="s">
        <v>158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s="18" customFormat="1" ht="15" customHeight="1">
      <c r="A144" s="12">
        <v>1650</v>
      </c>
      <c r="B144" s="13" t="s">
        <v>260</v>
      </c>
      <c r="C144" s="14"/>
      <c r="D144" s="14" t="s">
        <v>256</v>
      </c>
      <c r="E144" s="14" t="s">
        <v>36</v>
      </c>
      <c r="F144" s="15" t="s">
        <v>22</v>
      </c>
      <c r="G144" s="14"/>
      <c r="H144" s="58">
        <v>3</v>
      </c>
      <c r="I144" s="14"/>
      <c r="J144" s="14" t="s">
        <v>23</v>
      </c>
      <c r="K144" s="14"/>
      <c r="L144" s="14"/>
      <c r="M144" s="14" t="s">
        <v>32</v>
      </c>
      <c r="N144" s="25" t="s">
        <v>37</v>
      </c>
      <c r="O144" s="14" t="s">
        <v>261</v>
      </c>
      <c r="P144" s="14"/>
      <c r="Q144" s="14"/>
      <c r="R144" s="14" t="s">
        <v>33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1027" s="18" customFormat="1" ht="15" customHeight="1">
      <c r="A145" s="12">
        <v>85</v>
      </c>
      <c r="B145" s="13" t="s">
        <v>262</v>
      </c>
      <c r="C145" s="14"/>
      <c r="D145" s="14" t="s">
        <v>263</v>
      </c>
      <c r="E145" s="14" t="s">
        <v>44</v>
      </c>
      <c r="F145" s="15" t="s">
        <v>22</v>
      </c>
      <c r="G145" s="14"/>
      <c r="H145" s="58"/>
      <c r="I145" s="19"/>
      <c r="J145" s="14" t="s">
        <v>23</v>
      </c>
      <c r="K145" s="15"/>
      <c r="L145" s="15"/>
      <c r="M145" s="14" t="s">
        <v>27</v>
      </c>
      <c r="N145" s="25" t="s">
        <v>194</v>
      </c>
      <c r="O145" s="14" t="s">
        <v>138</v>
      </c>
      <c r="P145" s="14"/>
      <c r="Q145" s="14"/>
      <c r="R145" s="17">
        <v>43633</v>
      </c>
      <c r="S145" s="12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1027" s="18" customFormat="1" ht="15" customHeight="1">
      <c r="A146" s="12">
        <v>862</v>
      </c>
      <c r="B146" s="13" t="s">
        <v>264</v>
      </c>
      <c r="C146" s="14"/>
      <c r="D146" s="14" t="s">
        <v>263</v>
      </c>
      <c r="E146" s="14" t="s">
        <v>44</v>
      </c>
      <c r="F146" s="15" t="s">
        <v>22</v>
      </c>
      <c r="G146" s="21"/>
      <c r="H146" s="58">
        <v>1</v>
      </c>
      <c r="I146" s="14"/>
      <c r="J146" s="14" t="s">
        <v>23</v>
      </c>
      <c r="K146" s="14"/>
      <c r="L146" s="14"/>
      <c r="M146" s="14" t="s">
        <v>29</v>
      </c>
      <c r="N146" s="25" t="s">
        <v>37</v>
      </c>
      <c r="O146" s="14" t="s">
        <v>265</v>
      </c>
      <c r="P146" s="14"/>
      <c r="Q146" s="14"/>
      <c r="R146" s="14" t="s">
        <v>158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1027" s="18" customFormat="1" ht="15" customHeight="1">
      <c r="A147" s="12">
        <v>1651</v>
      </c>
      <c r="B147" s="13" t="s">
        <v>266</v>
      </c>
      <c r="C147" s="14"/>
      <c r="D147" s="14" t="s">
        <v>263</v>
      </c>
      <c r="E147" s="14" t="s">
        <v>44</v>
      </c>
      <c r="F147" s="15" t="s">
        <v>22</v>
      </c>
      <c r="G147" s="14"/>
      <c r="H147" s="58">
        <v>1</v>
      </c>
      <c r="I147" s="14"/>
      <c r="J147" s="14" t="s">
        <v>23</v>
      </c>
      <c r="K147" s="14"/>
      <c r="L147" s="14"/>
      <c r="M147" s="14" t="s">
        <v>32</v>
      </c>
      <c r="N147" s="25" t="s">
        <v>37</v>
      </c>
      <c r="O147" s="14" t="s">
        <v>267</v>
      </c>
      <c r="P147" s="14"/>
      <c r="Q147" s="14"/>
      <c r="R147" s="14" t="s">
        <v>33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1027" s="18" customFormat="1" ht="15" customHeight="1">
      <c r="A148" s="12">
        <v>86</v>
      </c>
      <c r="B148" s="13" t="s">
        <v>268</v>
      </c>
      <c r="C148" s="14"/>
      <c r="D148" s="14" t="s">
        <v>269</v>
      </c>
      <c r="E148" s="14" t="s">
        <v>36</v>
      </c>
      <c r="F148" s="15" t="s">
        <v>22</v>
      </c>
      <c r="G148" s="14"/>
      <c r="H148" s="58"/>
      <c r="I148" s="19"/>
      <c r="J148" s="14" t="s">
        <v>23</v>
      </c>
      <c r="K148" s="15"/>
      <c r="L148" s="15"/>
      <c r="M148" s="14" t="s">
        <v>27</v>
      </c>
      <c r="N148" s="14" t="s">
        <v>25</v>
      </c>
      <c r="O148" s="14"/>
      <c r="P148" s="14"/>
      <c r="Q148" s="14"/>
      <c r="R148" s="17">
        <v>43633</v>
      </c>
      <c r="S148" s="12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1027" s="18" customFormat="1" ht="15" customHeight="1">
      <c r="A149" s="12">
        <v>863</v>
      </c>
      <c r="B149" s="13" t="s">
        <v>270</v>
      </c>
      <c r="C149" s="14"/>
      <c r="D149" s="14" t="s">
        <v>269</v>
      </c>
      <c r="E149" s="14" t="s">
        <v>36</v>
      </c>
      <c r="F149" s="15" t="s">
        <v>22</v>
      </c>
      <c r="G149" s="21"/>
      <c r="H149" s="58"/>
      <c r="I149" s="14"/>
      <c r="J149" s="14" t="s">
        <v>23</v>
      </c>
      <c r="K149" s="14"/>
      <c r="L149" s="14"/>
      <c r="M149" s="14" t="s">
        <v>29</v>
      </c>
      <c r="N149" s="25" t="s">
        <v>37</v>
      </c>
      <c r="O149" s="14" t="s">
        <v>271</v>
      </c>
      <c r="P149" s="14"/>
      <c r="Q149" s="14"/>
      <c r="R149" s="14" t="s">
        <v>158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1027" s="18" customFormat="1" ht="15" customHeight="1">
      <c r="A150" s="12">
        <v>1652</v>
      </c>
      <c r="B150" s="13" t="s">
        <v>272</v>
      </c>
      <c r="C150" s="14"/>
      <c r="D150" s="14" t="s">
        <v>269</v>
      </c>
      <c r="E150" s="14" t="s">
        <v>36</v>
      </c>
      <c r="F150" s="15" t="s">
        <v>22</v>
      </c>
      <c r="G150" s="14"/>
      <c r="H150" s="58">
        <v>3</v>
      </c>
      <c r="I150" s="14"/>
      <c r="J150" s="14" t="s">
        <v>23</v>
      </c>
      <c r="K150" s="14"/>
      <c r="L150" s="14"/>
      <c r="M150" s="14" t="s">
        <v>32</v>
      </c>
      <c r="N150" s="25" t="s">
        <v>37</v>
      </c>
      <c r="O150" s="14" t="s">
        <v>273</v>
      </c>
      <c r="P150" s="14"/>
      <c r="Q150" s="14"/>
      <c r="R150" s="14" t="s">
        <v>33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1027" s="18" customFormat="1" ht="15" customHeight="1">
      <c r="A151" s="12">
        <v>87</v>
      </c>
      <c r="B151" s="13" t="s">
        <v>274</v>
      </c>
      <c r="C151" s="14"/>
      <c r="D151" s="14" t="s">
        <v>275</v>
      </c>
      <c r="E151" s="14" t="s">
        <v>36</v>
      </c>
      <c r="F151" s="15" t="s">
        <v>22</v>
      </c>
      <c r="G151" s="14"/>
      <c r="H151" s="58"/>
      <c r="I151" s="19"/>
      <c r="J151" s="14" t="s">
        <v>23</v>
      </c>
      <c r="K151" s="15"/>
      <c r="L151" s="15"/>
      <c r="M151" s="14" t="s">
        <v>27</v>
      </c>
      <c r="N151" s="14" t="s">
        <v>25</v>
      </c>
      <c r="O151" s="14"/>
      <c r="P151" s="14"/>
      <c r="Q151" s="14"/>
      <c r="R151" s="17">
        <v>43633</v>
      </c>
      <c r="S151" s="12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1027" s="18" customFormat="1" ht="15" customHeight="1">
      <c r="A152" s="12">
        <v>864</v>
      </c>
      <c r="B152" s="13" t="s">
        <v>276</v>
      </c>
      <c r="C152" s="14"/>
      <c r="D152" s="14" t="s">
        <v>275</v>
      </c>
      <c r="E152" s="14" t="s">
        <v>36</v>
      </c>
      <c r="F152" s="15" t="s">
        <v>22</v>
      </c>
      <c r="G152" s="21"/>
      <c r="H152" s="58"/>
      <c r="I152" s="14"/>
      <c r="J152" s="14" t="s">
        <v>23</v>
      </c>
      <c r="K152" s="14"/>
      <c r="L152" s="14"/>
      <c r="M152" s="14" t="s">
        <v>29</v>
      </c>
      <c r="N152" s="25" t="s">
        <v>37</v>
      </c>
      <c r="O152" s="14" t="s">
        <v>277</v>
      </c>
      <c r="P152" s="14"/>
      <c r="Q152" s="14"/>
      <c r="R152" s="14" t="s">
        <v>158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1027" s="18" customFormat="1" ht="15" customHeight="1">
      <c r="A153" s="12">
        <v>1653</v>
      </c>
      <c r="B153" s="13" t="s">
        <v>278</v>
      </c>
      <c r="C153" s="14"/>
      <c r="D153" s="14" t="s">
        <v>275</v>
      </c>
      <c r="E153" s="14" t="s">
        <v>36</v>
      </c>
      <c r="F153" s="15" t="s">
        <v>22</v>
      </c>
      <c r="G153" s="14"/>
      <c r="H153" s="58">
        <v>2</v>
      </c>
      <c r="I153" s="14"/>
      <c r="J153" s="14" t="s">
        <v>23</v>
      </c>
      <c r="K153" s="14"/>
      <c r="L153" s="14"/>
      <c r="M153" s="14" t="s">
        <v>32</v>
      </c>
      <c r="N153" s="25" t="s">
        <v>37</v>
      </c>
      <c r="O153" s="14" t="s">
        <v>279</v>
      </c>
      <c r="P153" s="14"/>
      <c r="Q153" s="14"/>
      <c r="R153" s="14" t="s">
        <v>33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1027" s="18" customFormat="1" ht="15" customHeight="1">
      <c r="A154" s="12">
        <v>88</v>
      </c>
      <c r="B154" s="13" t="s">
        <v>280</v>
      </c>
      <c r="C154" s="14"/>
      <c r="D154" s="14" t="s">
        <v>281</v>
      </c>
      <c r="E154" s="14" t="s">
        <v>137</v>
      </c>
      <c r="F154" s="15" t="s">
        <v>22</v>
      </c>
      <c r="G154" s="14"/>
      <c r="H154" s="58"/>
      <c r="I154" s="19"/>
      <c r="J154" s="14" t="s">
        <v>23</v>
      </c>
      <c r="K154" s="15"/>
      <c r="L154" s="15"/>
      <c r="M154" s="14" t="s">
        <v>27</v>
      </c>
      <c r="N154" s="25" t="s">
        <v>37</v>
      </c>
      <c r="O154" s="14" t="s">
        <v>52</v>
      </c>
      <c r="P154" s="14"/>
      <c r="Q154" s="14"/>
      <c r="R154" s="17">
        <v>43633</v>
      </c>
      <c r="S154" s="12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1027" s="18" customFormat="1" ht="15" customHeight="1">
      <c r="A155" s="12">
        <v>865</v>
      </c>
      <c r="B155" s="13" t="s">
        <v>282</v>
      </c>
      <c r="C155" s="14"/>
      <c r="D155" s="14" t="s">
        <v>281</v>
      </c>
      <c r="E155" s="14" t="s">
        <v>137</v>
      </c>
      <c r="F155" s="15" t="s">
        <v>22</v>
      </c>
      <c r="G155" s="21"/>
      <c r="H155" s="58">
        <v>3</v>
      </c>
      <c r="I155" s="14"/>
      <c r="J155" s="14" t="s">
        <v>23</v>
      </c>
      <c r="K155" s="14"/>
      <c r="L155" s="14"/>
      <c r="M155" s="14" t="s">
        <v>29</v>
      </c>
      <c r="N155" s="25" t="s">
        <v>37</v>
      </c>
      <c r="O155" s="14" t="s">
        <v>283</v>
      </c>
      <c r="P155" s="14"/>
      <c r="Q155" s="14"/>
      <c r="R155" s="14" t="s">
        <v>158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1027" ht="15" customHeight="1">
      <c r="A156" s="12">
        <v>1654</v>
      </c>
      <c r="B156" s="13" t="s">
        <v>284</v>
      </c>
      <c r="C156" s="14"/>
      <c r="D156" s="14" t="s">
        <v>281</v>
      </c>
      <c r="E156" s="14" t="s">
        <v>137</v>
      </c>
      <c r="F156" s="15" t="s">
        <v>22</v>
      </c>
      <c r="G156" s="14"/>
      <c r="H156" s="58">
        <v>4</v>
      </c>
      <c r="I156" s="14"/>
      <c r="J156" s="14" t="s">
        <v>23</v>
      </c>
      <c r="K156" s="14"/>
      <c r="L156" s="14"/>
      <c r="M156" s="14" t="s">
        <v>32</v>
      </c>
      <c r="N156" s="25" t="s">
        <v>37</v>
      </c>
      <c r="O156" s="14" t="s">
        <v>285</v>
      </c>
      <c r="P156" s="14"/>
      <c r="Q156" s="14"/>
      <c r="R156" s="14" t="s">
        <v>33</v>
      </c>
    </row>
    <row r="157" spans="1:1027" ht="15" customHeight="1">
      <c r="A157" s="12">
        <v>89</v>
      </c>
      <c r="B157" s="13" t="s">
        <v>286</v>
      </c>
      <c r="C157" s="14"/>
      <c r="D157" s="14" t="s">
        <v>287</v>
      </c>
      <c r="E157" s="14" t="s">
        <v>21</v>
      </c>
      <c r="F157" s="15" t="s">
        <v>22</v>
      </c>
      <c r="G157" s="14"/>
      <c r="H157" s="58"/>
      <c r="I157" s="19"/>
      <c r="J157" s="14" t="s">
        <v>23</v>
      </c>
      <c r="K157" s="15"/>
      <c r="L157" s="15"/>
      <c r="M157" s="14" t="s">
        <v>27</v>
      </c>
      <c r="N157" s="14" t="s">
        <v>25</v>
      </c>
      <c r="O157" s="14"/>
      <c r="P157" s="14"/>
      <c r="Q157" s="14"/>
      <c r="R157" s="17">
        <v>43633</v>
      </c>
      <c r="S157" s="12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  <c r="AAA157" s="3"/>
      <c r="AAB157" s="3"/>
      <c r="AAC157" s="3"/>
      <c r="AAD157" s="3"/>
      <c r="AAE157" s="3"/>
      <c r="AAF157" s="3"/>
      <c r="AAG157" s="3"/>
      <c r="AAH157" s="3"/>
      <c r="AAI157" s="3"/>
      <c r="AAJ157" s="3"/>
      <c r="AAK157" s="3"/>
      <c r="AAL157" s="3"/>
      <c r="AAM157" s="3"/>
      <c r="AAN157" s="3"/>
      <c r="AAO157" s="3"/>
      <c r="AAP157" s="3"/>
      <c r="AAQ157" s="3"/>
      <c r="AAR157" s="3"/>
      <c r="AAS157" s="3"/>
      <c r="AAT157" s="3"/>
      <c r="AAU157" s="3"/>
      <c r="AAV157" s="3"/>
      <c r="AAW157" s="3"/>
      <c r="AAX157" s="3"/>
      <c r="AAY157" s="3"/>
      <c r="AAZ157" s="3"/>
      <c r="ABA157" s="3"/>
      <c r="ABB157" s="3"/>
      <c r="ABC157" s="3"/>
      <c r="ABD157" s="3"/>
      <c r="ABE157" s="3"/>
      <c r="ABF157" s="3"/>
      <c r="ABG157" s="3"/>
      <c r="ABH157" s="3"/>
      <c r="ABI157" s="3"/>
      <c r="ABJ157" s="3"/>
      <c r="ABK157" s="3"/>
      <c r="ABL157" s="3"/>
      <c r="ABM157" s="3"/>
      <c r="ABN157" s="3"/>
      <c r="ABO157" s="3"/>
      <c r="ABP157" s="3"/>
      <c r="ABQ157" s="3"/>
      <c r="ABR157" s="3"/>
      <c r="ABS157" s="3"/>
      <c r="ABT157" s="3"/>
      <c r="ABU157" s="3"/>
      <c r="ABV157" s="3"/>
      <c r="ABW157" s="3"/>
      <c r="ABX157" s="3"/>
      <c r="ABY157" s="3"/>
      <c r="ABZ157" s="3"/>
      <c r="ACA157" s="3"/>
      <c r="ACB157" s="3"/>
      <c r="ACC157" s="3"/>
      <c r="ACD157" s="3"/>
      <c r="ACE157" s="3"/>
      <c r="ACF157" s="3"/>
      <c r="ACG157" s="3"/>
      <c r="ACH157" s="3"/>
      <c r="ACI157" s="3"/>
      <c r="ACJ157" s="3"/>
      <c r="ACK157" s="3"/>
      <c r="ACL157" s="3"/>
      <c r="ACM157" s="3"/>
      <c r="ACN157" s="3"/>
      <c r="ACO157" s="3"/>
      <c r="ACP157" s="3"/>
      <c r="ACQ157" s="3"/>
      <c r="ACR157" s="3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3"/>
      <c r="ADF157" s="3"/>
      <c r="ADG157" s="3"/>
      <c r="ADH157" s="3"/>
      <c r="ADI157" s="3"/>
      <c r="ADJ157" s="3"/>
      <c r="ADK157" s="3"/>
      <c r="ADL157" s="3"/>
      <c r="ADM157" s="3"/>
      <c r="ADN157" s="3"/>
      <c r="ADO157" s="3"/>
      <c r="ADP157" s="3"/>
      <c r="ADQ157" s="3"/>
      <c r="ADR157" s="3"/>
      <c r="ADS157" s="3"/>
      <c r="ADT157" s="3"/>
      <c r="ADU157" s="3"/>
      <c r="ADV157" s="3"/>
      <c r="ADW157" s="3"/>
      <c r="ADX157" s="3"/>
      <c r="ADY157" s="3"/>
      <c r="ADZ157" s="3"/>
      <c r="AEA157" s="3"/>
      <c r="AEB157" s="3"/>
      <c r="AEC157" s="3"/>
      <c r="AED157" s="3"/>
      <c r="AEE157" s="3"/>
      <c r="AEF157" s="3"/>
      <c r="AEG157" s="3"/>
      <c r="AEH157" s="3"/>
      <c r="AEI157" s="3"/>
      <c r="AEJ157" s="3"/>
      <c r="AEK157" s="3"/>
      <c r="AEL157" s="3"/>
      <c r="AEM157" s="3"/>
      <c r="AEN157" s="3"/>
      <c r="AEO157" s="3"/>
      <c r="AEP157" s="3"/>
      <c r="AEQ157" s="3"/>
      <c r="AER157" s="3"/>
      <c r="AES157" s="3"/>
      <c r="AET157" s="3"/>
      <c r="AEU157" s="3"/>
      <c r="AEV157" s="3"/>
      <c r="AEW157" s="3"/>
      <c r="AEX157" s="3"/>
      <c r="AEY157" s="3"/>
      <c r="AEZ157" s="3"/>
      <c r="AFA157" s="3"/>
      <c r="AFB157" s="3"/>
      <c r="AFC157" s="3"/>
      <c r="AFD157" s="3"/>
      <c r="AFE157" s="3"/>
      <c r="AFF157" s="3"/>
      <c r="AFG157" s="3"/>
      <c r="AFH157" s="3"/>
      <c r="AFI157" s="3"/>
      <c r="AFJ157" s="3"/>
      <c r="AFK157" s="3"/>
      <c r="AFL157" s="3"/>
      <c r="AFM157" s="3"/>
      <c r="AFN157" s="3"/>
      <c r="AFO157" s="3"/>
      <c r="AFP157" s="3"/>
      <c r="AFQ157" s="3"/>
      <c r="AFR157" s="3"/>
      <c r="AFS157" s="3"/>
      <c r="AFT157" s="3"/>
      <c r="AFU157" s="3"/>
      <c r="AFV157" s="3"/>
      <c r="AFW157" s="3"/>
      <c r="AFX157" s="3"/>
      <c r="AFY157" s="3"/>
      <c r="AFZ157" s="3"/>
      <c r="AGA157" s="3"/>
      <c r="AGB157" s="3"/>
      <c r="AGC157" s="3"/>
      <c r="AGD157" s="3"/>
      <c r="AGE157" s="3"/>
      <c r="AGF157" s="3"/>
      <c r="AGG157" s="3"/>
      <c r="AGH157" s="3"/>
      <c r="AGI157" s="3"/>
      <c r="AGJ157" s="3"/>
      <c r="AGK157" s="3"/>
      <c r="AGL157" s="3"/>
      <c r="AGM157" s="3"/>
      <c r="AGN157" s="3"/>
      <c r="AGO157" s="3"/>
      <c r="AGP157" s="3"/>
      <c r="AGQ157" s="3"/>
      <c r="AGR157" s="3"/>
      <c r="AGS157" s="3"/>
      <c r="AGT157" s="3"/>
      <c r="AGU157" s="3"/>
      <c r="AGV157" s="3"/>
      <c r="AGW157" s="3"/>
      <c r="AGX157" s="3"/>
      <c r="AGY157" s="3"/>
      <c r="AGZ157" s="3"/>
      <c r="AHA157" s="3"/>
      <c r="AHB157" s="3"/>
      <c r="AHC157" s="3"/>
      <c r="AHD157" s="3"/>
      <c r="AHE157" s="3"/>
      <c r="AHF157" s="3"/>
      <c r="AHG157" s="3"/>
      <c r="AHH157" s="3"/>
      <c r="AHI157" s="3"/>
      <c r="AHJ157" s="3"/>
      <c r="AHK157" s="3"/>
      <c r="AHL157" s="3"/>
      <c r="AHM157" s="3"/>
      <c r="AHN157" s="3"/>
      <c r="AHO157" s="3"/>
      <c r="AHP157" s="3"/>
      <c r="AHQ157" s="3"/>
      <c r="AHR157" s="3"/>
      <c r="AHS157" s="3"/>
      <c r="AHT157" s="3"/>
      <c r="AHU157" s="3"/>
      <c r="AHV157" s="3"/>
      <c r="AHW157" s="3"/>
      <c r="AHX157" s="3"/>
      <c r="AHY157" s="3"/>
      <c r="AHZ157" s="3"/>
      <c r="AIA157" s="3"/>
      <c r="AIB157" s="3"/>
      <c r="AIC157" s="3"/>
      <c r="AID157" s="3"/>
      <c r="AIE157" s="3"/>
      <c r="AIF157" s="3"/>
      <c r="AIG157" s="3"/>
      <c r="AIH157" s="3"/>
      <c r="AII157" s="3"/>
      <c r="AIJ157" s="3"/>
      <c r="AIK157" s="3"/>
      <c r="AIL157" s="3"/>
      <c r="AIM157" s="3"/>
      <c r="AIN157" s="3"/>
      <c r="AIO157" s="3"/>
      <c r="AIP157" s="3"/>
      <c r="AIQ157" s="3"/>
      <c r="AIR157" s="3"/>
      <c r="AIS157" s="3"/>
      <c r="AIT157" s="3"/>
      <c r="AIU157" s="3"/>
      <c r="AIV157" s="3"/>
      <c r="AIW157" s="3"/>
      <c r="AIX157" s="3"/>
      <c r="AIY157" s="3"/>
      <c r="AIZ157" s="3"/>
      <c r="AJA157" s="3"/>
      <c r="AJB157" s="3"/>
      <c r="AJC157" s="3"/>
      <c r="AJD157" s="3"/>
      <c r="AJE157" s="3"/>
      <c r="AJF157" s="3"/>
      <c r="AJG157" s="3"/>
      <c r="AJH157" s="3"/>
      <c r="AJI157" s="3"/>
      <c r="AJJ157" s="3"/>
      <c r="AJK157" s="3"/>
      <c r="AJL157" s="3"/>
      <c r="AJM157" s="3"/>
      <c r="AJN157" s="3"/>
      <c r="AJO157" s="3"/>
      <c r="AJP157" s="3"/>
      <c r="AJQ157" s="3"/>
      <c r="AJR157" s="3"/>
      <c r="AJS157" s="3"/>
      <c r="AJT157" s="3"/>
      <c r="AJU157" s="3"/>
      <c r="AJV157" s="3"/>
      <c r="AJW157" s="3"/>
      <c r="AJX157" s="3"/>
      <c r="AJY157" s="3"/>
      <c r="AJZ157" s="3"/>
      <c r="AKA157" s="3"/>
      <c r="AKB157" s="3"/>
      <c r="AKC157" s="3"/>
      <c r="AKD157" s="3"/>
      <c r="AKE157" s="3"/>
      <c r="AKF157" s="3"/>
      <c r="AKG157" s="3"/>
      <c r="AKH157" s="3"/>
      <c r="AKI157" s="3"/>
      <c r="AKJ157" s="3"/>
      <c r="AKK157" s="3"/>
      <c r="AKL157" s="3"/>
      <c r="AKM157" s="3"/>
      <c r="AKN157" s="3"/>
      <c r="AKO157" s="3"/>
      <c r="AKP157" s="3"/>
      <c r="AKQ157" s="3"/>
      <c r="AKR157" s="3"/>
      <c r="AKS157" s="3"/>
      <c r="AKT157" s="3"/>
      <c r="AKU157" s="3"/>
      <c r="AKV157" s="3"/>
      <c r="AKW157" s="3"/>
      <c r="AKX157" s="3"/>
      <c r="AKY157" s="3"/>
      <c r="AKZ157" s="3"/>
      <c r="ALA157" s="3"/>
      <c r="ALB157" s="3"/>
      <c r="ALC157" s="3"/>
      <c r="ALD157" s="3"/>
      <c r="ALE157" s="3"/>
      <c r="ALF157" s="3"/>
      <c r="ALG157" s="3"/>
      <c r="ALH157" s="3"/>
      <c r="ALI157" s="3"/>
      <c r="ALJ157" s="3"/>
      <c r="ALK157" s="3"/>
      <c r="ALL157" s="3"/>
      <c r="ALM157" s="3"/>
      <c r="ALN157" s="3"/>
      <c r="ALO157" s="3"/>
      <c r="ALP157" s="3"/>
      <c r="ALQ157" s="3"/>
      <c r="ALR157" s="3"/>
      <c r="ALS157" s="3"/>
      <c r="ALT157" s="3"/>
      <c r="ALU157" s="3"/>
      <c r="ALV157" s="3"/>
      <c r="ALW157" s="3"/>
      <c r="ALX157" s="3"/>
      <c r="ALY157" s="3"/>
      <c r="ALZ157" s="3"/>
      <c r="AMA157" s="3"/>
      <c r="AMB157" s="3"/>
      <c r="AMC157" s="3"/>
      <c r="AMD157" s="3"/>
      <c r="AME157" s="3"/>
      <c r="AMF157" s="3"/>
      <c r="AMG157" s="3"/>
      <c r="AMH157" s="3"/>
      <c r="AMI157" s="3"/>
      <c r="AMJ157" s="3"/>
      <c r="AMK157" s="3"/>
      <c r="AML157" s="3"/>
      <c r="AMM157" s="3"/>
    </row>
    <row r="158" spans="1:1027" ht="15" customHeight="1">
      <c r="A158" s="12">
        <v>866</v>
      </c>
      <c r="B158" s="13" t="s">
        <v>288</v>
      </c>
      <c r="C158" s="14"/>
      <c r="D158" s="14" t="s">
        <v>287</v>
      </c>
      <c r="E158" s="14" t="s">
        <v>21</v>
      </c>
      <c r="F158" s="15" t="s">
        <v>22</v>
      </c>
      <c r="G158" s="21"/>
      <c r="H158" s="58"/>
      <c r="I158" s="14"/>
      <c r="J158" s="14" t="s">
        <v>23</v>
      </c>
      <c r="K158" s="14"/>
      <c r="L158" s="14"/>
      <c r="M158" s="14" t="s">
        <v>29</v>
      </c>
      <c r="N158" s="25" t="s">
        <v>289</v>
      </c>
      <c r="O158" s="14" t="s">
        <v>290</v>
      </c>
      <c r="P158" s="14"/>
      <c r="Q158" s="14"/>
      <c r="R158" s="14" t="s">
        <v>158</v>
      </c>
    </row>
    <row r="159" spans="1:1027" ht="15" customHeight="1">
      <c r="A159" s="12">
        <v>1655</v>
      </c>
      <c r="B159" s="13" t="s">
        <v>291</v>
      </c>
      <c r="C159" s="14"/>
      <c r="D159" s="14" t="s">
        <v>287</v>
      </c>
      <c r="E159" s="14" t="s">
        <v>21</v>
      </c>
      <c r="F159" s="15" t="s">
        <v>22</v>
      </c>
      <c r="G159" s="14"/>
      <c r="H159" s="58">
        <v>0</v>
      </c>
      <c r="I159" s="14"/>
      <c r="J159" s="14" t="s">
        <v>23</v>
      </c>
      <c r="K159" s="14"/>
      <c r="L159" s="14"/>
      <c r="M159" s="14" t="s">
        <v>32</v>
      </c>
      <c r="N159" s="14" t="s">
        <v>25</v>
      </c>
      <c r="O159" s="14"/>
      <c r="P159" s="14"/>
      <c r="Q159" s="14"/>
      <c r="R159" s="14" t="s">
        <v>33</v>
      </c>
    </row>
    <row r="160" spans="1:1027" ht="15" customHeight="1">
      <c r="A160" s="12">
        <v>90</v>
      </c>
      <c r="B160" s="13" t="s">
        <v>292</v>
      </c>
      <c r="C160" s="14"/>
      <c r="D160" s="14" t="s">
        <v>293</v>
      </c>
      <c r="E160" s="14" t="s">
        <v>172</v>
      </c>
      <c r="F160" s="15" t="s">
        <v>22</v>
      </c>
      <c r="G160" s="14"/>
      <c r="H160" s="58"/>
      <c r="I160" s="19"/>
      <c r="J160" s="14" t="s">
        <v>23</v>
      </c>
      <c r="K160" s="15"/>
      <c r="L160" s="15"/>
      <c r="M160" s="14" t="s">
        <v>27</v>
      </c>
      <c r="N160" s="14" t="s">
        <v>25</v>
      </c>
      <c r="O160" s="14"/>
      <c r="P160" s="14"/>
      <c r="Q160" s="14"/>
      <c r="R160" s="17">
        <v>43633</v>
      </c>
      <c r="S160" s="12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  <c r="AAA160" s="3"/>
      <c r="AAB160" s="3"/>
      <c r="AAC160" s="3"/>
      <c r="AAD160" s="3"/>
      <c r="AAE160" s="3"/>
      <c r="AAF160" s="3"/>
      <c r="AAG160" s="3"/>
      <c r="AAH160" s="3"/>
      <c r="AAI160" s="3"/>
      <c r="AAJ160" s="3"/>
      <c r="AAK160" s="3"/>
      <c r="AAL160" s="3"/>
      <c r="AAM160" s="3"/>
      <c r="AAN160" s="3"/>
      <c r="AAO160" s="3"/>
      <c r="AAP160" s="3"/>
      <c r="AAQ160" s="3"/>
      <c r="AAR160" s="3"/>
      <c r="AAS160" s="3"/>
      <c r="AAT160" s="3"/>
      <c r="AAU160" s="3"/>
      <c r="AAV160" s="3"/>
      <c r="AAW160" s="3"/>
      <c r="AAX160" s="3"/>
      <c r="AAY160" s="3"/>
      <c r="AAZ160" s="3"/>
      <c r="ABA160" s="3"/>
      <c r="ABB160" s="3"/>
      <c r="ABC160" s="3"/>
      <c r="ABD160" s="3"/>
      <c r="ABE160" s="3"/>
      <c r="ABF160" s="3"/>
      <c r="ABG160" s="3"/>
      <c r="ABH160" s="3"/>
      <c r="ABI160" s="3"/>
      <c r="ABJ160" s="3"/>
      <c r="ABK160" s="3"/>
      <c r="ABL160" s="3"/>
      <c r="ABM160" s="3"/>
      <c r="ABN160" s="3"/>
      <c r="ABO160" s="3"/>
      <c r="ABP160" s="3"/>
      <c r="ABQ160" s="3"/>
      <c r="ABR160" s="3"/>
      <c r="ABS160" s="3"/>
      <c r="ABT160" s="3"/>
      <c r="ABU160" s="3"/>
      <c r="ABV160" s="3"/>
      <c r="ABW160" s="3"/>
      <c r="ABX160" s="3"/>
      <c r="ABY160" s="3"/>
      <c r="ABZ160" s="3"/>
      <c r="ACA160" s="3"/>
      <c r="ACB160" s="3"/>
      <c r="ACC160" s="3"/>
      <c r="ACD160" s="3"/>
      <c r="ACE160" s="3"/>
      <c r="ACF160" s="3"/>
      <c r="ACG160" s="3"/>
      <c r="ACH160" s="3"/>
      <c r="ACI160" s="3"/>
      <c r="ACJ160" s="3"/>
      <c r="ACK160" s="3"/>
      <c r="ACL160" s="3"/>
      <c r="ACM160" s="3"/>
      <c r="ACN160" s="3"/>
      <c r="ACO160" s="3"/>
      <c r="ACP160" s="3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3"/>
      <c r="AEA160" s="3"/>
      <c r="AEB160" s="3"/>
      <c r="AEC160" s="3"/>
      <c r="AED160" s="3"/>
      <c r="AEE160" s="3"/>
      <c r="AEF160" s="3"/>
      <c r="AEG160" s="3"/>
      <c r="AEH160" s="3"/>
      <c r="AEI160" s="3"/>
      <c r="AEJ160" s="3"/>
      <c r="AEK160" s="3"/>
      <c r="AEL160" s="3"/>
      <c r="AEM160" s="3"/>
      <c r="AEN160" s="3"/>
      <c r="AEO160" s="3"/>
      <c r="AEP160" s="3"/>
      <c r="AEQ160" s="3"/>
      <c r="AER160" s="3"/>
      <c r="AES160" s="3"/>
      <c r="AET160" s="3"/>
      <c r="AEU160" s="3"/>
      <c r="AEV160" s="3"/>
      <c r="AEW160" s="3"/>
      <c r="AEX160" s="3"/>
      <c r="AEY160" s="3"/>
      <c r="AEZ160" s="3"/>
      <c r="AFA160" s="3"/>
      <c r="AFB160" s="3"/>
      <c r="AFC160" s="3"/>
      <c r="AFD160" s="3"/>
      <c r="AFE160" s="3"/>
      <c r="AFF160" s="3"/>
      <c r="AFG160" s="3"/>
      <c r="AFH160" s="3"/>
      <c r="AFI160" s="3"/>
      <c r="AFJ160" s="3"/>
      <c r="AFK160" s="3"/>
      <c r="AFL160" s="3"/>
      <c r="AFM160" s="3"/>
      <c r="AFN160" s="3"/>
      <c r="AFO160" s="3"/>
      <c r="AFP160" s="3"/>
      <c r="AFQ160" s="3"/>
      <c r="AFR160" s="3"/>
      <c r="AFS160" s="3"/>
      <c r="AFT160" s="3"/>
      <c r="AFU160" s="3"/>
      <c r="AFV160" s="3"/>
      <c r="AFW160" s="3"/>
      <c r="AFX160" s="3"/>
      <c r="AFY160" s="3"/>
      <c r="AFZ160" s="3"/>
      <c r="AGA160" s="3"/>
      <c r="AGB160" s="3"/>
      <c r="AGC160" s="3"/>
      <c r="AGD160" s="3"/>
      <c r="AGE160" s="3"/>
      <c r="AGF160" s="3"/>
      <c r="AGG160" s="3"/>
      <c r="AGH160" s="3"/>
      <c r="AGI160" s="3"/>
      <c r="AGJ160" s="3"/>
      <c r="AGK160" s="3"/>
      <c r="AGL160" s="3"/>
      <c r="AGM160" s="3"/>
      <c r="AGN160" s="3"/>
      <c r="AGO160" s="3"/>
      <c r="AGP160" s="3"/>
      <c r="AGQ160" s="3"/>
      <c r="AGR160" s="3"/>
      <c r="AGS160" s="3"/>
      <c r="AGT160" s="3"/>
      <c r="AGU160" s="3"/>
      <c r="AGV160" s="3"/>
      <c r="AGW160" s="3"/>
      <c r="AGX160" s="3"/>
      <c r="AGY160" s="3"/>
      <c r="AGZ160" s="3"/>
      <c r="AHA160" s="3"/>
      <c r="AHB160" s="3"/>
      <c r="AHC160" s="3"/>
      <c r="AHD160" s="3"/>
      <c r="AHE160" s="3"/>
      <c r="AHF160" s="3"/>
      <c r="AHG160" s="3"/>
      <c r="AHH160" s="3"/>
      <c r="AHI160" s="3"/>
      <c r="AHJ160" s="3"/>
      <c r="AHK160" s="3"/>
      <c r="AHL160" s="3"/>
      <c r="AHM160" s="3"/>
      <c r="AHN160" s="3"/>
      <c r="AHO160" s="3"/>
      <c r="AHP160" s="3"/>
      <c r="AHQ160" s="3"/>
      <c r="AHR160" s="3"/>
      <c r="AHS160" s="3"/>
      <c r="AHT160" s="3"/>
      <c r="AHU160" s="3"/>
      <c r="AHV160" s="3"/>
      <c r="AHW160" s="3"/>
      <c r="AHX160" s="3"/>
      <c r="AHY160" s="3"/>
      <c r="AHZ160" s="3"/>
      <c r="AIA160" s="3"/>
      <c r="AIB160" s="3"/>
      <c r="AIC160" s="3"/>
      <c r="AID160" s="3"/>
      <c r="AIE160" s="3"/>
      <c r="AIF160" s="3"/>
      <c r="AIG160" s="3"/>
      <c r="AIH160" s="3"/>
      <c r="AII160" s="3"/>
      <c r="AIJ160" s="3"/>
      <c r="AIK160" s="3"/>
      <c r="AIL160" s="3"/>
      <c r="AIM160" s="3"/>
      <c r="AIN160" s="3"/>
      <c r="AIO160" s="3"/>
      <c r="AIP160" s="3"/>
      <c r="AIQ160" s="3"/>
      <c r="AIR160" s="3"/>
      <c r="AIS160" s="3"/>
      <c r="AIT160" s="3"/>
      <c r="AIU160" s="3"/>
      <c r="AIV160" s="3"/>
      <c r="AIW160" s="3"/>
      <c r="AIX160" s="3"/>
      <c r="AIY160" s="3"/>
      <c r="AIZ160" s="3"/>
      <c r="AJA160" s="3"/>
      <c r="AJB160" s="3"/>
      <c r="AJC160" s="3"/>
      <c r="AJD160" s="3"/>
      <c r="AJE160" s="3"/>
      <c r="AJF160" s="3"/>
      <c r="AJG160" s="3"/>
      <c r="AJH160" s="3"/>
      <c r="AJI160" s="3"/>
      <c r="AJJ160" s="3"/>
      <c r="AJK160" s="3"/>
      <c r="AJL160" s="3"/>
      <c r="AJM160" s="3"/>
      <c r="AJN160" s="3"/>
      <c r="AJO160" s="3"/>
      <c r="AJP160" s="3"/>
      <c r="AJQ160" s="3"/>
      <c r="AJR160" s="3"/>
      <c r="AJS160" s="3"/>
      <c r="AJT160" s="3"/>
      <c r="AJU160" s="3"/>
      <c r="AJV160" s="3"/>
      <c r="AJW160" s="3"/>
      <c r="AJX160" s="3"/>
      <c r="AJY160" s="3"/>
      <c r="AJZ160" s="3"/>
      <c r="AKA160" s="3"/>
      <c r="AKB160" s="3"/>
      <c r="AKC160" s="3"/>
      <c r="AKD160" s="3"/>
      <c r="AKE160" s="3"/>
      <c r="AKF160" s="3"/>
      <c r="AKG160" s="3"/>
      <c r="AKH160" s="3"/>
      <c r="AKI160" s="3"/>
      <c r="AKJ160" s="3"/>
      <c r="AKK160" s="3"/>
      <c r="AKL160" s="3"/>
      <c r="AKM160" s="3"/>
      <c r="AKN160" s="3"/>
      <c r="AKO160" s="3"/>
      <c r="AKP160" s="3"/>
      <c r="AKQ160" s="3"/>
      <c r="AKR160" s="3"/>
      <c r="AKS160" s="3"/>
      <c r="AKT160" s="3"/>
      <c r="AKU160" s="3"/>
      <c r="AKV160" s="3"/>
      <c r="AKW160" s="3"/>
      <c r="AKX160" s="3"/>
      <c r="AKY160" s="3"/>
      <c r="AKZ160" s="3"/>
      <c r="ALA160" s="3"/>
      <c r="ALB160" s="3"/>
      <c r="ALC160" s="3"/>
      <c r="ALD160" s="3"/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</row>
    <row r="161" spans="1:1027" ht="15" customHeight="1">
      <c r="A161" s="12">
        <v>867</v>
      </c>
      <c r="B161" s="13" t="s">
        <v>294</v>
      </c>
      <c r="C161" s="14"/>
      <c r="D161" s="14" t="s">
        <v>293</v>
      </c>
      <c r="E161" s="14" t="s">
        <v>172</v>
      </c>
      <c r="F161" s="15" t="s">
        <v>22</v>
      </c>
      <c r="G161" s="21"/>
      <c r="H161" s="58"/>
      <c r="I161" s="14"/>
      <c r="J161" s="14" t="s">
        <v>23</v>
      </c>
      <c r="K161" s="14"/>
      <c r="L161" s="14"/>
      <c r="M161" s="14" t="s">
        <v>29</v>
      </c>
      <c r="N161" s="14" t="s">
        <v>25</v>
      </c>
      <c r="O161" s="14"/>
      <c r="P161" s="14"/>
      <c r="Q161" s="14"/>
      <c r="R161" s="14" t="s">
        <v>158</v>
      </c>
    </row>
    <row r="162" spans="1:1027" ht="15" customHeight="1">
      <c r="A162" s="12">
        <v>1656</v>
      </c>
      <c r="B162" s="13" t="s">
        <v>295</v>
      </c>
      <c r="C162" s="14"/>
      <c r="D162" s="14" t="s">
        <v>293</v>
      </c>
      <c r="E162" s="14" t="s">
        <v>172</v>
      </c>
      <c r="F162" s="15" t="s">
        <v>22</v>
      </c>
      <c r="G162" s="14"/>
      <c r="H162" s="58">
        <v>0</v>
      </c>
      <c r="I162" s="14"/>
      <c r="J162" s="14" t="s">
        <v>23</v>
      </c>
      <c r="K162" s="14"/>
      <c r="L162" s="14"/>
      <c r="M162" s="14" t="s">
        <v>32</v>
      </c>
      <c r="N162" s="14" t="s">
        <v>25</v>
      </c>
      <c r="O162" s="14"/>
      <c r="P162" s="14"/>
      <c r="Q162" s="14"/>
      <c r="R162" s="14" t="s">
        <v>33</v>
      </c>
    </row>
    <row r="163" spans="1:1027" ht="15" customHeight="1">
      <c r="A163" s="12">
        <v>91</v>
      </c>
      <c r="B163" s="13" t="s">
        <v>296</v>
      </c>
      <c r="C163" s="14"/>
      <c r="D163" s="14" t="s">
        <v>297</v>
      </c>
      <c r="E163" s="14" t="s">
        <v>36</v>
      </c>
      <c r="F163" s="15" t="s">
        <v>22</v>
      </c>
      <c r="G163" s="14"/>
      <c r="H163" s="58"/>
      <c r="I163" s="19"/>
      <c r="J163" s="14" t="s">
        <v>23</v>
      </c>
      <c r="K163" s="15"/>
      <c r="L163" s="15"/>
      <c r="M163" s="14" t="s">
        <v>27</v>
      </c>
      <c r="N163" s="14" t="s">
        <v>25</v>
      </c>
      <c r="O163" s="14"/>
      <c r="P163" s="20"/>
      <c r="Q163" s="14"/>
      <c r="R163" s="17">
        <v>43633</v>
      </c>
      <c r="S163" s="12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  <c r="AAA163" s="3"/>
      <c r="AAB163" s="3"/>
      <c r="AAC163" s="3"/>
      <c r="AAD163" s="3"/>
      <c r="AAE163" s="3"/>
      <c r="AAF163" s="3"/>
      <c r="AAG163" s="3"/>
      <c r="AAH163" s="3"/>
      <c r="AAI163" s="3"/>
      <c r="AAJ163" s="3"/>
      <c r="AAK163" s="3"/>
      <c r="AAL163" s="3"/>
      <c r="AAM163" s="3"/>
      <c r="AAN163" s="3"/>
      <c r="AAO163" s="3"/>
      <c r="AAP163" s="3"/>
      <c r="AAQ163" s="3"/>
      <c r="AAR163" s="3"/>
      <c r="AAS163" s="3"/>
      <c r="AAT163" s="3"/>
      <c r="AAU163" s="3"/>
      <c r="AAV163" s="3"/>
      <c r="AAW163" s="3"/>
      <c r="AAX163" s="3"/>
      <c r="AAY163" s="3"/>
      <c r="AAZ163" s="3"/>
      <c r="ABA163" s="3"/>
      <c r="ABB163" s="3"/>
      <c r="ABC163" s="3"/>
      <c r="ABD163" s="3"/>
      <c r="ABE163" s="3"/>
      <c r="ABF163" s="3"/>
      <c r="ABG163" s="3"/>
      <c r="ABH163" s="3"/>
      <c r="ABI163" s="3"/>
      <c r="ABJ163" s="3"/>
      <c r="ABK163" s="3"/>
      <c r="ABL163" s="3"/>
      <c r="ABM163" s="3"/>
      <c r="ABN163" s="3"/>
      <c r="ABO163" s="3"/>
      <c r="ABP163" s="3"/>
      <c r="ABQ163" s="3"/>
      <c r="ABR163" s="3"/>
      <c r="ABS163" s="3"/>
      <c r="ABT163" s="3"/>
      <c r="ABU163" s="3"/>
      <c r="ABV163" s="3"/>
      <c r="ABW163" s="3"/>
      <c r="ABX163" s="3"/>
      <c r="ABY163" s="3"/>
      <c r="ABZ163" s="3"/>
      <c r="ACA163" s="3"/>
      <c r="ACB163" s="3"/>
      <c r="ACC163" s="3"/>
      <c r="ACD163" s="3"/>
      <c r="ACE163" s="3"/>
      <c r="ACF163" s="3"/>
      <c r="ACG163" s="3"/>
      <c r="ACH163" s="3"/>
      <c r="ACI163" s="3"/>
      <c r="ACJ163" s="3"/>
      <c r="ACK163" s="3"/>
      <c r="ACL163" s="3"/>
      <c r="ACM163" s="3"/>
      <c r="ACN163" s="3"/>
      <c r="ACO163" s="3"/>
      <c r="ACP163" s="3"/>
      <c r="ACQ163" s="3"/>
      <c r="ACR163" s="3"/>
      <c r="ACS163" s="3"/>
      <c r="ACT163" s="3"/>
      <c r="ACU163" s="3"/>
      <c r="ACV163" s="3"/>
      <c r="ACW163" s="3"/>
      <c r="ACX163" s="3"/>
      <c r="ACY163" s="3"/>
      <c r="ACZ163" s="3"/>
      <c r="ADA163" s="3"/>
      <c r="ADB163" s="3"/>
      <c r="ADC163" s="3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3"/>
      <c r="AEB163" s="3"/>
      <c r="AEC163" s="3"/>
      <c r="AED163" s="3"/>
      <c r="AEE163" s="3"/>
      <c r="AEF163" s="3"/>
      <c r="AEG163" s="3"/>
      <c r="AEH163" s="3"/>
      <c r="AEI163" s="3"/>
      <c r="AEJ163" s="3"/>
      <c r="AEK163" s="3"/>
      <c r="AEL163" s="3"/>
      <c r="AEM163" s="3"/>
      <c r="AEN163" s="3"/>
      <c r="AEO163" s="3"/>
      <c r="AEP163" s="3"/>
      <c r="AEQ163" s="3"/>
      <c r="AER163" s="3"/>
      <c r="AES163" s="3"/>
      <c r="AET163" s="3"/>
      <c r="AEU163" s="3"/>
      <c r="AEV163" s="3"/>
      <c r="AEW163" s="3"/>
      <c r="AEX163" s="3"/>
      <c r="AEY163" s="3"/>
      <c r="AEZ163" s="3"/>
      <c r="AFA163" s="3"/>
      <c r="AFB163" s="3"/>
      <c r="AFC163" s="3"/>
      <c r="AFD163" s="3"/>
      <c r="AFE163" s="3"/>
      <c r="AFF163" s="3"/>
      <c r="AFG163" s="3"/>
      <c r="AFH163" s="3"/>
      <c r="AFI163" s="3"/>
      <c r="AFJ163" s="3"/>
      <c r="AFK163" s="3"/>
      <c r="AFL163" s="3"/>
      <c r="AFM163" s="3"/>
      <c r="AFN163" s="3"/>
      <c r="AFO163" s="3"/>
      <c r="AFP163" s="3"/>
      <c r="AFQ163" s="3"/>
      <c r="AFR163" s="3"/>
      <c r="AFS163" s="3"/>
      <c r="AFT163" s="3"/>
      <c r="AFU163" s="3"/>
      <c r="AFV163" s="3"/>
      <c r="AFW163" s="3"/>
      <c r="AFX163" s="3"/>
      <c r="AFY163" s="3"/>
      <c r="AFZ163" s="3"/>
      <c r="AGA163" s="3"/>
      <c r="AGB163" s="3"/>
      <c r="AGC163" s="3"/>
      <c r="AGD163" s="3"/>
      <c r="AGE163" s="3"/>
      <c r="AGF163" s="3"/>
      <c r="AGG163" s="3"/>
      <c r="AGH163" s="3"/>
      <c r="AGI163" s="3"/>
      <c r="AGJ163" s="3"/>
      <c r="AGK163" s="3"/>
      <c r="AGL163" s="3"/>
      <c r="AGM163" s="3"/>
      <c r="AGN163" s="3"/>
      <c r="AGO163" s="3"/>
      <c r="AGP163" s="3"/>
      <c r="AGQ163" s="3"/>
      <c r="AGR163" s="3"/>
      <c r="AGS163" s="3"/>
      <c r="AGT163" s="3"/>
      <c r="AGU163" s="3"/>
      <c r="AGV163" s="3"/>
      <c r="AGW163" s="3"/>
      <c r="AGX163" s="3"/>
      <c r="AGY163" s="3"/>
      <c r="AGZ163" s="3"/>
      <c r="AHA163" s="3"/>
      <c r="AHB163" s="3"/>
      <c r="AHC163" s="3"/>
      <c r="AHD163" s="3"/>
      <c r="AHE163" s="3"/>
      <c r="AHF163" s="3"/>
      <c r="AHG163" s="3"/>
      <c r="AHH163" s="3"/>
      <c r="AHI163" s="3"/>
      <c r="AHJ163" s="3"/>
      <c r="AHK163" s="3"/>
      <c r="AHL163" s="3"/>
      <c r="AHM163" s="3"/>
      <c r="AHN163" s="3"/>
      <c r="AHO163" s="3"/>
      <c r="AHP163" s="3"/>
      <c r="AHQ163" s="3"/>
      <c r="AHR163" s="3"/>
      <c r="AHS163" s="3"/>
      <c r="AHT163" s="3"/>
      <c r="AHU163" s="3"/>
      <c r="AHV163" s="3"/>
      <c r="AHW163" s="3"/>
      <c r="AHX163" s="3"/>
      <c r="AHY163" s="3"/>
      <c r="AHZ163" s="3"/>
      <c r="AIA163" s="3"/>
      <c r="AIB163" s="3"/>
      <c r="AIC163" s="3"/>
      <c r="AID163" s="3"/>
      <c r="AIE163" s="3"/>
      <c r="AIF163" s="3"/>
      <c r="AIG163" s="3"/>
      <c r="AIH163" s="3"/>
      <c r="AII163" s="3"/>
      <c r="AIJ163" s="3"/>
      <c r="AIK163" s="3"/>
      <c r="AIL163" s="3"/>
      <c r="AIM163" s="3"/>
      <c r="AIN163" s="3"/>
      <c r="AIO163" s="3"/>
      <c r="AIP163" s="3"/>
      <c r="AIQ163" s="3"/>
      <c r="AIR163" s="3"/>
      <c r="AIS163" s="3"/>
      <c r="AIT163" s="3"/>
      <c r="AIU163" s="3"/>
      <c r="AIV163" s="3"/>
      <c r="AIW163" s="3"/>
      <c r="AIX163" s="3"/>
      <c r="AIY163" s="3"/>
      <c r="AIZ163" s="3"/>
      <c r="AJA163" s="3"/>
      <c r="AJB163" s="3"/>
      <c r="AJC163" s="3"/>
      <c r="AJD163" s="3"/>
      <c r="AJE163" s="3"/>
      <c r="AJF163" s="3"/>
      <c r="AJG163" s="3"/>
      <c r="AJH163" s="3"/>
      <c r="AJI163" s="3"/>
      <c r="AJJ163" s="3"/>
      <c r="AJK163" s="3"/>
      <c r="AJL163" s="3"/>
      <c r="AJM163" s="3"/>
      <c r="AJN163" s="3"/>
      <c r="AJO163" s="3"/>
      <c r="AJP163" s="3"/>
      <c r="AJQ163" s="3"/>
      <c r="AJR163" s="3"/>
      <c r="AJS163" s="3"/>
      <c r="AJT163" s="3"/>
      <c r="AJU163" s="3"/>
      <c r="AJV163" s="3"/>
      <c r="AJW163" s="3"/>
      <c r="AJX163" s="3"/>
      <c r="AJY163" s="3"/>
      <c r="AJZ163" s="3"/>
      <c r="AKA163" s="3"/>
      <c r="AKB163" s="3"/>
      <c r="AKC163" s="3"/>
      <c r="AKD163" s="3"/>
      <c r="AKE163" s="3"/>
      <c r="AKF163" s="3"/>
      <c r="AKG163" s="3"/>
      <c r="AKH163" s="3"/>
      <c r="AKI163" s="3"/>
      <c r="AKJ163" s="3"/>
      <c r="AKK163" s="3"/>
      <c r="AKL163" s="3"/>
      <c r="AKM163" s="3"/>
      <c r="AKN163" s="3"/>
      <c r="AKO163" s="3"/>
      <c r="AKP163" s="3"/>
      <c r="AKQ163" s="3"/>
      <c r="AKR163" s="3"/>
      <c r="AKS163" s="3"/>
      <c r="AKT163" s="3"/>
      <c r="AKU163" s="3"/>
      <c r="AKV163" s="3"/>
      <c r="AKW163" s="3"/>
      <c r="AKX163" s="3"/>
      <c r="AKY163" s="3"/>
      <c r="AKZ163" s="3"/>
      <c r="ALA163" s="3"/>
      <c r="ALB163" s="3"/>
      <c r="ALC163" s="3"/>
      <c r="ALD163" s="3"/>
      <c r="ALE163" s="3"/>
      <c r="ALF163" s="3"/>
      <c r="ALG163" s="3"/>
      <c r="ALH163" s="3"/>
      <c r="ALI163" s="3"/>
      <c r="ALJ163" s="3"/>
      <c r="ALK163" s="3"/>
      <c r="ALL163" s="3"/>
      <c r="ALM163" s="3"/>
      <c r="ALN163" s="3"/>
      <c r="ALO163" s="3"/>
      <c r="ALP163" s="3"/>
      <c r="ALQ163" s="3"/>
      <c r="ALR163" s="3"/>
      <c r="ALS163" s="3"/>
      <c r="ALT163" s="3"/>
      <c r="ALU163" s="3"/>
      <c r="ALV163" s="3"/>
      <c r="ALW163" s="3"/>
      <c r="ALX163" s="3"/>
      <c r="ALY163" s="3"/>
      <c r="ALZ163" s="3"/>
      <c r="AMA163" s="3"/>
      <c r="AMB163" s="3"/>
      <c r="AMC163" s="3"/>
      <c r="AMD163" s="3"/>
      <c r="AME163" s="3"/>
      <c r="AMF163" s="3"/>
      <c r="AMG163" s="3"/>
      <c r="AMH163" s="3"/>
      <c r="AMI163" s="3"/>
      <c r="AMJ163" s="3"/>
      <c r="AMK163" s="3"/>
      <c r="AML163" s="3"/>
      <c r="AMM163" s="3"/>
    </row>
    <row r="164" spans="1:1027" ht="15" customHeight="1">
      <c r="A164" s="12">
        <v>868</v>
      </c>
      <c r="B164" s="13" t="s">
        <v>298</v>
      </c>
      <c r="C164" s="14"/>
      <c r="D164" s="14" t="s">
        <v>297</v>
      </c>
      <c r="E164" s="14" t="s">
        <v>36</v>
      </c>
      <c r="F164" s="15" t="s">
        <v>22</v>
      </c>
      <c r="G164" s="21"/>
      <c r="H164" s="58">
        <v>2</v>
      </c>
      <c r="I164" s="14"/>
      <c r="J164" s="14" t="s">
        <v>23</v>
      </c>
      <c r="K164" s="14"/>
      <c r="L164" s="14"/>
      <c r="M164" s="14" t="s">
        <v>29</v>
      </c>
      <c r="N164" s="25" t="s">
        <v>37</v>
      </c>
      <c r="O164" s="14" t="s">
        <v>299</v>
      </c>
      <c r="P164" s="14"/>
      <c r="Q164" s="14"/>
      <c r="R164" s="14" t="s">
        <v>158</v>
      </c>
    </row>
    <row r="165" spans="1:1027" ht="15" customHeight="1">
      <c r="A165" s="12">
        <v>1657</v>
      </c>
      <c r="B165" s="13" t="s">
        <v>300</v>
      </c>
      <c r="C165" s="14"/>
      <c r="D165" s="14" t="s">
        <v>297</v>
      </c>
      <c r="E165" s="14" t="s">
        <v>36</v>
      </c>
      <c r="F165" s="15" t="s">
        <v>22</v>
      </c>
      <c r="G165" s="14"/>
      <c r="H165" s="58">
        <v>3</v>
      </c>
      <c r="I165" s="14"/>
      <c r="J165" s="14" t="s">
        <v>23</v>
      </c>
      <c r="K165" s="14"/>
      <c r="L165" s="14"/>
      <c r="M165" s="14" t="s">
        <v>32</v>
      </c>
      <c r="N165" s="25" t="s">
        <v>37</v>
      </c>
      <c r="O165" s="14" t="s">
        <v>301</v>
      </c>
      <c r="P165" s="14"/>
      <c r="Q165" s="14"/>
      <c r="R165" s="14" t="s">
        <v>33</v>
      </c>
    </row>
    <row r="166" spans="1:1027" ht="15" customHeight="1">
      <c r="A166" s="12">
        <v>14</v>
      </c>
      <c r="B166" s="13" t="s">
        <v>302</v>
      </c>
      <c r="C166" s="14"/>
      <c r="D166" s="14" t="s">
        <v>303</v>
      </c>
      <c r="E166" s="14" t="s">
        <v>36</v>
      </c>
      <c r="F166" s="15" t="s">
        <v>22</v>
      </c>
      <c r="G166" s="14"/>
      <c r="H166" s="58"/>
      <c r="I166" s="14"/>
      <c r="J166" s="14" t="s">
        <v>23</v>
      </c>
      <c r="K166" s="15"/>
      <c r="L166" s="15"/>
      <c r="M166" s="14" t="s">
        <v>24</v>
      </c>
      <c r="N166" s="14" t="s">
        <v>25</v>
      </c>
      <c r="O166" s="14"/>
      <c r="P166" s="14"/>
      <c r="Q166" s="14"/>
      <c r="R166" s="17">
        <v>43599</v>
      </c>
      <c r="S166" s="12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</row>
    <row r="167" spans="1:1027" ht="15" customHeight="1">
      <c r="A167" s="12">
        <v>92</v>
      </c>
      <c r="B167" s="13" t="s">
        <v>304</v>
      </c>
      <c r="C167" s="14"/>
      <c r="D167" s="14" t="s">
        <v>303</v>
      </c>
      <c r="E167" s="14" t="s">
        <v>36</v>
      </c>
      <c r="F167" s="15" t="s">
        <v>22</v>
      </c>
      <c r="G167" s="14"/>
      <c r="H167" s="58"/>
      <c r="I167" s="19"/>
      <c r="J167" s="14" t="s">
        <v>23</v>
      </c>
      <c r="K167" s="15"/>
      <c r="L167" s="15"/>
      <c r="M167" s="14" t="s">
        <v>27</v>
      </c>
      <c r="N167" s="14" t="s">
        <v>25</v>
      </c>
      <c r="O167" s="14"/>
      <c r="P167" s="14"/>
      <c r="Q167" s="14"/>
      <c r="R167" s="17">
        <v>43633</v>
      </c>
      <c r="S167" s="12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  <c r="AAA167" s="3"/>
      <c r="AAB167" s="3"/>
      <c r="AAC167" s="3"/>
      <c r="AAD167" s="3"/>
      <c r="AAE167" s="3"/>
      <c r="AAF167" s="3"/>
      <c r="AAG167" s="3"/>
      <c r="AAH167" s="3"/>
      <c r="AAI167" s="3"/>
      <c r="AAJ167" s="3"/>
      <c r="AAK167" s="3"/>
      <c r="AAL167" s="3"/>
      <c r="AAM167" s="3"/>
      <c r="AAN167" s="3"/>
      <c r="AAO167" s="3"/>
      <c r="AAP167" s="3"/>
      <c r="AAQ167" s="3"/>
      <c r="AAR167" s="3"/>
      <c r="AAS167" s="3"/>
      <c r="AAT167" s="3"/>
      <c r="AAU167" s="3"/>
      <c r="AAV167" s="3"/>
      <c r="AAW167" s="3"/>
      <c r="AAX167" s="3"/>
      <c r="AAY167" s="3"/>
      <c r="AAZ167" s="3"/>
      <c r="ABA167" s="3"/>
      <c r="ABB167" s="3"/>
      <c r="ABC167" s="3"/>
      <c r="ABD167" s="3"/>
      <c r="ABE167" s="3"/>
      <c r="ABF167" s="3"/>
      <c r="ABG167" s="3"/>
      <c r="ABH167" s="3"/>
      <c r="ABI167" s="3"/>
      <c r="ABJ167" s="3"/>
      <c r="ABK167" s="3"/>
      <c r="ABL167" s="3"/>
      <c r="ABM167" s="3"/>
      <c r="ABN167" s="3"/>
      <c r="ABO167" s="3"/>
      <c r="ABP167" s="3"/>
      <c r="ABQ167" s="3"/>
      <c r="ABR167" s="3"/>
      <c r="ABS167" s="3"/>
      <c r="ABT167" s="3"/>
      <c r="ABU167" s="3"/>
      <c r="ABV167" s="3"/>
      <c r="ABW167" s="3"/>
      <c r="ABX167" s="3"/>
      <c r="ABY167" s="3"/>
      <c r="ABZ167" s="3"/>
      <c r="ACA167" s="3"/>
      <c r="ACB167" s="3"/>
      <c r="ACC167" s="3"/>
      <c r="ACD167" s="3"/>
      <c r="ACE167" s="3"/>
      <c r="ACF167" s="3"/>
      <c r="ACG167" s="3"/>
      <c r="ACH167" s="3"/>
      <c r="ACI167" s="3"/>
      <c r="ACJ167" s="3"/>
      <c r="ACK167" s="3"/>
      <c r="ACL167" s="3"/>
      <c r="ACM167" s="3"/>
      <c r="ACN167" s="3"/>
      <c r="ACO167" s="3"/>
      <c r="ACP167" s="3"/>
      <c r="ACQ167" s="3"/>
      <c r="ACR167" s="3"/>
      <c r="ACS167" s="3"/>
      <c r="ACT167" s="3"/>
      <c r="ACU167" s="3"/>
      <c r="ACV167" s="3"/>
      <c r="ACW167" s="3"/>
      <c r="ACX167" s="3"/>
      <c r="ACY167" s="3"/>
      <c r="ACZ167" s="3"/>
      <c r="ADA167" s="3"/>
      <c r="ADB167" s="3"/>
      <c r="ADC167" s="3"/>
      <c r="ADD167" s="3"/>
      <c r="ADE167" s="3"/>
      <c r="ADF167" s="3"/>
      <c r="ADG167" s="3"/>
      <c r="ADH167" s="3"/>
      <c r="ADI167" s="3"/>
      <c r="ADJ167" s="3"/>
      <c r="ADK167" s="3"/>
      <c r="ADL167" s="3"/>
      <c r="ADM167" s="3"/>
      <c r="ADN167" s="3"/>
      <c r="ADO167" s="3"/>
      <c r="ADP167" s="3"/>
      <c r="ADQ167" s="3"/>
      <c r="ADR167" s="3"/>
      <c r="ADS167" s="3"/>
      <c r="ADT167" s="3"/>
      <c r="ADU167" s="3"/>
      <c r="ADV167" s="3"/>
      <c r="ADW167" s="3"/>
      <c r="ADX167" s="3"/>
      <c r="ADY167" s="3"/>
      <c r="ADZ167" s="3"/>
      <c r="AEA167" s="3"/>
      <c r="AEB167" s="3"/>
      <c r="AEC167" s="3"/>
      <c r="AED167" s="3"/>
      <c r="AEE167" s="3"/>
      <c r="AEF167" s="3"/>
      <c r="AEG167" s="3"/>
      <c r="AEH167" s="3"/>
      <c r="AEI167" s="3"/>
      <c r="AEJ167" s="3"/>
      <c r="AEK167" s="3"/>
      <c r="AEL167" s="3"/>
      <c r="AEM167" s="3"/>
      <c r="AEN167" s="3"/>
      <c r="AEO167" s="3"/>
      <c r="AEP167" s="3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3"/>
      <c r="AFC167" s="3"/>
      <c r="AFD167" s="3"/>
      <c r="AFE167" s="3"/>
      <c r="AFF167" s="3"/>
      <c r="AFG167" s="3"/>
      <c r="AFH167" s="3"/>
      <c r="AFI167" s="3"/>
      <c r="AFJ167" s="3"/>
      <c r="AFK167" s="3"/>
      <c r="AFL167" s="3"/>
      <c r="AFM167" s="3"/>
      <c r="AFN167" s="3"/>
      <c r="AFO167" s="3"/>
      <c r="AFP167" s="3"/>
      <c r="AFQ167" s="3"/>
      <c r="AFR167" s="3"/>
      <c r="AFS167" s="3"/>
      <c r="AFT167" s="3"/>
      <c r="AFU167" s="3"/>
      <c r="AFV167" s="3"/>
      <c r="AFW167" s="3"/>
      <c r="AFX167" s="3"/>
      <c r="AFY167" s="3"/>
      <c r="AFZ167" s="3"/>
      <c r="AGA167" s="3"/>
      <c r="AGB167" s="3"/>
      <c r="AGC167" s="3"/>
      <c r="AGD167" s="3"/>
      <c r="AGE167" s="3"/>
      <c r="AGF167" s="3"/>
      <c r="AGG167" s="3"/>
      <c r="AGH167" s="3"/>
      <c r="AGI167" s="3"/>
      <c r="AGJ167" s="3"/>
      <c r="AGK167" s="3"/>
      <c r="AGL167" s="3"/>
      <c r="AGM167" s="3"/>
      <c r="AGN167" s="3"/>
      <c r="AGO167" s="3"/>
      <c r="AGP167" s="3"/>
      <c r="AGQ167" s="3"/>
      <c r="AGR167" s="3"/>
      <c r="AGS167" s="3"/>
      <c r="AGT167" s="3"/>
      <c r="AGU167" s="3"/>
      <c r="AGV167" s="3"/>
      <c r="AGW167" s="3"/>
      <c r="AGX167" s="3"/>
      <c r="AGY167" s="3"/>
      <c r="AGZ167" s="3"/>
      <c r="AHA167" s="3"/>
      <c r="AHB167" s="3"/>
      <c r="AHC167" s="3"/>
      <c r="AHD167" s="3"/>
      <c r="AHE167" s="3"/>
      <c r="AHF167" s="3"/>
      <c r="AHG167" s="3"/>
      <c r="AHH167" s="3"/>
      <c r="AHI167" s="3"/>
      <c r="AHJ167" s="3"/>
      <c r="AHK167" s="3"/>
      <c r="AHL167" s="3"/>
      <c r="AHM167" s="3"/>
      <c r="AHN167" s="3"/>
      <c r="AHO167" s="3"/>
      <c r="AHP167" s="3"/>
      <c r="AHQ167" s="3"/>
      <c r="AHR167" s="3"/>
      <c r="AHS167" s="3"/>
      <c r="AHT167" s="3"/>
      <c r="AHU167" s="3"/>
      <c r="AHV167" s="3"/>
      <c r="AHW167" s="3"/>
      <c r="AHX167" s="3"/>
      <c r="AHY167" s="3"/>
      <c r="AHZ167" s="3"/>
      <c r="AIA167" s="3"/>
      <c r="AIB167" s="3"/>
      <c r="AIC167" s="3"/>
      <c r="AID167" s="3"/>
      <c r="AIE167" s="3"/>
      <c r="AIF167" s="3"/>
      <c r="AIG167" s="3"/>
      <c r="AIH167" s="3"/>
      <c r="AII167" s="3"/>
      <c r="AIJ167" s="3"/>
      <c r="AIK167" s="3"/>
      <c r="AIL167" s="3"/>
      <c r="AIM167" s="3"/>
      <c r="AIN167" s="3"/>
      <c r="AIO167" s="3"/>
      <c r="AIP167" s="3"/>
      <c r="AIQ167" s="3"/>
      <c r="AIR167" s="3"/>
      <c r="AIS167" s="3"/>
      <c r="AIT167" s="3"/>
      <c r="AIU167" s="3"/>
      <c r="AIV167" s="3"/>
      <c r="AIW167" s="3"/>
      <c r="AIX167" s="3"/>
      <c r="AIY167" s="3"/>
      <c r="AIZ167" s="3"/>
      <c r="AJA167" s="3"/>
      <c r="AJB167" s="3"/>
      <c r="AJC167" s="3"/>
      <c r="AJD167" s="3"/>
      <c r="AJE167" s="3"/>
      <c r="AJF167" s="3"/>
      <c r="AJG167" s="3"/>
      <c r="AJH167" s="3"/>
      <c r="AJI167" s="3"/>
      <c r="AJJ167" s="3"/>
      <c r="AJK167" s="3"/>
      <c r="AJL167" s="3"/>
      <c r="AJM167" s="3"/>
      <c r="AJN167" s="3"/>
      <c r="AJO167" s="3"/>
      <c r="AJP167" s="3"/>
      <c r="AJQ167" s="3"/>
      <c r="AJR167" s="3"/>
      <c r="AJS167" s="3"/>
      <c r="AJT167" s="3"/>
      <c r="AJU167" s="3"/>
      <c r="AJV167" s="3"/>
      <c r="AJW167" s="3"/>
      <c r="AJX167" s="3"/>
      <c r="AJY167" s="3"/>
      <c r="AJZ167" s="3"/>
      <c r="AKA167" s="3"/>
      <c r="AKB167" s="3"/>
      <c r="AKC167" s="3"/>
      <c r="AKD167" s="3"/>
      <c r="AKE167" s="3"/>
      <c r="AKF167" s="3"/>
      <c r="AKG167" s="3"/>
      <c r="AKH167" s="3"/>
      <c r="AKI167" s="3"/>
      <c r="AKJ167" s="3"/>
      <c r="AKK167" s="3"/>
      <c r="AKL167" s="3"/>
      <c r="AKM167" s="3"/>
      <c r="AKN167" s="3"/>
      <c r="AKO167" s="3"/>
      <c r="AKP167" s="3"/>
      <c r="AKQ167" s="3"/>
      <c r="AKR167" s="3"/>
      <c r="AKS167" s="3"/>
      <c r="AKT167" s="3"/>
      <c r="AKU167" s="3"/>
      <c r="AKV167" s="3"/>
      <c r="AKW167" s="3"/>
      <c r="AKX167" s="3"/>
      <c r="AKY167" s="3"/>
      <c r="AKZ167" s="3"/>
      <c r="ALA167" s="3"/>
      <c r="ALB167" s="3"/>
      <c r="ALC167" s="3"/>
      <c r="ALD167" s="3"/>
      <c r="ALE167" s="3"/>
      <c r="ALF167" s="3"/>
      <c r="ALG167" s="3"/>
      <c r="ALH167" s="3"/>
      <c r="ALI167" s="3"/>
      <c r="ALJ167" s="3"/>
      <c r="ALK167" s="3"/>
      <c r="ALL167" s="3"/>
      <c r="ALM167" s="3"/>
      <c r="ALN167" s="3"/>
      <c r="ALO167" s="3"/>
      <c r="ALP167" s="3"/>
      <c r="ALQ167" s="3"/>
      <c r="ALR167" s="3"/>
      <c r="ALS167" s="3"/>
      <c r="ALT167" s="3"/>
      <c r="ALU167" s="3"/>
      <c r="ALV167" s="3"/>
      <c r="ALW167" s="3"/>
      <c r="ALX167" s="3"/>
      <c r="ALY167" s="3"/>
      <c r="ALZ167" s="3"/>
      <c r="AMA167" s="3"/>
      <c r="AMB167" s="3"/>
      <c r="AMC167" s="3"/>
      <c r="AMD167" s="3"/>
      <c r="AME167" s="3"/>
      <c r="AMF167" s="3"/>
      <c r="AMG167" s="3"/>
      <c r="AMH167" s="3"/>
      <c r="AMI167" s="3"/>
      <c r="AMJ167" s="3"/>
      <c r="AMK167" s="3"/>
      <c r="AML167" s="3"/>
      <c r="AMM167" s="3"/>
    </row>
    <row r="168" spans="1:1027" ht="15" customHeight="1">
      <c r="A168" s="12">
        <v>869</v>
      </c>
      <c r="B168" s="13" t="s">
        <v>305</v>
      </c>
      <c r="C168" s="14"/>
      <c r="D168" s="14" t="s">
        <v>303</v>
      </c>
      <c r="E168" s="14" t="s">
        <v>36</v>
      </c>
      <c r="F168" s="15" t="s">
        <v>22</v>
      </c>
      <c r="G168" s="21"/>
      <c r="H168" s="58">
        <v>1</v>
      </c>
      <c r="I168" s="14"/>
      <c r="J168" s="14" t="s">
        <v>23</v>
      </c>
      <c r="K168" s="14"/>
      <c r="L168" s="14"/>
      <c r="M168" s="14" t="s">
        <v>29</v>
      </c>
      <c r="N168" s="25" t="s">
        <v>37</v>
      </c>
      <c r="O168" s="14" t="s">
        <v>306</v>
      </c>
      <c r="P168" s="14"/>
      <c r="Q168" s="14"/>
      <c r="R168" s="14" t="s">
        <v>158</v>
      </c>
    </row>
    <row r="169" spans="1:1027" ht="15" customHeight="1">
      <c r="A169" s="12">
        <v>1658</v>
      </c>
      <c r="B169" s="13" t="s">
        <v>307</v>
      </c>
      <c r="C169" s="14"/>
      <c r="D169" s="14" t="s">
        <v>303</v>
      </c>
      <c r="E169" s="14" t="s">
        <v>36</v>
      </c>
      <c r="F169" s="15" t="s">
        <v>22</v>
      </c>
      <c r="G169" s="14"/>
      <c r="H169" s="58">
        <v>2</v>
      </c>
      <c r="I169" s="14"/>
      <c r="J169" s="14" t="s">
        <v>23</v>
      </c>
      <c r="K169" s="14"/>
      <c r="L169" s="14"/>
      <c r="M169" s="14" t="s">
        <v>32</v>
      </c>
      <c r="N169" s="25" t="s">
        <v>37</v>
      </c>
      <c r="O169" s="14" t="s">
        <v>217</v>
      </c>
      <c r="P169" s="14"/>
      <c r="Q169" s="14"/>
      <c r="R169" s="14" t="s">
        <v>308</v>
      </c>
    </row>
    <row r="170" spans="1:1027" ht="15" customHeight="1">
      <c r="A170" s="12">
        <v>93</v>
      </c>
      <c r="B170" s="13" t="s">
        <v>309</v>
      </c>
      <c r="C170" s="14"/>
      <c r="D170" s="14" t="s">
        <v>310</v>
      </c>
      <c r="E170" s="14" t="s">
        <v>215</v>
      </c>
      <c r="F170" s="15" t="s">
        <v>22</v>
      </c>
      <c r="G170" s="14"/>
      <c r="H170" s="58"/>
      <c r="I170" s="19"/>
      <c r="J170" s="14" t="s">
        <v>23</v>
      </c>
      <c r="K170" s="15"/>
      <c r="L170" s="15"/>
      <c r="M170" s="14" t="s">
        <v>27</v>
      </c>
      <c r="N170" s="25" t="s">
        <v>194</v>
      </c>
      <c r="O170" s="14" t="s">
        <v>189</v>
      </c>
      <c r="P170" s="14"/>
      <c r="Q170" s="14"/>
      <c r="R170" s="17">
        <v>43633</v>
      </c>
      <c r="S170" s="12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</row>
    <row r="171" spans="1:1027" ht="15" customHeight="1">
      <c r="A171" s="12">
        <v>870</v>
      </c>
      <c r="B171" s="13" t="s">
        <v>311</v>
      </c>
      <c r="C171" s="14"/>
      <c r="D171" s="14" t="s">
        <v>310</v>
      </c>
      <c r="E171" s="14" t="s">
        <v>215</v>
      </c>
      <c r="F171" s="15" t="s">
        <v>22</v>
      </c>
      <c r="G171" s="21"/>
      <c r="H171" s="58">
        <v>1</v>
      </c>
      <c r="I171" s="14"/>
      <c r="J171" s="14" t="s">
        <v>23</v>
      </c>
      <c r="K171" s="14"/>
      <c r="L171" s="14"/>
      <c r="M171" s="14" t="s">
        <v>29</v>
      </c>
      <c r="N171" s="25" t="s">
        <v>37</v>
      </c>
      <c r="O171" s="14" t="s">
        <v>312</v>
      </c>
      <c r="P171" s="14"/>
      <c r="Q171" s="14"/>
      <c r="R171" s="14" t="s">
        <v>158</v>
      </c>
    </row>
    <row r="172" spans="1:1027" ht="15" customHeight="1">
      <c r="A172" s="12">
        <v>1659</v>
      </c>
      <c r="B172" s="13" t="s">
        <v>313</v>
      </c>
      <c r="C172" s="14"/>
      <c r="D172" s="14" t="s">
        <v>310</v>
      </c>
      <c r="E172" s="14" t="s">
        <v>215</v>
      </c>
      <c r="F172" s="15" t="s">
        <v>22</v>
      </c>
      <c r="G172" s="14"/>
      <c r="H172" s="58">
        <v>0</v>
      </c>
      <c r="I172" s="14"/>
      <c r="J172" s="14" t="s">
        <v>23</v>
      </c>
      <c r="K172" s="14"/>
      <c r="L172" s="14"/>
      <c r="M172" s="14" t="s">
        <v>32</v>
      </c>
      <c r="N172" s="25" t="s">
        <v>37</v>
      </c>
      <c r="O172" s="14" t="s">
        <v>314</v>
      </c>
      <c r="P172" s="14"/>
      <c r="Q172" s="14"/>
      <c r="R172" s="14" t="s">
        <v>308</v>
      </c>
    </row>
    <row r="173" spans="1:1027" ht="15" customHeight="1">
      <c r="A173" s="12">
        <v>94</v>
      </c>
      <c r="B173" s="27" t="s">
        <v>315</v>
      </c>
      <c r="C173" s="14"/>
      <c r="D173" s="14" t="s">
        <v>316</v>
      </c>
      <c r="E173" s="14" t="s">
        <v>44</v>
      </c>
      <c r="F173" s="15" t="s">
        <v>22</v>
      </c>
      <c r="G173" s="14"/>
      <c r="H173" s="58"/>
      <c r="I173" s="19"/>
      <c r="J173" s="14" t="s">
        <v>23</v>
      </c>
      <c r="K173" s="15"/>
      <c r="L173" s="15"/>
      <c r="M173" s="14" t="s">
        <v>27</v>
      </c>
      <c r="N173" s="14"/>
      <c r="O173" s="14"/>
      <c r="P173" s="14"/>
      <c r="Q173" s="14"/>
      <c r="R173" s="17">
        <v>43633</v>
      </c>
      <c r="S173" s="12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"/>
    </row>
    <row r="174" spans="1:1027" ht="15" customHeight="1">
      <c r="A174" s="12">
        <v>871</v>
      </c>
      <c r="B174" s="13" t="s">
        <v>317</v>
      </c>
      <c r="C174" s="14"/>
      <c r="D174" s="14" t="s">
        <v>316</v>
      </c>
      <c r="E174" s="14" t="s">
        <v>44</v>
      </c>
      <c r="F174" s="15" t="s">
        <v>22</v>
      </c>
      <c r="G174" s="21"/>
      <c r="H174" s="58"/>
      <c r="I174" s="14"/>
      <c r="J174" s="14" t="s">
        <v>23</v>
      </c>
      <c r="K174" s="14"/>
      <c r="L174" s="14"/>
      <c r="M174" s="14" t="s">
        <v>29</v>
      </c>
      <c r="N174" s="14" t="s">
        <v>25</v>
      </c>
      <c r="O174" s="14"/>
      <c r="P174" s="14"/>
      <c r="Q174" s="14"/>
      <c r="R174" s="14" t="s">
        <v>158</v>
      </c>
    </row>
    <row r="175" spans="1:1027" ht="15" customHeight="1">
      <c r="A175" s="12">
        <v>1660</v>
      </c>
      <c r="B175" s="13" t="s">
        <v>318</v>
      </c>
      <c r="C175" s="14"/>
      <c r="D175" s="14" t="s">
        <v>316</v>
      </c>
      <c r="E175" s="14" t="s">
        <v>44</v>
      </c>
      <c r="F175" s="15" t="s">
        <v>22</v>
      </c>
      <c r="G175" s="14"/>
      <c r="H175" s="58">
        <v>0</v>
      </c>
      <c r="I175" s="14"/>
      <c r="J175" s="14" t="s">
        <v>23</v>
      </c>
      <c r="K175" s="14"/>
      <c r="L175" s="14"/>
      <c r="M175" s="14" t="s">
        <v>32</v>
      </c>
      <c r="N175" s="14" t="s">
        <v>25</v>
      </c>
      <c r="O175" s="14"/>
      <c r="P175" s="14"/>
      <c r="Q175" s="14"/>
      <c r="R175" s="14" t="s">
        <v>308</v>
      </c>
    </row>
    <row r="176" spans="1:1027" ht="15" customHeight="1">
      <c r="A176" s="12">
        <v>95</v>
      </c>
      <c r="B176" s="13" t="s">
        <v>319</v>
      </c>
      <c r="C176" s="14"/>
      <c r="D176" s="14" t="s">
        <v>320</v>
      </c>
      <c r="E176" s="14" t="s">
        <v>321</v>
      </c>
      <c r="F176" s="15" t="s">
        <v>22</v>
      </c>
      <c r="G176" s="14"/>
      <c r="H176" s="58"/>
      <c r="I176" s="19"/>
      <c r="J176" s="14" t="s">
        <v>23</v>
      </c>
      <c r="K176" s="15"/>
      <c r="L176" s="15"/>
      <c r="M176" s="14" t="s">
        <v>27</v>
      </c>
      <c r="N176" s="14" t="s">
        <v>25</v>
      </c>
      <c r="O176" s="14"/>
      <c r="P176" s="14"/>
      <c r="Q176" s="14"/>
      <c r="R176" s="17">
        <v>43633</v>
      </c>
      <c r="S176" s="12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  <c r="AMK176" s="3"/>
      <c r="AML176" s="3"/>
      <c r="AMM176" s="3"/>
    </row>
    <row r="177" spans="1:1027" ht="15" customHeight="1">
      <c r="A177" s="12">
        <v>872</v>
      </c>
      <c r="B177" s="13" t="s">
        <v>322</v>
      </c>
      <c r="C177" s="14"/>
      <c r="D177" s="14" t="s">
        <v>320</v>
      </c>
      <c r="E177" s="14" t="s">
        <v>321</v>
      </c>
      <c r="F177" s="15" t="s">
        <v>22</v>
      </c>
      <c r="G177" s="21"/>
      <c r="H177" s="58"/>
      <c r="I177" s="14"/>
      <c r="J177" s="14" t="s">
        <v>23</v>
      </c>
      <c r="K177" s="14"/>
      <c r="L177" s="14"/>
      <c r="M177" s="14" t="s">
        <v>29</v>
      </c>
      <c r="N177" s="14" t="s">
        <v>25</v>
      </c>
      <c r="O177" s="14"/>
      <c r="P177" s="14"/>
      <c r="Q177" s="14"/>
      <c r="R177" s="14" t="s">
        <v>158</v>
      </c>
    </row>
    <row r="178" spans="1:1027" ht="15" customHeight="1">
      <c r="A178" s="12">
        <v>1661</v>
      </c>
      <c r="B178" s="13" t="s">
        <v>323</v>
      </c>
      <c r="C178" s="14"/>
      <c r="D178" s="14" t="s">
        <v>320</v>
      </c>
      <c r="E178" s="14" t="s">
        <v>321</v>
      </c>
      <c r="F178" s="15" t="s">
        <v>22</v>
      </c>
      <c r="G178" s="14"/>
      <c r="H178" s="58">
        <v>0</v>
      </c>
      <c r="I178" s="14"/>
      <c r="J178" s="14" t="s">
        <v>23</v>
      </c>
      <c r="K178" s="14"/>
      <c r="L178" s="14"/>
      <c r="M178" s="14" t="s">
        <v>32</v>
      </c>
      <c r="N178" s="14" t="s">
        <v>25</v>
      </c>
      <c r="O178" s="14"/>
      <c r="P178" s="14"/>
      <c r="Q178" s="14"/>
      <c r="R178" s="14" t="s">
        <v>308</v>
      </c>
    </row>
    <row r="179" spans="1:1027" ht="15" customHeight="1">
      <c r="A179" s="12">
        <v>96</v>
      </c>
      <c r="B179" s="13" t="s">
        <v>324</v>
      </c>
      <c r="C179" s="14"/>
      <c r="D179" s="14" t="s">
        <v>325</v>
      </c>
      <c r="E179" s="14" t="s">
        <v>44</v>
      </c>
      <c r="F179" s="15" t="s">
        <v>22</v>
      </c>
      <c r="G179" s="14"/>
      <c r="H179" s="58"/>
      <c r="I179" s="19"/>
      <c r="J179" s="14" t="s">
        <v>23</v>
      </c>
      <c r="K179" s="15"/>
      <c r="L179" s="15"/>
      <c r="M179" s="14" t="s">
        <v>27</v>
      </c>
      <c r="N179" s="25" t="s">
        <v>37</v>
      </c>
      <c r="O179" s="14" t="s">
        <v>171</v>
      </c>
      <c r="P179" s="20"/>
      <c r="Q179" s="14"/>
      <c r="R179" s="17">
        <v>43633</v>
      </c>
      <c r="S179" s="12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  <c r="AMK179" s="3"/>
      <c r="AML179" s="3"/>
      <c r="AMM179" s="3"/>
    </row>
    <row r="180" spans="1:1027" ht="15" customHeight="1">
      <c r="A180" s="12">
        <v>873</v>
      </c>
      <c r="B180" s="13" t="s">
        <v>326</v>
      </c>
      <c r="C180" s="14"/>
      <c r="D180" s="14" t="s">
        <v>325</v>
      </c>
      <c r="E180" s="14" t="s">
        <v>44</v>
      </c>
      <c r="F180" s="15" t="s">
        <v>22</v>
      </c>
      <c r="G180" s="21"/>
      <c r="H180" s="58">
        <v>4</v>
      </c>
      <c r="I180" s="14"/>
      <c r="J180" s="14" t="s">
        <v>23</v>
      </c>
      <c r="K180" s="14"/>
      <c r="L180" s="14"/>
      <c r="M180" s="14" t="s">
        <v>29</v>
      </c>
      <c r="N180" s="25" t="s">
        <v>37</v>
      </c>
      <c r="O180" s="14" t="s">
        <v>327</v>
      </c>
      <c r="P180" s="14"/>
      <c r="Q180" s="14"/>
      <c r="R180" s="14" t="s">
        <v>158</v>
      </c>
    </row>
    <row r="181" spans="1:1027" ht="15" customHeight="1">
      <c r="A181" s="12">
        <v>1662</v>
      </c>
      <c r="B181" s="13" t="s">
        <v>328</v>
      </c>
      <c r="C181" s="14"/>
      <c r="D181" s="14" t="s">
        <v>325</v>
      </c>
      <c r="E181" s="14" t="s">
        <v>44</v>
      </c>
      <c r="F181" s="15" t="s">
        <v>22</v>
      </c>
      <c r="G181" s="14"/>
      <c r="H181" s="58">
        <v>4</v>
      </c>
      <c r="I181" s="14"/>
      <c r="J181" s="14" t="s">
        <v>23</v>
      </c>
      <c r="K181" s="14"/>
      <c r="L181" s="14"/>
      <c r="M181" s="14" t="s">
        <v>32</v>
      </c>
      <c r="N181" s="25" t="s">
        <v>37</v>
      </c>
      <c r="O181" s="14" t="s">
        <v>329</v>
      </c>
      <c r="P181" s="14"/>
      <c r="Q181" s="14"/>
      <c r="R181" s="14" t="s">
        <v>308</v>
      </c>
    </row>
    <row r="182" spans="1:1027" ht="15" customHeight="1">
      <c r="A182" s="12">
        <v>97</v>
      </c>
      <c r="B182" s="13" t="s">
        <v>330</v>
      </c>
      <c r="C182" s="14"/>
      <c r="D182" s="14" t="s">
        <v>331</v>
      </c>
      <c r="E182" s="14" t="s">
        <v>92</v>
      </c>
      <c r="F182" s="15" t="s">
        <v>22</v>
      </c>
      <c r="G182" s="14"/>
      <c r="H182" s="58"/>
      <c r="I182" s="19"/>
      <c r="J182" s="14" t="s">
        <v>23</v>
      </c>
      <c r="K182" s="15"/>
      <c r="L182" s="15"/>
      <c r="M182" s="14" t="s">
        <v>27</v>
      </c>
      <c r="N182" s="14" t="s">
        <v>25</v>
      </c>
      <c r="O182" s="14"/>
      <c r="P182" s="14"/>
      <c r="Q182" s="14"/>
      <c r="R182" s="17">
        <v>43633</v>
      </c>
      <c r="S182" s="12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</row>
    <row r="183" spans="1:1027" ht="15" customHeight="1">
      <c r="A183" s="12">
        <v>874</v>
      </c>
      <c r="B183" s="13" t="s">
        <v>332</v>
      </c>
      <c r="C183" s="14"/>
      <c r="D183" s="14" t="s">
        <v>331</v>
      </c>
      <c r="E183" s="14" t="s">
        <v>92</v>
      </c>
      <c r="F183" s="15" t="s">
        <v>22</v>
      </c>
      <c r="G183" s="21"/>
      <c r="H183" s="58"/>
      <c r="I183" s="14"/>
      <c r="J183" s="14" t="s">
        <v>23</v>
      </c>
      <c r="K183" s="14"/>
      <c r="L183" s="14"/>
      <c r="M183" s="14" t="s">
        <v>29</v>
      </c>
      <c r="N183" s="14" t="s">
        <v>25</v>
      </c>
      <c r="O183" s="14"/>
      <c r="P183" s="14"/>
      <c r="Q183" s="14"/>
      <c r="R183" s="14" t="s">
        <v>158</v>
      </c>
    </row>
    <row r="184" spans="1:1027" ht="15" customHeight="1">
      <c r="A184" s="12">
        <v>1663</v>
      </c>
      <c r="B184" s="13" t="s">
        <v>333</v>
      </c>
      <c r="C184" s="14"/>
      <c r="D184" s="14" t="s">
        <v>331</v>
      </c>
      <c r="E184" s="14" t="s">
        <v>92</v>
      </c>
      <c r="F184" s="15" t="s">
        <v>22</v>
      </c>
      <c r="G184" s="14"/>
      <c r="H184" s="58">
        <v>0</v>
      </c>
      <c r="I184" s="14"/>
      <c r="J184" s="14" t="s">
        <v>23</v>
      </c>
      <c r="K184" s="14"/>
      <c r="L184" s="14"/>
      <c r="M184" s="14" t="s">
        <v>32</v>
      </c>
      <c r="N184" s="14" t="s">
        <v>25</v>
      </c>
      <c r="O184" s="14"/>
      <c r="P184" s="14"/>
      <c r="Q184" s="14"/>
      <c r="R184" s="14" t="s">
        <v>308</v>
      </c>
    </row>
    <row r="185" spans="1:1027" ht="15" customHeight="1">
      <c r="A185" s="12">
        <v>33</v>
      </c>
      <c r="B185" s="13" t="s">
        <v>334</v>
      </c>
      <c r="C185" s="14"/>
      <c r="D185" s="14" t="s">
        <v>335</v>
      </c>
      <c r="E185" s="14" t="s">
        <v>92</v>
      </c>
      <c r="F185" s="15" t="s">
        <v>22</v>
      </c>
      <c r="G185" s="14"/>
      <c r="H185" s="58"/>
      <c r="I185" s="14"/>
      <c r="J185" s="14" t="s">
        <v>23</v>
      </c>
      <c r="K185" s="15"/>
      <c r="L185" s="15"/>
      <c r="M185" s="14" t="s">
        <v>24</v>
      </c>
      <c r="N185" s="14" t="s">
        <v>25</v>
      </c>
      <c r="O185" s="14"/>
      <c r="P185" s="14"/>
      <c r="Q185" s="14"/>
      <c r="R185" s="17">
        <v>43599</v>
      </c>
      <c r="S185" s="12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  <c r="AKY185" s="3"/>
      <c r="AKZ185" s="3"/>
      <c r="ALA185" s="3"/>
      <c r="ALB185" s="3"/>
      <c r="ALC185" s="3"/>
      <c r="ALD185" s="3"/>
      <c r="ALE185" s="3"/>
      <c r="ALF185" s="3"/>
      <c r="ALG185" s="3"/>
      <c r="ALH185" s="3"/>
      <c r="ALI185" s="3"/>
      <c r="ALJ185" s="3"/>
      <c r="ALK185" s="3"/>
      <c r="ALL185" s="3"/>
      <c r="ALM185" s="3"/>
      <c r="ALN185" s="3"/>
      <c r="ALO185" s="3"/>
      <c r="ALP185" s="3"/>
      <c r="ALQ185" s="3"/>
      <c r="ALR185" s="3"/>
      <c r="ALS185" s="3"/>
      <c r="ALT185" s="3"/>
      <c r="ALU185" s="3"/>
      <c r="ALV185" s="3"/>
      <c r="ALW185" s="3"/>
      <c r="ALX185" s="3"/>
      <c r="ALY185" s="3"/>
      <c r="ALZ185" s="3"/>
      <c r="AMA185" s="3"/>
      <c r="AMB185" s="3"/>
      <c r="AMC185" s="3"/>
      <c r="AMD185" s="3"/>
      <c r="AME185" s="3"/>
      <c r="AMF185" s="3"/>
      <c r="AMG185" s="3"/>
      <c r="AMH185" s="3"/>
      <c r="AMI185" s="3"/>
      <c r="AMJ185" s="3"/>
      <c r="AMK185" s="3"/>
      <c r="AML185" s="3"/>
      <c r="AMM185" s="3"/>
    </row>
    <row r="186" spans="1:1027" ht="15" customHeight="1">
      <c r="A186" s="12">
        <v>98</v>
      </c>
      <c r="B186" s="13" t="s">
        <v>336</v>
      </c>
      <c r="C186" s="14"/>
      <c r="D186" s="14" t="s">
        <v>335</v>
      </c>
      <c r="E186" s="14" t="s">
        <v>92</v>
      </c>
      <c r="F186" s="15" t="s">
        <v>22</v>
      </c>
      <c r="G186" s="14"/>
      <c r="H186" s="58"/>
      <c r="I186" s="19"/>
      <c r="J186" s="14" t="s">
        <v>23</v>
      </c>
      <c r="K186" s="15"/>
      <c r="L186" s="15"/>
      <c r="M186" s="14" t="s">
        <v>27</v>
      </c>
      <c r="N186" s="25" t="s">
        <v>37</v>
      </c>
      <c r="O186" s="14" t="s">
        <v>179</v>
      </c>
      <c r="P186" s="14"/>
      <c r="Q186" s="14"/>
      <c r="R186" s="17">
        <v>43633</v>
      </c>
      <c r="S186" s="12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  <c r="AKY186" s="3"/>
      <c r="AKZ186" s="3"/>
      <c r="ALA186" s="3"/>
      <c r="ALB186" s="3"/>
      <c r="ALC186" s="3"/>
      <c r="ALD186" s="3"/>
      <c r="ALE186" s="3"/>
      <c r="ALF186" s="3"/>
      <c r="ALG186" s="3"/>
      <c r="ALH186" s="3"/>
      <c r="ALI186" s="3"/>
      <c r="ALJ186" s="3"/>
      <c r="ALK186" s="3"/>
      <c r="ALL186" s="3"/>
      <c r="ALM186" s="3"/>
      <c r="ALN186" s="3"/>
      <c r="ALO186" s="3"/>
      <c r="ALP186" s="3"/>
      <c r="ALQ186" s="3"/>
      <c r="ALR186" s="3"/>
      <c r="ALS186" s="3"/>
      <c r="ALT186" s="3"/>
      <c r="ALU186" s="3"/>
      <c r="ALV186" s="3"/>
      <c r="ALW186" s="3"/>
      <c r="ALX186" s="3"/>
      <c r="ALY186" s="3"/>
      <c r="ALZ186" s="3"/>
      <c r="AMA186" s="3"/>
      <c r="AMB186" s="3"/>
      <c r="AMC186" s="3"/>
      <c r="AMD186" s="3"/>
      <c r="AME186" s="3"/>
      <c r="AMF186" s="3"/>
      <c r="AMG186" s="3"/>
      <c r="AMH186" s="3"/>
      <c r="AMI186" s="3"/>
      <c r="AMJ186" s="3"/>
      <c r="AMK186" s="3"/>
      <c r="AML186" s="3"/>
      <c r="AMM186" s="3"/>
    </row>
    <row r="187" spans="1:1027" ht="15" customHeight="1">
      <c r="A187" s="12">
        <v>875</v>
      </c>
      <c r="B187" s="13" t="s">
        <v>337</v>
      </c>
      <c r="C187" s="14"/>
      <c r="D187" s="14" t="s">
        <v>335</v>
      </c>
      <c r="E187" s="14" t="s">
        <v>92</v>
      </c>
      <c r="F187" s="15" t="s">
        <v>22</v>
      </c>
      <c r="G187" s="21"/>
      <c r="H187" s="58">
        <v>4</v>
      </c>
      <c r="I187" s="14"/>
      <c r="J187" s="14" t="s">
        <v>23</v>
      </c>
      <c r="K187" s="14"/>
      <c r="L187" s="14"/>
      <c r="M187" s="14" t="s">
        <v>29</v>
      </c>
      <c r="N187" s="14" t="s">
        <v>25</v>
      </c>
      <c r="O187" s="14"/>
      <c r="P187" s="14"/>
      <c r="Q187" s="14"/>
      <c r="R187" s="14" t="s">
        <v>158</v>
      </c>
    </row>
    <row r="188" spans="1:1027" ht="15" customHeight="1">
      <c r="A188" s="12">
        <v>1664</v>
      </c>
      <c r="B188" s="13" t="s">
        <v>338</v>
      </c>
      <c r="C188" s="14"/>
      <c r="D188" s="14" t="s">
        <v>335</v>
      </c>
      <c r="E188" s="14" t="s">
        <v>92</v>
      </c>
      <c r="F188" s="15" t="s">
        <v>22</v>
      </c>
      <c r="G188" s="14"/>
      <c r="H188" s="58">
        <v>4</v>
      </c>
      <c r="I188" s="14"/>
      <c r="J188" s="14" t="s">
        <v>23</v>
      </c>
      <c r="K188" s="14"/>
      <c r="L188" s="14"/>
      <c r="M188" s="14" t="s">
        <v>32</v>
      </c>
      <c r="N188" s="25" t="s">
        <v>37</v>
      </c>
      <c r="O188" s="14" t="s">
        <v>339</v>
      </c>
      <c r="P188" s="14"/>
      <c r="Q188" s="14"/>
      <c r="R188" s="14" t="s">
        <v>308</v>
      </c>
    </row>
    <row r="189" spans="1:1027" ht="15" customHeight="1">
      <c r="A189" s="12">
        <v>99</v>
      </c>
      <c r="B189" s="13" t="s">
        <v>340</v>
      </c>
      <c r="C189" s="14"/>
      <c r="D189" s="14" t="s">
        <v>341</v>
      </c>
      <c r="E189" s="14" t="s">
        <v>36</v>
      </c>
      <c r="F189" s="15" t="s">
        <v>22</v>
      </c>
      <c r="G189" s="14"/>
      <c r="H189" s="58"/>
      <c r="I189" s="19"/>
      <c r="J189" s="14" t="s">
        <v>23</v>
      </c>
      <c r="K189" s="15"/>
      <c r="L189" s="15"/>
      <c r="M189" s="14" t="s">
        <v>27</v>
      </c>
      <c r="N189" s="14" t="s">
        <v>25</v>
      </c>
      <c r="O189" s="14"/>
      <c r="P189" s="14"/>
      <c r="Q189" s="14"/>
      <c r="R189" s="17">
        <v>43633</v>
      </c>
      <c r="S189" s="12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3"/>
      <c r="AFC189" s="3"/>
      <c r="AFD189" s="3"/>
      <c r="AFE189" s="3"/>
      <c r="AFF189" s="3"/>
      <c r="AFG189" s="3"/>
      <c r="AFH189" s="3"/>
      <c r="AFI189" s="3"/>
      <c r="AFJ189" s="3"/>
      <c r="AFK189" s="3"/>
      <c r="AFL189" s="3"/>
      <c r="AFM189" s="3"/>
      <c r="AFN189" s="3"/>
      <c r="AFO189" s="3"/>
      <c r="AFP189" s="3"/>
      <c r="AFQ189" s="3"/>
      <c r="AFR189" s="3"/>
      <c r="AFS189" s="3"/>
      <c r="AFT189" s="3"/>
      <c r="AFU189" s="3"/>
      <c r="AFV189" s="3"/>
      <c r="AFW189" s="3"/>
      <c r="AFX189" s="3"/>
      <c r="AFY189" s="3"/>
      <c r="AFZ189" s="3"/>
      <c r="AGA189" s="3"/>
      <c r="AGB189" s="3"/>
      <c r="AGC189" s="3"/>
      <c r="AGD189" s="3"/>
      <c r="AGE189" s="3"/>
      <c r="AGF189" s="3"/>
      <c r="AGG189" s="3"/>
      <c r="AGH189" s="3"/>
      <c r="AGI189" s="3"/>
      <c r="AGJ189" s="3"/>
      <c r="AGK189" s="3"/>
      <c r="AGL189" s="3"/>
      <c r="AGM189" s="3"/>
      <c r="AGN189" s="3"/>
      <c r="AGO189" s="3"/>
      <c r="AGP189" s="3"/>
      <c r="AGQ189" s="3"/>
      <c r="AGR189" s="3"/>
      <c r="AGS189" s="3"/>
      <c r="AGT189" s="3"/>
      <c r="AGU189" s="3"/>
      <c r="AGV189" s="3"/>
      <c r="AGW189" s="3"/>
      <c r="AGX189" s="3"/>
      <c r="AGY189" s="3"/>
      <c r="AGZ189" s="3"/>
      <c r="AHA189" s="3"/>
      <c r="AHB189" s="3"/>
      <c r="AHC189" s="3"/>
      <c r="AHD189" s="3"/>
      <c r="AHE189" s="3"/>
      <c r="AHF189" s="3"/>
      <c r="AHG189" s="3"/>
      <c r="AHH189" s="3"/>
      <c r="AHI189" s="3"/>
      <c r="AHJ189" s="3"/>
      <c r="AHK189" s="3"/>
      <c r="AHL189" s="3"/>
      <c r="AHM189" s="3"/>
      <c r="AHN189" s="3"/>
      <c r="AHO189" s="3"/>
      <c r="AHP189" s="3"/>
      <c r="AHQ189" s="3"/>
      <c r="AHR189" s="3"/>
      <c r="AHS189" s="3"/>
      <c r="AHT189" s="3"/>
      <c r="AHU189" s="3"/>
      <c r="AHV189" s="3"/>
      <c r="AHW189" s="3"/>
      <c r="AHX189" s="3"/>
      <c r="AHY189" s="3"/>
      <c r="AHZ189" s="3"/>
      <c r="AIA189" s="3"/>
      <c r="AIB189" s="3"/>
      <c r="AIC189" s="3"/>
      <c r="AID189" s="3"/>
      <c r="AIE189" s="3"/>
      <c r="AIF189" s="3"/>
      <c r="AIG189" s="3"/>
      <c r="AIH189" s="3"/>
      <c r="AII189" s="3"/>
      <c r="AIJ189" s="3"/>
      <c r="AIK189" s="3"/>
      <c r="AIL189" s="3"/>
      <c r="AIM189" s="3"/>
      <c r="AIN189" s="3"/>
      <c r="AIO189" s="3"/>
      <c r="AIP189" s="3"/>
      <c r="AIQ189" s="3"/>
      <c r="AIR189" s="3"/>
      <c r="AIS189" s="3"/>
      <c r="AIT189" s="3"/>
      <c r="AIU189" s="3"/>
      <c r="AIV189" s="3"/>
      <c r="AIW189" s="3"/>
      <c r="AIX189" s="3"/>
      <c r="AIY189" s="3"/>
      <c r="AIZ189" s="3"/>
      <c r="AJA189" s="3"/>
      <c r="AJB189" s="3"/>
      <c r="AJC189" s="3"/>
      <c r="AJD189" s="3"/>
      <c r="AJE189" s="3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3"/>
      <c r="AKG189" s="3"/>
      <c r="AKH189" s="3"/>
      <c r="AKI189" s="3"/>
      <c r="AKJ189" s="3"/>
      <c r="AKK189" s="3"/>
      <c r="AKL189" s="3"/>
      <c r="AKM189" s="3"/>
      <c r="AKN189" s="3"/>
      <c r="AKO189" s="3"/>
      <c r="AKP189" s="3"/>
      <c r="AKQ189" s="3"/>
      <c r="AKR189" s="3"/>
      <c r="AKS189" s="3"/>
      <c r="AKT189" s="3"/>
      <c r="AKU189" s="3"/>
      <c r="AKV189" s="3"/>
      <c r="AKW189" s="3"/>
      <c r="AKX189" s="3"/>
      <c r="AKY189" s="3"/>
      <c r="AKZ189" s="3"/>
      <c r="ALA189" s="3"/>
      <c r="ALB189" s="3"/>
      <c r="ALC189" s="3"/>
      <c r="ALD189" s="3"/>
      <c r="ALE189" s="3"/>
      <c r="ALF189" s="3"/>
      <c r="ALG189" s="3"/>
      <c r="ALH189" s="3"/>
      <c r="ALI189" s="3"/>
      <c r="ALJ189" s="3"/>
      <c r="ALK189" s="3"/>
      <c r="ALL189" s="3"/>
      <c r="ALM189" s="3"/>
      <c r="ALN189" s="3"/>
      <c r="ALO189" s="3"/>
      <c r="ALP189" s="3"/>
      <c r="ALQ189" s="3"/>
      <c r="ALR189" s="3"/>
      <c r="ALS189" s="3"/>
      <c r="ALT189" s="3"/>
      <c r="ALU189" s="3"/>
      <c r="ALV189" s="3"/>
      <c r="ALW189" s="3"/>
      <c r="ALX189" s="3"/>
      <c r="ALY189" s="3"/>
      <c r="ALZ189" s="3"/>
      <c r="AMA189" s="3"/>
      <c r="AMB189" s="3"/>
      <c r="AMC189" s="3"/>
      <c r="AMD189" s="3"/>
      <c r="AME189" s="3"/>
      <c r="AMF189" s="3"/>
      <c r="AMG189" s="3"/>
      <c r="AMH189" s="3"/>
      <c r="AMI189" s="3"/>
      <c r="AMJ189" s="3"/>
      <c r="AMK189" s="3"/>
      <c r="AML189" s="3"/>
      <c r="AMM189" s="3"/>
    </row>
    <row r="190" spans="1:1027" ht="15" customHeight="1">
      <c r="A190" s="12">
        <v>876</v>
      </c>
      <c r="B190" s="13" t="s">
        <v>342</v>
      </c>
      <c r="C190" s="14"/>
      <c r="D190" s="14" t="s">
        <v>341</v>
      </c>
      <c r="E190" s="14" t="s">
        <v>36</v>
      </c>
      <c r="F190" s="15" t="s">
        <v>22</v>
      </c>
      <c r="G190" s="21"/>
      <c r="H190" s="58">
        <v>3</v>
      </c>
      <c r="I190" s="14"/>
      <c r="J190" s="14" t="s">
        <v>23</v>
      </c>
      <c r="K190" s="14"/>
      <c r="L190" s="14"/>
      <c r="M190" s="14" t="s">
        <v>29</v>
      </c>
      <c r="N190" s="25" t="s">
        <v>37</v>
      </c>
      <c r="O190" s="14" t="s">
        <v>339</v>
      </c>
      <c r="P190" s="14"/>
      <c r="Q190" s="14"/>
      <c r="R190" s="14" t="s">
        <v>158</v>
      </c>
    </row>
    <row r="191" spans="1:1027" ht="15" customHeight="1">
      <c r="A191" s="12">
        <v>1665</v>
      </c>
      <c r="B191" s="13" t="s">
        <v>343</v>
      </c>
      <c r="C191" s="14"/>
      <c r="D191" s="14" t="s">
        <v>341</v>
      </c>
      <c r="E191" s="14" t="s">
        <v>36</v>
      </c>
      <c r="F191" s="15" t="s">
        <v>22</v>
      </c>
      <c r="G191" s="14"/>
      <c r="H191" s="58">
        <v>3</v>
      </c>
      <c r="I191" s="14"/>
      <c r="J191" s="14" t="s">
        <v>23</v>
      </c>
      <c r="K191" s="14"/>
      <c r="L191" s="14"/>
      <c r="M191" s="14" t="s">
        <v>32</v>
      </c>
      <c r="N191" s="25" t="s">
        <v>37</v>
      </c>
      <c r="O191" s="14" t="s">
        <v>344</v>
      </c>
      <c r="P191" s="14"/>
      <c r="Q191" s="14"/>
      <c r="R191" s="14" t="s">
        <v>308</v>
      </c>
    </row>
    <row r="192" spans="1:1027" ht="15" customHeight="1">
      <c r="A192" s="12">
        <v>100</v>
      </c>
      <c r="B192" s="13" t="s">
        <v>345</v>
      </c>
      <c r="C192" s="14"/>
      <c r="D192" s="14" t="s">
        <v>346</v>
      </c>
      <c r="E192" s="14" t="s">
        <v>21</v>
      </c>
      <c r="F192" s="15" t="s">
        <v>22</v>
      </c>
      <c r="G192" s="14"/>
      <c r="H192" s="58"/>
      <c r="I192" s="19"/>
      <c r="J192" s="14" t="s">
        <v>23</v>
      </c>
      <c r="K192" s="15"/>
      <c r="L192" s="15"/>
      <c r="M192" s="14" t="s">
        <v>27</v>
      </c>
      <c r="N192" s="14" t="s">
        <v>25</v>
      </c>
      <c r="O192" s="22"/>
      <c r="P192" s="22"/>
      <c r="Q192" s="22"/>
      <c r="R192" s="17">
        <v>43633</v>
      </c>
      <c r="S192" s="2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  <c r="AKY192" s="3"/>
      <c r="AKZ192" s="3"/>
      <c r="ALA192" s="3"/>
      <c r="ALB192" s="3"/>
      <c r="ALC192" s="3"/>
      <c r="ALD192" s="3"/>
      <c r="ALE192" s="3"/>
      <c r="ALF192" s="3"/>
      <c r="ALG192" s="3"/>
      <c r="ALH192" s="3"/>
      <c r="ALI192" s="3"/>
      <c r="ALJ192" s="3"/>
      <c r="ALK192" s="3"/>
      <c r="ALL192" s="3"/>
      <c r="ALM192" s="3"/>
      <c r="ALN192" s="3"/>
      <c r="ALO192" s="3"/>
      <c r="ALP192" s="3"/>
      <c r="ALQ192" s="3"/>
      <c r="ALR192" s="3"/>
      <c r="ALS192" s="3"/>
      <c r="ALT192" s="3"/>
      <c r="ALU192" s="3"/>
      <c r="ALV192" s="3"/>
      <c r="ALW192" s="3"/>
      <c r="ALX192" s="3"/>
      <c r="ALY192" s="3"/>
      <c r="ALZ192" s="3"/>
      <c r="AMA192" s="3"/>
      <c r="AMB192" s="3"/>
      <c r="AMC192" s="3"/>
      <c r="AMD192" s="3"/>
      <c r="AME192" s="3"/>
      <c r="AMF192" s="3"/>
      <c r="AMG192" s="3"/>
      <c r="AMH192" s="3"/>
      <c r="AMI192" s="3"/>
      <c r="AMJ192" s="3"/>
      <c r="AMK192" s="3"/>
      <c r="AML192" s="3"/>
      <c r="AMM192" s="3"/>
    </row>
    <row r="193" spans="1:1027" ht="15" customHeight="1">
      <c r="A193" s="12">
        <v>877</v>
      </c>
      <c r="B193" s="13" t="s">
        <v>347</v>
      </c>
      <c r="C193" s="14"/>
      <c r="D193" s="14" t="s">
        <v>346</v>
      </c>
      <c r="E193" s="14" t="s">
        <v>21</v>
      </c>
      <c r="F193" s="15" t="s">
        <v>22</v>
      </c>
      <c r="G193" s="21"/>
      <c r="H193" s="58">
        <v>1</v>
      </c>
      <c r="I193" s="14"/>
      <c r="J193" s="14" t="s">
        <v>23</v>
      </c>
      <c r="K193" s="14"/>
      <c r="L193" s="14"/>
      <c r="M193" s="14" t="s">
        <v>29</v>
      </c>
      <c r="N193" s="14" t="s">
        <v>25</v>
      </c>
      <c r="O193" s="14"/>
      <c r="P193" s="14"/>
      <c r="Q193" s="14"/>
      <c r="R193" s="14" t="s">
        <v>158</v>
      </c>
    </row>
    <row r="194" spans="1:1027" ht="15" customHeight="1">
      <c r="A194" s="12">
        <v>1666</v>
      </c>
      <c r="B194" s="13" t="s">
        <v>348</v>
      </c>
      <c r="C194" s="14"/>
      <c r="D194" s="14" t="s">
        <v>346</v>
      </c>
      <c r="E194" s="14" t="s">
        <v>21</v>
      </c>
      <c r="F194" s="15" t="s">
        <v>22</v>
      </c>
      <c r="G194" s="14"/>
      <c r="H194" s="58">
        <v>2</v>
      </c>
      <c r="I194" s="14"/>
      <c r="J194" s="14" t="s">
        <v>23</v>
      </c>
      <c r="K194" s="14"/>
      <c r="L194" s="14"/>
      <c r="M194" s="14" t="s">
        <v>32</v>
      </c>
      <c r="N194" s="14" t="s">
        <v>25</v>
      </c>
      <c r="O194" s="14"/>
      <c r="P194" s="14"/>
      <c r="Q194" s="14"/>
      <c r="R194" s="14" t="s">
        <v>308</v>
      </c>
    </row>
    <row r="195" spans="1:1027" ht="15" customHeight="1">
      <c r="A195" s="12">
        <v>101</v>
      </c>
      <c r="B195" s="13" t="s">
        <v>349</v>
      </c>
      <c r="C195" s="14"/>
      <c r="D195" s="14" t="s">
        <v>350</v>
      </c>
      <c r="E195" s="14" t="s">
        <v>21</v>
      </c>
      <c r="F195" s="15" t="s">
        <v>22</v>
      </c>
      <c r="G195" s="14"/>
      <c r="H195" s="58"/>
      <c r="I195" s="19"/>
      <c r="J195" s="14" t="s">
        <v>23</v>
      </c>
      <c r="K195" s="15"/>
      <c r="L195" s="15"/>
      <c r="M195" s="14" t="s">
        <v>27</v>
      </c>
      <c r="N195" s="14" t="s">
        <v>25</v>
      </c>
      <c r="O195" s="22"/>
      <c r="P195" s="22"/>
      <c r="Q195" s="22"/>
      <c r="R195" s="17">
        <v>43633</v>
      </c>
      <c r="S195" s="2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  <c r="AFA195" s="3"/>
      <c r="AFB195" s="3"/>
      <c r="AFC195" s="3"/>
      <c r="AFD195" s="3"/>
      <c r="AFE195" s="3"/>
      <c r="AFF195" s="3"/>
      <c r="AFG195" s="3"/>
      <c r="AFH195" s="3"/>
      <c r="AFI195" s="3"/>
      <c r="AFJ195" s="3"/>
      <c r="AFK195" s="3"/>
      <c r="AFL195" s="3"/>
      <c r="AFM195" s="3"/>
      <c r="AFN195" s="3"/>
      <c r="AFO195" s="3"/>
      <c r="AFP195" s="3"/>
      <c r="AFQ195" s="3"/>
      <c r="AFR195" s="3"/>
      <c r="AFS195" s="3"/>
      <c r="AFT195" s="3"/>
      <c r="AFU195" s="3"/>
      <c r="AFV195" s="3"/>
      <c r="AFW195" s="3"/>
      <c r="AFX195" s="3"/>
      <c r="AFY195" s="3"/>
      <c r="AFZ195" s="3"/>
      <c r="AGA195" s="3"/>
      <c r="AGB195" s="3"/>
      <c r="AGC195" s="3"/>
      <c r="AGD195" s="3"/>
      <c r="AGE195" s="3"/>
      <c r="AGF195" s="3"/>
      <c r="AGG195" s="3"/>
      <c r="AGH195" s="3"/>
      <c r="AGI195" s="3"/>
      <c r="AGJ195" s="3"/>
      <c r="AGK195" s="3"/>
      <c r="AGL195" s="3"/>
      <c r="AGM195" s="3"/>
      <c r="AGN195" s="3"/>
      <c r="AGO195" s="3"/>
      <c r="AGP195" s="3"/>
      <c r="AGQ195" s="3"/>
      <c r="AGR195" s="3"/>
      <c r="AGS195" s="3"/>
      <c r="AGT195" s="3"/>
      <c r="AGU195" s="3"/>
      <c r="AGV195" s="3"/>
      <c r="AGW195" s="3"/>
      <c r="AGX195" s="3"/>
      <c r="AGY195" s="3"/>
      <c r="AGZ195" s="3"/>
      <c r="AHA195" s="3"/>
      <c r="AHB195" s="3"/>
      <c r="AHC195" s="3"/>
      <c r="AHD195" s="3"/>
      <c r="AHE195" s="3"/>
      <c r="AHF195" s="3"/>
      <c r="AHG195" s="3"/>
      <c r="AHH195" s="3"/>
      <c r="AHI195" s="3"/>
      <c r="AHJ195" s="3"/>
      <c r="AHK195" s="3"/>
      <c r="AHL195" s="3"/>
      <c r="AHM195" s="3"/>
      <c r="AHN195" s="3"/>
      <c r="AHO195" s="3"/>
      <c r="AHP195" s="3"/>
      <c r="AHQ195" s="3"/>
      <c r="AHR195" s="3"/>
      <c r="AHS195" s="3"/>
      <c r="AHT195" s="3"/>
      <c r="AHU195" s="3"/>
      <c r="AHV195" s="3"/>
      <c r="AHW195" s="3"/>
      <c r="AHX195" s="3"/>
      <c r="AHY195" s="3"/>
      <c r="AHZ195" s="3"/>
      <c r="AIA195" s="3"/>
      <c r="AIB195" s="3"/>
      <c r="AIC195" s="3"/>
      <c r="AID195" s="3"/>
      <c r="AIE195" s="3"/>
      <c r="AIF195" s="3"/>
      <c r="AIG195" s="3"/>
      <c r="AIH195" s="3"/>
      <c r="AII195" s="3"/>
      <c r="AIJ195" s="3"/>
      <c r="AIK195" s="3"/>
      <c r="AIL195" s="3"/>
      <c r="AIM195" s="3"/>
      <c r="AIN195" s="3"/>
      <c r="AIO195" s="3"/>
      <c r="AIP195" s="3"/>
      <c r="AIQ195" s="3"/>
      <c r="AIR195" s="3"/>
      <c r="AIS195" s="3"/>
      <c r="AIT195" s="3"/>
      <c r="AIU195" s="3"/>
      <c r="AIV195" s="3"/>
      <c r="AIW195" s="3"/>
      <c r="AIX195" s="3"/>
      <c r="AIY195" s="3"/>
      <c r="AIZ195" s="3"/>
      <c r="AJA195" s="3"/>
      <c r="AJB195" s="3"/>
      <c r="AJC195" s="3"/>
      <c r="AJD195" s="3"/>
      <c r="AJE195" s="3"/>
      <c r="AJF195" s="3"/>
      <c r="AJG195" s="3"/>
      <c r="AJH195" s="3"/>
      <c r="AJI195" s="3"/>
      <c r="AJJ195" s="3"/>
      <c r="AJK195" s="3"/>
      <c r="AJL195" s="3"/>
      <c r="AJM195" s="3"/>
      <c r="AJN195" s="3"/>
      <c r="AJO195" s="3"/>
      <c r="AJP195" s="3"/>
      <c r="AJQ195" s="3"/>
      <c r="AJR195" s="3"/>
      <c r="AJS195" s="3"/>
      <c r="AJT195" s="3"/>
      <c r="AJU195" s="3"/>
      <c r="AJV195" s="3"/>
      <c r="AJW195" s="3"/>
      <c r="AJX195" s="3"/>
      <c r="AJY195" s="3"/>
      <c r="AJZ195" s="3"/>
      <c r="AKA195" s="3"/>
      <c r="AKB195" s="3"/>
      <c r="AKC195" s="3"/>
      <c r="AKD195" s="3"/>
      <c r="AKE195" s="3"/>
      <c r="AKF195" s="3"/>
      <c r="AKG195" s="3"/>
      <c r="AKH195" s="3"/>
      <c r="AKI195" s="3"/>
      <c r="AKJ195" s="3"/>
      <c r="AKK195" s="3"/>
      <c r="AKL195" s="3"/>
      <c r="AKM195" s="3"/>
      <c r="AKN195" s="3"/>
      <c r="AKO195" s="3"/>
      <c r="AKP195" s="3"/>
      <c r="AKQ195" s="3"/>
      <c r="AKR195" s="3"/>
      <c r="AKS195" s="3"/>
      <c r="AKT195" s="3"/>
      <c r="AKU195" s="3"/>
      <c r="AKV195" s="3"/>
      <c r="AKW195" s="3"/>
      <c r="AKX195" s="3"/>
      <c r="AKY195" s="3"/>
      <c r="AKZ195" s="3"/>
      <c r="ALA195" s="3"/>
      <c r="ALB195" s="3"/>
      <c r="ALC195" s="3"/>
      <c r="ALD195" s="3"/>
      <c r="ALE195" s="3"/>
      <c r="ALF195" s="3"/>
      <c r="ALG195" s="3"/>
      <c r="ALH195" s="3"/>
      <c r="ALI195" s="3"/>
      <c r="ALJ195" s="3"/>
      <c r="ALK195" s="3"/>
      <c r="ALL195" s="3"/>
      <c r="ALM195" s="3"/>
      <c r="ALN195" s="3"/>
      <c r="ALO195" s="3"/>
      <c r="ALP195" s="3"/>
      <c r="ALQ195" s="3"/>
      <c r="ALR195" s="3"/>
      <c r="ALS195" s="3"/>
      <c r="ALT195" s="3"/>
      <c r="ALU195" s="3"/>
      <c r="ALV195" s="3"/>
      <c r="ALW195" s="3"/>
      <c r="ALX195" s="3"/>
      <c r="ALY195" s="3"/>
      <c r="ALZ195" s="3"/>
      <c r="AMA195" s="3"/>
      <c r="AMB195" s="3"/>
      <c r="AMC195" s="3"/>
      <c r="AMD195" s="3"/>
      <c r="AME195" s="3"/>
      <c r="AMF195" s="3"/>
      <c r="AMG195" s="3"/>
      <c r="AMH195" s="3"/>
      <c r="AMI195" s="3"/>
      <c r="AMJ195" s="3"/>
      <c r="AMK195" s="3"/>
      <c r="AML195" s="3"/>
      <c r="AMM195" s="3"/>
    </row>
    <row r="196" spans="1:1027" ht="15" customHeight="1">
      <c r="A196" s="12">
        <v>878</v>
      </c>
      <c r="B196" s="13" t="s">
        <v>351</v>
      </c>
      <c r="C196" s="14"/>
      <c r="D196" s="14" t="s">
        <v>350</v>
      </c>
      <c r="E196" s="14" t="s">
        <v>21</v>
      </c>
      <c r="F196" s="15" t="s">
        <v>22</v>
      </c>
      <c r="G196" s="21"/>
      <c r="H196" s="58"/>
      <c r="I196" s="14"/>
      <c r="J196" s="14" t="s">
        <v>23</v>
      </c>
      <c r="K196" s="14"/>
      <c r="L196" s="14"/>
      <c r="M196" s="14" t="s">
        <v>29</v>
      </c>
      <c r="N196" s="14" t="s">
        <v>25</v>
      </c>
      <c r="O196" s="14"/>
      <c r="P196" s="14"/>
      <c r="Q196" s="14"/>
      <c r="R196" s="14" t="s">
        <v>158</v>
      </c>
    </row>
    <row r="197" spans="1:1027" ht="15" customHeight="1">
      <c r="A197" s="12">
        <v>1667</v>
      </c>
      <c r="B197" s="13" t="s">
        <v>352</v>
      </c>
      <c r="C197" s="14"/>
      <c r="D197" s="14" t="s">
        <v>350</v>
      </c>
      <c r="E197" s="14" t="s">
        <v>21</v>
      </c>
      <c r="F197" s="15" t="s">
        <v>22</v>
      </c>
      <c r="G197" s="14"/>
      <c r="H197" s="58">
        <v>0</v>
      </c>
      <c r="I197" s="14"/>
      <c r="J197" s="14" t="s">
        <v>23</v>
      </c>
      <c r="K197" s="14"/>
      <c r="L197" s="14"/>
      <c r="M197" s="14" t="s">
        <v>32</v>
      </c>
      <c r="N197" s="14" t="s">
        <v>25</v>
      </c>
      <c r="O197" s="14"/>
      <c r="P197" s="14"/>
      <c r="Q197" s="14"/>
      <c r="R197" s="14" t="s">
        <v>308</v>
      </c>
    </row>
    <row r="198" spans="1:1027" ht="15" customHeight="1">
      <c r="A198" s="12">
        <v>102</v>
      </c>
      <c r="B198" s="13" t="s">
        <v>353</v>
      </c>
      <c r="C198" s="14"/>
      <c r="D198" s="14" t="s">
        <v>354</v>
      </c>
      <c r="E198" s="14" t="s">
        <v>36</v>
      </c>
      <c r="F198" s="15" t="s">
        <v>22</v>
      </c>
      <c r="G198" s="14"/>
      <c r="H198" s="58"/>
      <c r="I198" s="19"/>
      <c r="J198" s="14" t="s">
        <v>23</v>
      </c>
      <c r="K198" s="15"/>
      <c r="L198" s="15"/>
      <c r="M198" s="14" t="s">
        <v>27</v>
      </c>
      <c r="N198" s="25" t="s">
        <v>37</v>
      </c>
      <c r="O198" s="22" t="s">
        <v>179</v>
      </c>
      <c r="P198" s="22"/>
      <c r="Q198" s="22"/>
      <c r="R198" s="17">
        <v>43633</v>
      </c>
      <c r="S198" s="2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  <c r="AKY198" s="3"/>
      <c r="AKZ198" s="3"/>
      <c r="ALA198" s="3"/>
      <c r="ALB198" s="3"/>
      <c r="ALC198" s="3"/>
      <c r="ALD198" s="3"/>
      <c r="ALE198" s="3"/>
      <c r="ALF198" s="3"/>
      <c r="ALG198" s="3"/>
      <c r="ALH198" s="3"/>
      <c r="ALI198" s="3"/>
      <c r="ALJ198" s="3"/>
      <c r="ALK198" s="3"/>
      <c r="ALL198" s="3"/>
      <c r="ALM198" s="3"/>
      <c r="ALN198" s="3"/>
      <c r="ALO198" s="3"/>
      <c r="ALP198" s="3"/>
      <c r="ALQ198" s="3"/>
      <c r="ALR198" s="3"/>
      <c r="ALS198" s="3"/>
      <c r="ALT198" s="3"/>
      <c r="ALU198" s="3"/>
      <c r="ALV198" s="3"/>
      <c r="ALW198" s="3"/>
      <c r="ALX198" s="3"/>
      <c r="ALY198" s="3"/>
      <c r="ALZ198" s="3"/>
      <c r="AMA198" s="3"/>
      <c r="AMB198" s="3"/>
      <c r="AMC198" s="3"/>
      <c r="AMD198" s="3"/>
      <c r="AME198" s="3"/>
      <c r="AMF198" s="3"/>
      <c r="AMG198" s="3"/>
      <c r="AMH198" s="3"/>
      <c r="AMI198" s="3"/>
      <c r="AMJ198" s="3"/>
      <c r="AMK198" s="3"/>
      <c r="AML198" s="3"/>
      <c r="AMM198" s="3"/>
    </row>
    <row r="199" spans="1:1027" ht="15" customHeight="1">
      <c r="A199" s="12">
        <v>879</v>
      </c>
      <c r="B199" s="13" t="s">
        <v>355</v>
      </c>
      <c r="C199" s="14"/>
      <c r="D199" s="14" t="s">
        <v>354</v>
      </c>
      <c r="E199" s="14" t="s">
        <v>36</v>
      </c>
      <c r="F199" s="15" t="s">
        <v>22</v>
      </c>
      <c r="G199" s="21"/>
      <c r="H199" s="58">
        <v>1</v>
      </c>
      <c r="I199" s="14"/>
      <c r="J199" s="14" t="s">
        <v>23</v>
      </c>
      <c r="K199" s="14"/>
      <c r="L199" s="14"/>
      <c r="M199" s="14" t="s">
        <v>29</v>
      </c>
      <c r="N199" s="25" t="s">
        <v>37</v>
      </c>
      <c r="O199" s="14" t="s">
        <v>356</v>
      </c>
      <c r="P199" s="14"/>
      <c r="Q199" s="14"/>
      <c r="R199" s="14" t="s">
        <v>158</v>
      </c>
    </row>
    <row r="200" spans="1:1027" ht="15" customHeight="1">
      <c r="A200" s="12">
        <v>1668</v>
      </c>
      <c r="B200" s="13" t="s">
        <v>357</v>
      </c>
      <c r="C200" s="14"/>
      <c r="D200" s="14" t="s">
        <v>354</v>
      </c>
      <c r="E200" s="14" t="s">
        <v>36</v>
      </c>
      <c r="F200" s="15" t="s">
        <v>22</v>
      </c>
      <c r="G200" s="14"/>
      <c r="H200" s="58">
        <v>2</v>
      </c>
      <c r="I200" s="14"/>
      <c r="J200" s="14" t="s">
        <v>23</v>
      </c>
      <c r="K200" s="14"/>
      <c r="L200" s="14"/>
      <c r="M200" s="14" t="s">
        <v>32</v>
      </c>
      <c r="N200" s="25" t="s">
        <v>37</v>
      </c>
      <c r="O200" s="14" t="s">
        <v>358</v>
      </c>
      <c r="P200" s="14"/>
      <c r="Q200" s="14"/>
      <c r="R200" s="14" t="s">
        <v>308</v>
      </c>
    </row>
    <row r="201" spans="1:1027" ht="15" customHeight="1">
      <c r="A201" s="12">
        <v>103</v>
      </c>
      <c r="B201" s="13" t="s">
        <v>359</v>
      </c>
      <c r="C201" s="14"/>
      <c r="D201" s="14" t="s">
        <v>360</v>
      </c>
      <c r="E201" s="14" t="s">
        <v>92</v>
      </c>
      <c r="F201" s="15" t="s">
        <v>22</v>
      </c>
      <c r="G201" s="14"/>
      <c r="H201" s="58"/>
      <c r="I201" s="19"/>
      <c r="J201" s="14" t="s">
        <v>23</v>
      </c>
      <c r="K201" s="15"/>
      <c r="L201" s="15"/>
      <c r="M201" s="14" t="s">
        <v>27</v>
      </c>
      <c r="N201" s="25" t="s">
        <v>37</v>
      </c>
      <c r="O201" s="22" t="s">
        <v>52</v>
      </c>
      <c r="P201" s="22"/>
      <c r="Q201" s="22"/>
      <c r="R201" s="17">
        <v>43633</v>
      </c>
      <c r="S201" s="2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  <c r="AFA201" s="3"/>
      <c r="AFB201" s="3"/>
      <c r="AFC201" s="3"/>
      <c r="AFD201" s="3"/>
      <c r="AFE201" s="3"/>
      <c r="AFF201" s="3"/>
      <c r="AFG201" s="3"/>
      <c r="AFH201" s="3"/>
      <c r="AFI201" s="3"/>
      <c r="AFJ201" s="3"/>
      <c r="AFK201" s="3"/>
      <c r="AFL201" s="3"/>
      <c r="AFM201" s="3"/>
      <c r="AFN201" s="3"/>
      <c r="AFO201" s="3"/>
      <c r="AFP201" s="3"/>
      <c r="AFQ201" s="3"/>
      <c r="AFR201" s="3"/>
      <c r="AFS201" s="3"/>
      <c r="AFT201" s="3"/>
      <c r="AFU201" s="3"/>
      <c r="AFV201" s="3"/>
      <c r="AFW201" s="3"/>
      <c r="AFX201" s="3"/>
      <c r="AFY201" s="3"/>
      <c r="AFZ201" s="3"/>
      <c r="AGA201" s="3"/>
      <c r="AGB201" s="3"/>
      <c r="AGC201" s="3"/>
      <c r="AGD201" s="3"/>
      <c r="AGE201" s="3"/>
      <c r="AGF201" s="3"/>
      <c r="AGG201" s="3"/>
      <c r="AGH201" s="3"/>
      <c r="AGI201" s="3"/>
      <c r="AGJ201" s="3"/>
      <c r="AGK201" s="3"/>
      <c r="AGL201" s="3"/>
      <c r="AGM201" s="3"/>
      <c r="AGN201" s="3"/>
      <c r="AGO201" s="3"/>
      <c r="AGP201" s="3"/>
      <c r="AGQ201" s="3"/>
      <c r="AGR201" s="3"/>
      <c r="AGS201" s="3"/>
      <c r="AGT201" s="3"/>
      <c r="AGU201" s="3"/>
      <c r="AGV201" s="3"/>
      <c r="AGW201" s="3"/>
      <c r="AGX201" s="3"/>
      <c r="AGY201" s="3"/>
      <c r="AGZ201" s="3"/>
      <c r="AHA201" s="3"/>
      <c r="AHB201" s="3"/>
      <c r="AHC201" s="3"/>
      <c r="AHD201" s="3"/>
      <c r="AHE201" s="3"/>
      <c r="AHF201" s="3"/>
      <c r="AHG201" s="3"/>
      <c r="AHH201" s="3"/>
      <c r="AHI201" s="3"/>
      <c r="AHJ201" s="3"/>
      <c r="AHK201" s="3"/>
      <c r="AHL201" s="3"/>
      <c r="AHM201" s="3"/>
      <c r="AHN201" s="3"/>
      <c r="AHO201" s="3"/>
      <c r="AHP201" s="3"/>
      <c r="AHQ201" s="3"/>
      <c r="AHR201" s="3"/>
      <c r="AHS201" s="3"/>
      <c r="AHT201" s="3"/>
      <c r="AHU201" s="3"/>
      <c r="AHV201" s="3"/>
      <c r="AHW201" s="3"/>
      <c r="AHX201" s="3"/>
      <c r="AHY201" s="3"/>
      <c r="AHZ201" s="3"/>
      <c r="AIA201" s="3"/>
      <c r="AIB201" s="3"/>
      <c r="AIC201" s="3"/>
      <c r="AID201" s="3"/>
      <c r="AIE201" s="3"/>
      <c r="AIF201" s="3"/>
      <c r="AIG201" s="3"/>
      <c r="AIH201" s="3"/>
      <c r="AII201" s="3"/>
      <c r="AIJ201" s="3"/>
      <c r="AIK201" s="3"/>
      <c r="AIL201" s="3"/>
      <c r="AIM201" s="3"/>
      <c r="AIN201" s="3"/>
      <c r="AIO201" s="3"/>
      <c r="AIP201" s="3"/>
      <c r="AIQ201" s="3"/>
      <c r="AIR201" s="3"/>
      <c r="AIS201" s="3"/>
      <c r="AIT201" s="3"/>
      <c r="AIU201" s="3"/>
      <c r="AIV201" s="3"/>
      <c r="AIW201" s="3"/>
      <c r="AIX201" s="3"/>
      <c r="AIY201" s="3"/>
      <c r="AIZ201" s="3"/>
      <c r="AJA201" s="3"/>
      <c r="AJB201" s="3"/>
      <c r="AJC201" s="3"/>
      <c r="AJD201" s="3"/>
      <c r="AJE201" s="3"/>
      <c r="AJF201" s="3"/>
      <c r="AJG201" s="3"/>
      <c r="AJH201" s="3"/>
      <c r="AJI201" s="3"/>
      <c r="AJJ201" s="3"/>
      <c r="AJK201" s="3"/>
      <c r="AJL201" s="3"/>
      <c r="AJM201" s="3"/>
      <c r="AJN201" s="3"/>
      <c r="AJO201" s="3"/>
      <c r="AJP201" s="3"/>
      <c r="AJQ201" s="3"/>
      <c r="AJR201" s="3"/>
      <c r="AJS201" s="3"/>
      <c r="AJT201" s="3"/>
      <c r="AJU201" s="3"/>
      <c r="AJV201" s="3"/>
      <c r="AJW201" s="3"/>
      <c r="AJX201" s="3"/>
      <c r="AJY201" s="3"/>
      <c r="AJZ201" s="3"/>
      <c r="AKA201" s="3"/>
      <c r="AKB201" s="3"/>
      <c r="AKC201" s="3"/>
      <c r="AKD201" s="3"/>
      <c r="AKE201" s="3"/>
      <c r="AKF201" s="3"/>
      <c r="AKG201" s="3"/>
      <c r="AKH201" s="3"/>
      <c r="AKI201" s="3"/>
      <c r="AKJ201" s="3"/>
      <c r="AKK201" s="3"/>
      <c r="AKL201" s="3"/>
      <c r="AKM201" s="3"/>
      <c r="AKN201" s="3"/>
      <c r="AKO201" s="3"/>
      <c r="AKP201" s="3"/>
      <c r="AKQ201" s="3"/>
      <c r="AKR201" s="3"/>
      <c r="AKS201" s="3"/>
      <c r="AKT201" s="3"/>
      <c r="AKU201" s="3"/>
      <c r="AKV201" s="3"/>
      <c r="AKW201" s="3"/>
      <c r="AKX201" s="3"/>
      <c r="AKY201" s="3"/>
      <c r="AKZ201" s="3"/>
      <c r="ALA201" s="3"/>
      <c r="ALB201" s="3"/>
      <c r="ALC201" s="3"/>
      <c r="ALD201" s="3"/>
      <c r="ALE201" s="3"/>
      <c r="ALF201" s="3"/>
      <c r="ALG201" s="3"/>
      <c r="ALH201" s="3"/>
      <c r="ALI201" s="3"/>
      <c r="ALJ201" s="3"/>
      <c r="ALK201" s="3"/>
      <c r="ALL201" s="3"/>
      <c r="ALM201" s="3"/>
      <c r="ALN201" s="3"/>
      <c r="ALO201" s="3"/>
      <c r="ALP201" s="3"/>
      <c r="ALQ201" s="3"/>
      <c r="ALR201" s="3"/>
      <c r="ALS201" s="3"/>
      <c r="ALT201" s="3"/>
      <c r="ALU201" s="3"/>
      <c r="ALV201" s="3"/>
      <c r="ALW201" s="3"/>
      <c r="ALX201" s="3"/>
      <c r="ALY201" s="3"/>
      <c r="ALZ201" s="3"/>
      <c r="AMA201" s="3"/>
      <c r="AMB201" s="3"/>
      <c r="AMC201" s="3"/>
      <c r="AMD201" s="3"/>
      <c r="AME201" s="3"/>
      <c r="AMF201" s="3"/>
      <c r="AMG201" s="3"/>
      <c r="AMH201" s="3"/>
      <c r="AMI201" s="3"/>
      <c r="AMJ201" s="3"/>
      <c r="AMK201" s="3"/>
      <c r="AML201" s="3"/>
      <c r="AMM201" s="3"/>
    </row>
    <row r="202" spans="1:1027" ht="15" customHeight="1">
      <c r="A202" s="12">
        <v>880</v>
      </c>
      <c r="B202" s="13" t="s">
        <v>361</v>
      </c>
      <c r="C202" s="14"/>
      <c r="D202" s="14" t="s">
        <v>360</v>
      </c>
      <c r="E202" s="14" t="s">
        <v>92</v>
      </c>
      <c r="F202" s="15" t="s">
        <v>22</v>
      </c>
      <c r="G202" s="21"/>
      <c r="H202" s="58">
        <v>4</v>
      </c>
      <c r="I202" s="14"/>
      <c r="J202" s="14" t="s">
        <v>23</v>
      </c>
      <c r="K202" s="14"/>
      <c r="L202" s="14"/>
      <c r="M202" s="14" t="s">
        <v>29</v>
      </c>
      <c r="N202" s="25" t="s">
        <v>37</v>
      </c>
      <c r="O202" s="14" t="s">
        <v>362</v>
      </c>
      <c r="P202" s="14"/>
      <c r="Q202" s="14"/>
      <c r="R202" s="14" t="s">
        <v>158</v>
      </c>
    </row>
    <row r="203" spans="1:1027" ht="15" customHeight="1">
      <c r="A203" s="12">
        <v>1669</v>
      </c>
      <c r="B203" s="13" t="s">
        <v>363</v>
      </c>
      <c r="C203" s="14"/>
      <c r="D203" s="14" t="s">
        <v>360</v>
      </c>
      <c r="E203" s="14" t="s">
        <v>92</v>
      </c>
      <c r="F203" s="15" t="s">
        <v>22</v>
      </c>
      <c r="G203" s="14"/>
      <c r="H203" s="58">
        <v>4</v>
      </c>
      <c r="I203" s="14"/>
      <c r="J203" s="14" t="s">
        <v>23</v>
      </c>
      <c r="K203" s="14"/>
      <c r="L203" s="14"/>
      <c r="M203" s="14" t="s">
        <v>32</v>
      </c>
      <c r="N203" s="25" t="s">
        <v>37</v>
      </c>
      <c r="O203" s="14" t="s">
        <v>364</v>
      </c>
      <c r="P203" s="14"/>
      <c r="Q203" s="14"/>
      <c r="R203" s="14" t="s">
        <v>308</v>
      </c>
    </row>
    <row r="204" spans="1:1027" ht="15" customHeight="1">
      <c r="A204" s="12">
        <v>104</v>
      </c>
      <c r="B204" s="13" t="s">
        <v>365</v>
      </c>
      <c r="C204" s="14"/>
      <c r="D204" s="14" t="s">
        <v>366</v>
      </c>
      <c r="E204" s="14" t="s">
        <v>44</v>
      </c>
      <c r="F204" s="15" t="s">
        <v>22</v>
      </c>
      <c r="G204" s="14"/>
      <c r="H204" s="58"/>
      <c r="I204" s="19"/>
      <c r="J204" s="14" t="s">
        <v>23</v>
      </c>
      <c r="K204" s="15"/>
      <c r="L204" s="15"/>
      <c r="M204" s="14" t="s">
        <v>27</v>
      </c>
      <c r="N204" s="25" t="s">
        <v>37</v>
      </c>
      <c r="O204" s="22" t="s">
        <v>179</v>
      </c>
      <c r="P204" s="22"/>
      <c r="Q204" s="22"/>
      <c r="R204" s="17">
        <v>43633</v>
      </c>
      <c r="S204" s="2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  <c r="AKY204" s="3"/>
      <c r="AKZ204" s="3"/>
      <c r="ALA204" s="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3"/>
      <c r="ALM204" s="3"/>
      <c r="ALN204" s="3"/>
      <c r="ALO204" s="3"/>
      <c r="ALP204" s="3"/>
      <c r="ALQ204" s="3"/>
      <c r="ALR204" s="3"/>
      <c r="ALS204" s="3"/>
      <c r="ALT204" s="3"/>
      <c r="ALU204" s="3"/>
      <c r="ALV204" s="3"/>
      <c r="ALW204" s="3"/>
      <c r="ALX204" s="3"/>
      <c r="ALY204" s="3"/>
      <c r="ALZ204" s="3"/>
      <c r="AMA204" s="3"/>
      <c r="AMB204" s="3"/>
      <c r="AMC204" s="3"/>
      <c r="AMD204" s="3"/>
      <c r="AME204" s="3"/>
      <c r="AMF204" s="3"/>
      <c r="AMG204" s="3"/>
      <c r="AMH204" s="3"/>
      <c r="AMI204" s="3"/>
      <c r="AMJ204" s="3"/>
      <c r="AMK204" s="3"/>
      <c r="AML204" s="3"/>
      <c r="AMM204" s="3"/>
    </row>
    <row r="205" spans="1:1027" ht="15" customHeight="1">
      <c r="A205" s="12">
        <v>881</v>
      </c>
      <c r="B205" s="13" t="s">
        <v>367</v>
      </c>
      <c r="C205" s="14"/>
      <c r="D205" s="14" t="s">
        <v>366</v>
      </c>
      <c r="E205" s="14" t="s">
        <v>44</v>
      </c>
      <c r="F205" s="15" t="s">
        <v>22</v>
      </c>
      <c r="G205" s="21"/>
      <c r="H205" s="58">
        <v>2</v>
      </c>
      <c r="I205" s="14"/>
      <c r="J205" s="14" t="s">
        <v>23</v>
      </c>
      <c r="K205" s="14"/>
      <c r="L205" s="14"/>
      <c r="M205" s="14" t="s">
        <v>29</v>
      </c>
      <c r="N205" s="25" t="s">
        <v>37</v>
      </c>
      <c r="O205" s="14" t="s">
        <v>225</v>
      </c>
      <c r="P205" s="14"/>
      <c r="Q205" s="14"/>
      <c r="R205" s="14" t="s">
        <v>158</v>
      </c>
    </row>
    <row r="206" spans="1:1027" ht="15" customHeight="1">
      <c r="A206" s="12">
        <v>1670</v>
      </c>
      <c r="B206" s="13" t="s">
        <v>368</v>
      </c>
      <c r="C206" s="14"/>
      <c r="D206" s="14" t="s">
        <v>366</v>
      </c>
      <c r="E206" s="14" t="s">
        <v>44</v>
      </c>
      <c r="F206" s="15" t="s">
        <v>22</v>
      </c>
      <c r="G206" s="14"/>
      <c r="H206" s="58">
        <v>2</v>
      </c>
      <c r="I206" s="14"/>
      <c r="J206" s="14" t="s">
        <v>23</v>
      </c>
      <c r="K206" s="14"/>
      <c r="L206" s="14"/>
      <c r="M206" s="14" t="s">
        <v>32</v>
      </c>
      <c r="N206" s="25" t="s">
        <v>37</v>
      </c>
      <c r="O206" s="14" t="s">
        <v>369</v>
      </c>
      <c r="P206" s="14"/>
      <c r="Q206" s="14"/>
      <c r="R206" s="14" t="s">
        <v>308</v>
      </c>
    </row>
    <row r="207" spans="1:1027" ht="15" customHeight="1">
      <c r="A207" s="12">
        <v>105</v>
      </c>
      <c r="B207" s="13" t="s">
        <v>370</v>
      </c>
      <c r="C207" s="14"/>
      <c r="D207" s="14" t="s">
        <v>371</v>
      </c>
      <c r="E207" s="14" t="s">
        <v>21</v>
      </c>
      <c r="F207" s="15" t="s">
        <v>22</v>
      </c>
      <c r="G207" s="14"/>
      <c r="H207" s="58"/>
      <c r="I207" s="19"/>
      <c r="J207" s="14" t="s">
        <v>23</v>
      </c>
      <c r="K207" s="15"/>
      <c r="L207" s="15"/>
      <c r="M207" s="14" t="s">
        <v>27</v>
      </c>
      <c r="N207" s="14" t="s">
        <v>25</v>
      </c>
      <c r="O207" s="22"/>
      <c r="P207" s="22"/>
      <c r="Q207" s="22"/>
      <c r="R207" s="17">
        <v>43633</v>
      </c>
      <c r="S207" s="2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  <c r="AKY207" s="3"/>
      <c r="AKZ207" s="3"/>
      <c r="ALA207" s="3"/>
      <c r="ALB207" s="3"/>
      <c r="ALC207" s="3"/>
      <c r="ALD207" s="3"/>
      <c r="ALE207" s="3"/>
      <c r="ALF207" s="3"/>
      <c r="ALG207" s="3"/>
      <c r="ALH207" s="3"/>
      <c r="ALI207" s="3"/>
      <c r="ALJ207" s="3"/>
      <c r="ALK207" s="3"/>
      <c r="ALL207" s="3"/>
      <c r="ALM207" s="3"/>
      <c r="ALN207" s="3"/>
      <c r="ALO207" s="3"/>
      <c r="ALP207" s="3"/>
      <c r="ALQ207" s="3"/>
      <c r="ALR207" s="3"/>
      <c r="ALS207" s="3"/>
      <c r="ALT207" s="3"/>
      <c r="ALU207" s="3"/>
      <c r="ALV207" s="3"/>
      <c r="ALW207" s="3"/>
      <c r="ALX207" s="3"/>
      <c r="ALY207" s="3"/>
      <c r="ALZ207" s="3"/>
      <c r="AMA207" s="3"/>
      <c r="AMB207" s="3"/>
      <c r="AMC207" s="3"/>
      <c r="AMD207" s="3"/>
      <c r="AME207" s="3"/>
      <c r="AMF207" s="3"/>
      <c r="AMG207" s="3"/>
      <c r="AMH207" s="3"/>
      <c r="AMI207" s="3"/>
      <c r="AMJ207" s="3"/>
      <c r="AMK207" s="3"/>
      <c r="AML207" s="3"/>
      <c r="AMM207" s="3"/>
    </row>
    <row r="208" spans="1:1027" ht="15" customHeight="1">
      <c r="A208" s="12">
        <v>882</v>
      </c>
      <c r="B208" s="13" t="s">
        <v>372</v>
      </c>
      <c r="C208" s="14"/>
      <c r="D208" s="14" t="s">
        <v>371</v>
      </c>
      <c r="E208" s="14" t="s">
        <v>21</v>
      </c>
      <c r="F208" s="15" t="s">
        <v>22</v>
      </c>
      <c r="G208" s="21"/>
      <c r="H208" s="58"/>
      <c r="I208" s="14"/>
      <c r="J208" s="14" t="s">
        <v>23</v>
      </c>
      <c r="K208" s="14"/>
      <c r="L208" s="14"/>
      <c r="M208" s="14" t="s">
        <v>29</v>
      </c>
      <c r="N208" s="14" t="s">
        <v>25</v>
      </c>
      <c r="O208" s="14"/>
      <c r="P208" s="14"/>
      <c r="Q208" s="14"/>
      <c r="R208" s="14" t="s">
        <v>158</v>
      </c>
    </row>
    <row r="209" spans="1:1027" ht="15" customHeight="1">
      <c r="A209" s="12">
        <v>1671</v>
      </c>
      <c r="B209" s="13" t="s">
        <v>373</v>
      </c>
      <c r="C209" s="14"/>
      <c r="D209" s="14" t="s">
        <v>371</v>
      </c>
      <c r="E209" s="14" t="s">
        <v>21</v>
      </c>
      <c r="F209" s="15" t="s">
        <v>22</v>
      </c>
      <c r="G209" s="14"/>
      <c r="H209" s="58">
        <v>0</v>
      </c>
      <c r="I209" s="14"/>
      <c r="J209" s="14" t="s">
        <v>23</v>
      </c>
      <c r="K209" s="14"/>
      <c r="L209" s="14"/>
      <c r="M209" s="14" t="s">
        <v>32</v>
      </c>
      <c r="N209" s="14" t="s">
        <v>25</v>
      </c>
      <c r="O209" s="14"/>
      <c r="P209" s="14"/>
      <c r="Q209" s="14"/>
      <c r="R209" s="14" t="s">
        <v>308</v>
      </c>
    </row>
    <row r="210" spans="1:1027" ht="15" customHeight="1">
      <c r="A210" s="12">
        <v>106</v>
      </c>
      <c r="B210" s="13" t="s">
        <v>374</v>
      </c>
      <c r="C210" s="14"/>
      <c r="D210" s="14" t="s">
        <v>375</v>
      </c>
      <c r="E210" s="14" t="s">
        <v>36</v>
      </c>
      <c r="F210" s="15" t="s">
        <v>22</v>
      </c>
      <c r="G210" s="14"/>
      <c r="H210" s="58"/>
      <c r="I210" s="19"/>
      <c r="J210" s="14" t="s">
        <v>23</v>
      </c>
      <c r="K210" s="15"/>
      <c r="L210" s="15"/>
      <c r="M210" s="14" t="s">
        <v>27</v>
      </c>
      <c r="N210" s="14" t="s">
        <v>25</v>
      </c>
      <c r="O210" s="22"/>
      <c r="P210" s="22"/>
      <c r="Q210" s="22"/>
      <c r="R210" s="17">
        <v>43633</v>
      </c>
      <c r="S210" s="2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  <c r="AKY210" s="3"/>
      <c r="AKZ210" s="3"/>
      <c r="ALA210" s="3"/>
      <c r="ALB210" s="3"/>
      <c r="ALC210" s="3"/>
      <c r="ALD210" s="3"/>
      <c r="ALE210" s="3"/>
      <c r="ALF210" s="3"/>
      <c r="ALG210" s="3"/>
      <c r="ALH210" s="3"/>
      <c r="ALI210" s="3"/>
      <c r="ALJ210" s="3"/>
      <c r="ALK210" s="3"/>
      <c r="ALL210" s="3"/>
      <c r="ALM210" s="3"/>
      <c r="ALN210" s="3"/>
      <c r="ALO210" s="3"/>
      <c r="ALP210" s="3"/>
      <c r="ALQ210" s="3"/>
      <c r="ALR210" s="3"/>
      <c r="ALS210" s="3"/>
      <c r="ALT210" s="3"/>
      <c r="ALU210" s="3"/>
      <c r="ALV210" s="3"/>
      <c r="ALW210" s="3"/>
      <c r="ALX210" s="3"/>
      <c r="ALY210" s="3"/>
      <c r="ALZ210" s="3"/>
      <c r="AMA210" s="3"/>
      <c r="AMB210" s="3"/>
      <c r="AMC210" s="3"/>
      <c r="AMD210" s="3"/>
      <c r="AME210" s="3"/>
      <c r="AMF210" s="3"/>
      <c r="AMG210" s="3"/>
      <c r="AMH210" s="3"/>
      <c r="AMI210" s="3"/>
      <c r="AMJ210" s="3"/>
      <c r="AMK210" s="3"/>
      <c r="AML210" s="3"/>
      <c r="AMM210" s="3"/>
    </row>
    <row r="211" spans="1:1027" ht="15" customHeight="1">
      <c r="A211" s="12">
        <v>883</v>
      </c>
      <c r="B211" s="13" t="s">
        <v>376</v>
      </c>
      <c r="C211" s="14"/>
      <c r="D211" s="14" t="s">
        <v>375</v>
      </c>
      <c r="E211" s="14" t="s">
        <v>36</v>
      </c>
      <c r="F211" s="15" t="s">
        <v>22</v>
      </c>
      <c r="G211" s="21"/>
      <c r="H211" s="58">
        <v>1</v>
      </c>
      <c r="I211" s="14"/>
      <c r="J211" s="14" t="s">
        <v>23</v>
      </c>
      <c r="K211" s="14"/>
      <c r="L211" s="14"/>
      <c r="M211" s="14" t="s">
        <v>29</v>
      </c>
      <c r="N211" s="25" t="s">
        <v>37</v>
      </c>
      <c r="O211" s="14" t="s">
        <v>377</v>
      </c>
      <c r="P211" s="14"/>
      <c r="Q211" s="14"/>
      <c r="R211" s="14" t="s">
        <v>158</v>
      </c>
    </row>
    <row r="212" spans="1:1027" ht="15" customHeight="1">
      <c r="A212" s="12">
        <v>1672</v>
      </c>
      <c r="B212" s="13" t="s">
        <v>378</v>
      </c>
      <c r="C212" s="14"/>
      <c r="D212" s="14" t="s">
        <v>375</v>
      </c>
      <c r="E212" s="14" t="s">
        <v>36</v>
      </c>
      <c r="F212" s="15" t="s">
        <v>22</v>
      </c>
      <c r="G212" s="14"/>
      <c r="H212" s="58">
        <v>0</v>
      </c>
      <c r="I212" s="14"/>
      <c r="J212" s="14" t="s">
        <v>23</v>
      </c>
      <c r="K212" s="14"/>
      <c r="L212" s="14"/>
      <c r="M212" s="14" t="s">
        <v>32</v>
      </c>
      <c r="N212" s="25" t="s">
        <v>37</v>
      </c>
      <c r="O212" s="14" t="s">
        <v>379</v>
      </c>
      <c r="P212" s="14"/>
      <c r="Q212" s="14"/>
      <c r="R212" s="14" t="s">
        <v>308</v>
      </c>
    </row>
    <row r="213" spans="1:1027" ht="15" customHeight="1">
      <c r="A213" s="12">
        <v>107</v>
      </c>
      <c r="B213" s="13" t="s">
        <v>380</v>
      </c>
      <c r="C213" s="14"/>
      <c r="D213" s="14" t="s">
        <v>381</v>
      </c>
      <c r="E213" s="14" t="s">
        <v>215</v>
      </c>
      <c r="F213" s="15" t="s">
        <v>22</v>
      </c>
      <c r="G213" s="14"/>
      <c r="H213" s="58"/>
      <c r="I213" s="19"/>
      <c r="J213" s="14" t="s">
        <v>23</v>
      </c>
      <c r="K213" s="15"/>
      <c r="L213" s="15"/>
      <c r="M213" s="14" t="s">
        <v>27</v>
      </c>
      <c r="N213" s="25" t="s">
        <v>37</v>
      </c>
      <c r="O213" s="22" t="s">
        <v>179</v>
      </c>
      <c r="P213" s="22"/>
      <c r="Q213" s="22"/>
      <c r="R213" s="17">
        <v>43633</v>
      </c>
      <c r="S213" s="2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  <c r="XX213" s="3"/>
      <c r="XY213" s="3"/>
      <c r="XZ213" s="3"/>
      <c r="YA213" s="3"/>
      <c r="YB213" s="3"/>
      <c r="YC213" s="3"/>
      <c r="YD213" s="3"/>
      <c r="YE213" s="3"/>
      <c r="YF213" s="3"/>
      <c r="YG213" s="3"/>
      <c r="YH213" s="3"/>
      <c r="YI213" s="3"/>
      <c r="YJ213" s="3"/>
      <c r="YK213" s="3"/>
      <c r="YL213" s="3"/>
      <c r="YM213" s="3"/>
      <c r="YN213" s="3"/>
      <c r="YO213" s="3"/>
      <c r="YP213" s="3"/>
      <c r="YQ213" s="3"/>
      <c r="YR213" s="3"/>
      <c r="YS213" s="3"/>
      <c r="YT213" s="3"/>
      <c r="YU213" s="3"/>
      <c r="YV213" s="3"/>
      <c r="YW213" s="3"/>
      <c r="YX213" s="3"/>
      <c r="YY213" s="3"/>
      <c r="YZ213" s="3"/>
      <c r="ZA213" s="3"/>
      <c r="ZB213" s="3"/>
      <c r="ZC213" s="3"/>
      <c r="ZD213" s="3"/>
      <c r="ZE213" s="3"/>
      <c r="ZF213" s="3"/>
      <c r="ZG213" s="3"/>
      <c r="ZH213" s="3"/>
      <c r="ZI213" s="3"/>
      <c r="ZJ213" s="3"/>
      <c r="ZK213" s="3"/>
      <c r="ZL213" s="3"/>
      <c r="ZM213" s="3"/>
      <c r="ZN213" s="3"/>
      <c r="ZO213" s="3"/>
      <c r="ZP213" s="3"/>
      <c r="ZQ213" s="3"/>
      <c r="ZR213" s="3"/>
      <c r="ZS213" s="3"/>
      <c r="ZT213" s="3"/>
      <c r="ZU213" s="3"/>
      <c r="ZV213" s="3"/>
      <c r="ZW213" s="3"/>
      <c r="ZX213" s="3"/>
      <c r="ZY213" s="3"/>
      <c r="ZZ213" s="3"/>
      <c r="AAA213" s="3"/>
      <c r="AAB213" s="3"/>
      <c r="AAC213" s="3"/>
      <c r="AAD213" s="3"/>
      <c r="AAE213" s="3"/>
      <c r="AAF213" s="3"/>
      <c r="AAG213" s="3"/>
      <c r="AAH213" s="3"/>
      <c r="AAI213" s="3"/>
      <c r="AAJ213" s="3"/>
      <c r="AAK213" s="3"/>
      <c r="AAL213" s="3"/>
      <c r="AAM213" s="3"/>
      <c r="AAN213" s="3"/>
      <c r="AAO213" s="3"/>
      <c r="AAP213" s="3"/>
      <c r="AAQ213" s="3"/>
      <c r="AAR213" s="3"/>
      <c r="AAS213" s="3"/>
      <c r="AAT213" s="3"/>
      <c r="AAU213" s="3"/>
      <c r="AAV213" s="3"/>
      <c r="AAW213" s="3"/>
      <c r="AAX213" s="3"/>
      <c r="AAY213" s="3"/>
      <c r="AAZ213" s="3"/>
      <c r="ABA213" s="3"/>
      <c r="ABB213" s="3"/>
      <c r="ABC213" s="3"/>
      <c r="ABD213" s="3"/>
      <c r="ABE213" s="3"/>
      <c r="ABF213" s="3"/>
      <c r="ABG213" s="3"/>
      <c r="ABH213" s="3"/>
      <c r="ABI213" s="3"/>
      <c r="ABJ213" s="3"/>
      <c r="ABK213" s="3"/>
      <c r="ABL213" s="3"/>
      <c r="ABM213" s="3"/>
      <c r="ABN213" s="3"/>
      <c r="ABO213" s="3"/>
      <c r="ABP213" s="3"/>
      <c r="ABQ213" s="3"/>
      <c r="ABR213" s="3"/>
      <c r="ABS213" s="3"/>
      <c r="ABT213" s="3"/>
      <c r="ABU213" s="3"/>
      <c r="ABV213" s="3"/>
      <c r="ABW213" s="3"/>
      <c r="ABX213" s="3"/>
      <c r="ABY213" s="3"/>
      <c r="ABZ213" s="3"/>
      <c r="ACA213" s="3"/>
      <c r="ACB213" s="3"/>
      <c r="ACC213" s="3"/>
      <c r="ACD213" s="3"/>
      <c r="ACE213" s="3"/>
      <c r="ACF213" s="3"/>
      <c r="ACG213" s="3"/>
      <c r="ACH213" s="3"/>
      <c r="ACI213" s="3"/>
      <c r="ACJ213" s="3"/>
      <c r="ACK213" s="3"/>
      <c r="ACL213" s="3"/>
      <c r="ACM213" s="3"/>
      <c r="ACN213" s="3"/>
      <c r="ACO213" s="3"/>
      <c r="ACP213" s="3"/>
      <c r="ACQ213" s="3"/>
      <c r="ACR213" s="3"/>
      <c r="ACS213" s="3"/>
      <c r="ACT213" s="3"/>
      <c r="ACU213" s="3"/>
      <c r="ACV213" s="3"/>
      <c r="ACW213" s="3"/>
      <c r="ACX213" s="3"/>
      <c r="ACY213" s="3"/>
      <c r="ACZ213" s="3"/>
      <c r="ADA213" s="3"/>
      <c r="ADB213" s="3"/>
      <c r="ADC213" s="3"/>
      <c r="ADD213" s="3"/>
      <c r="ADE213" s="3"/>
      <c r="ADF213" s="3"/>
      <c r="ADG213" s="3"/>
      <c r="ADH213" s="3"/>
      <c r="ADI213" s="3"/>
      <c r="ADJ213" s="3"/>
      <c r="ADK213" s="3"/>
      <c r="ADL213" s="3"/>
      <c r="ADM213" s="3"/>
      <c r="ADN213" s="3"/>
      <c r="ADO213" s="3"/>
      <c r="ADP213" s="3"/>
      <c r="ADQ213" s="3"/>
      <c r="ADR213" s="3"/>
      <c r="ADS213" s="3"/>
      <c r="ADT213" s="3"/>
      <c r="ADU213" s="3"/>
      <c r="ADV213" s="3"/>
      <c r="ADW213" s="3"/>
      <c r="ADX213" s="3"/>
      <c r="ADY213" s="3"/>
      <c r="ADZ213" s="3"/>
      <c r="AEA213" s="3"/>
      <c r="AEB213" s="3"/>
      <c r="AEC213" s="3"/>
      <c r="AED213" s="3"/>
      <c r="AEE213" s="3"/>
      <c r="AEF213" s="3"/>
      <c r="AEG213" s="3"/>
      <c r="AEH213" s="3"/>
      <c r="AEI213" s="3"/>
      <c r="AEJ213" s="3"/>
      <c r="AEK213" s="3"/>
      <c r="AEL213" s="3"/>
      <c r="AEM213" s="3"/>
      <c r="AEN213" s="3"/>
      <c r="AEO213" s="3"/>
      <c r="AEP213" s="3"/>
      <c r="AEQ213" s="3"/>
      <c r="AER213" s="3"/>
      <c r="AES213" s="3"/>
      <c r="AET213" s="3"/>
      <c r="AEU213" s="3"/>
      <c r="AEV213" s="3"/>
      <c r="AEW213" s="3"/>
      <c r="AEX213" s="3"/>
      <c r="AEY213" s="3"/>
      <c r="AEZ213" s="3"/>
      <c r="AFA213" s="3"/>
      <c r="AFB213" s="3"/>
      <c r="AFC213" s="3"/>
      <c r="AFD213" s="3"/>
      <c r="AFE213" s="3"/>
      <c r="AFF213" s="3"/>
      <c r="AFG213" s="3"/>
      <c r="AFH213" s="3"/>
      <c r="AFI213" s="3"/>
      <c r="AFJ213" s="3"/>
      <c r="AFK213" s="3"/>
      <c r="AFL213" s="3"/>
      <c r="AFM213" s="3"/>
      <c r="AFN213" s="3"/>
      <c r="AFO213" s="3"/>
      <c r="AFP213" s="3"/>
      <c r="AFQ213" s="3"/>
      <c r="AFR213" s="3"/>
      <c r="AFS213" s="3"/>
      <c r="AFT213" s="3"/>
      <c r="AFU213" s="3"/>
      <c r="AFV213" s="3"/>
      <c r="AFW213" s="3"/>
      <c r="AFX213" s="3"/>
      <c r="AFY213" s="3"/>
      <c r="AFZ213" s="3"/>
      <c r="AGA213" s="3"/>
      <c r="AGB213" s="3"/>
      <c r="AGC213" s="3"/>
      <c r="AGD213" s="3"/>
      <c r="AGE213" s="3"/>
      <c r="AGF213" s="3"/>
      <c r="AGG213" s="3"/>
      <c r="AGH213" s="3"/>
      <c r="AGI213" s="3"/>
      <c r="AGJ213" s="3"/>
      <c r="AGK213" s="3"/>
      <c r="AGL213" s="3"/>
      <c r="AGM213" s="3"/>
      <c r="AGN213" s="3"/>
      <c r="AGO213" s="3"/>
      <c r="AGP213" s="3"/>
      <c r="AGQ213" s="3"/>
      <c r="AGR213" s="3"/>
      <c r="AGS213" s="3"/>
      <c r="AGT213" s="3"/>
      <c r="AGU213" s="3"/>
      <c r="AGV213" s="3"/>
      <c r="AGW213" s="3"/>
      <c r="AGX213" s="3"/>
      <c r="AGY213" s="3"/>
      <c r="AGZ213" s="3"/>
      <c r="AHA213" s="3"/>
      <c r="AHB213" s="3"/>
      <c r="AHC213" s="3"/>
      <c r="AHD213" s="3"/>
      <c r="AHE213" s="3"/>
      <c r="AHF213" s="3"/>
      <c r="AHG213" s="3"/>
      <c r="AHH213" s="3"/>
      <c r="AHI213" s="3"/>
      <c r="AHJ213" s="3"/>
      <c r="AHK213" s="3"/>
      <c r="AHL213" s="3"/>
      <c r="AHM213" s="3"/>
      <c r="AHN213" s="3"/>
      <c r="AHO213" s="3"/>
      <c r="AHP213" s="3"/>
      <c r="AHQ213" s="3"/>
      <c r="AHR213" s="3"/>
      <c r="AHS213" s="3"/>
      <c r="AHT213" s="3"/>
      <c r="AHU213" s="3"/>
      <c r="AHV213" s="3"/>
      <c r="AHW213" s="3"/>
      <c r="AHX213" s="3"/>
      <c r="AHY213" s="3"/>
      <c r="AHZ213" s="3"/>
      <c r="AIA213" s="3"/>
      <c r="AIB213" s="3"/>
      <c r="AIC213" s="3"/>
      <c r="AID213" s="3"/>
      <c r="AIE213" s="3"/>
      <c r="AIF213" s="3"/>
      <c r="AIG213" s="3"/>
      <c r="AIH213" s="3"/>
      <c r="AII213" s="3"/>
      <c r="AIJ213" s="3"/>
      <c r="AIK213" s="3"/>
      <c r="AIL213" s="3"/>
      <c r="AIM213" s="3"/>
      <c r="AIN213" s="3"/>
      <c r="AIO213" s="3"/>
      <c r="AIP213" s="3"/>
      <c r="AIQ213" s="3"/>
      <c r="AIR213" s="3"/>
      <c r="AIS213" s="3"/>
      <c r="AIT213" s="3"/>
      <c r="AIU213" s="3"/>
      <c r="AIV213" s="3"/>
      <c r="AIW213" s="3"/>
      <c r="AIX213" s="3"/>
      <c r="AIY213" s="3"/>
      <c r="AIZ213" s="3"/>
      <c r="AJA213" s="3"/>
      <c r="AJB213" s="3"/>
      <c r="AJC213" s="3"/>
      <c r="AJD213" s="3"/>
      <c r="AJE213" s="3"/>
      <c r="AJF213" s="3"/>
      <c r="AJG213" s="3"/>
      <c r="AJH213" s="3"/>
      <c r="AJI213" s="3"/>
      <c r="AJJ213" s="3"/>
      <c r="AJK213" s="3"/>
      <c r="AJL213" s="3"/>
      <c r="AJM213" s="3"/>
      <c r="AJN213" s="3"/>
      <c r="AJO213" s="3"/>
      <c r="AJP213" s="3"/>
      <c r="AJQ213" s="3"/>
      <c r="AJR213" s="3"/>
      <c r="AJS213" s="3"/>
      <c r="AJT213" s="3"/>
      <c r="AJU213" s="3"/>
      <c r="AJV213" s="3"/>
      <c r="AJW213" s="3"/>
      <c r="AJX213" s="3"/>
      <c r="AJY213" s="3"/>
      <c r="AJZ213" s="3"/>
      <c r="AKA213" s="3"/>
      <c r="AKB213" s="3"/>
      <c r="AKC213" s="3"/>
      <c r="AKD213" s="3"/>
      <c r="AKE213" s="3"/>
      <c r="AKF213" s="3"/>
      <c r="AKG213" s="3"/>
      <c r="AKH213" s="3"/>
      <c r="AKI213" s="3"/>
      <c r="AKJ213" s="3"/>
      <c r="AKK213" s="3"/>
      <c r="AKL213" s="3"/>
      <c r="AKM213" s="3"/>
      <c r="AKN213" s="3"/>
      <c r="AKO213" s="3"/>
      <c r="AKP213" s="3"/>
      <c r="AKQ213" s="3"/>
      <c r="AKR213" s="3"/>
      <c r="AKS213" s="3"/>
      <c r="AKT213" s="3"/>
      <c r="AKU213" s="3"/>
      <c r="AKV213" s="3"/>
      <c r="AKW213" s="3"/>
      <c r="AKX213" s="3"/>
      <c r="AKY213" s="3"/>
      <c r="AKZ213" s="3"/>
      <c r="ALA213" s="3"/>
      <c r="ALB213" s="3"/>
      <c r="ALC213" s="3"/>
      <c r="ALD213" s="3"/>
      <c r="ALE213" s="3"/>
      <c r="ALF213" s="3"/>
      <c r="ALG213" s="3"/>
      <c r="ALH213" s="3"/>
      <c r="ALI213" s="3"/>
      <c r="ALJ213" s="3"/>
      <c r="ALK213" s="3"/>
      <c r="ALL213" s="3"/>
      <c r="ALM213" s="3"/>
      <c r="ALN213" s="3"/>
      <c r="ALO213" s="3"/>
      <c r="ALP213" s="3"/>
      <c r="ALQ213" s="3"/>
      <c r="ALR213" s="3"/>
      <c r="ALS213" s="3"/>
      <c r="ALT213" s="3"/>
      <c r="ALU213" s="3"/>
      <c r="ALV213" s="3"/>
      <c r="ALW213" s="3"/>
      <c r="ALX213" s="3"/>
      <c r="ALY213" s="3"/>
      <c r="ALZ213" s="3"/>
      <c r="AMA213" s="3"/>
      <c r="AMB213" s="3"/>
      <c r="AMC213" s="3"/>
      <c r="AMD213" s="3"/>
      <c r="AME213" s="3"/>
      <c r="AMF213" s="3"/>
      <c r="AMG213" s="3"/>
      <c r="AMH213" s="3"/>
      <c r="AMI213" s="3"/>
      <c r="AMJ213" s="3"/>
      <c r="AMK213" s="3"/>
      <c r="AML213" s="3"/>
      <c r="AMM213" s="3"/>
    </row>
    <row r="214" spans="1:1027" ht="15" customHeight="1">
      <c r="A214" s="12">
        <v>884</v>
      </c>
      <c r="B214" s="13" t="s">
        <v>382</v>
      </c>
      <c r="C214" s="14"/>
      <c r="D214" s="14" t="s">
        <v>381</v>
      </c>
      <c r="E214" s="14" t="s">
        <v>215</v>
      </c>
      <c r="F214" s="15" t="s">
        <v>22</v>
      </c>
      <c r="G214" s="21"/>
      <c r="H214" s="58">
        <v>2</v>
      </c>
      <c r="I214" s="14"/>
      <c r="J214" s="14" t="s">
        <v>23</v>
      </c>
      <c r="K214" s="14"/>
      <c r="L214" s="14"/>
      <c r="M214" s="14" t="s">
        <v>29</v>
      </c>
      <c r="N214" s="25" t="s">
        <v>37</v>
      </c>
      <c r="O214" s="14" t="s">
        <v>383</v>
      </c>
      <c r="P214" s="14"/>
      <c r="Q214" s="14"/>
      <c r="R214" s="14" t="s">
        <v>158</v>
      </c>
    </row>
    <row r="215" spans="1:1027" ht="15" customHeight="1">
      <c r="A215" s="12">
        <v>1673</v>
      </c>
      <c r="B215" s="13" t="s">
        <v>384</v>
      </c>
      <c r="C215" s="14"/>
      <c r="D215" s="14" t="s">
        <v>381</v>
      </c>
      <c r="E215" s="14" t="s">
        <v>215</v>
      </c>
      <c r="F215" s="15" t="s">
        <v>22</v>
      </c>
      <c r="G215" s="14"/>
      <c r="H215" s="58">
        <v>3</v>
      </c>
      <c r="I215" s="14"/>
      <c r="J215" s="14" t="s">
        <v>23</v>
      </c>
      <c r="K215" s="14"/>
      <c r="L215" s="14"/>
      <c r="M215" s="14" t="s">
        <v>32</v>
      </c>
      <c r="N215" s="25" t="s">
        <v>37</v>
      </c>
      <c r="O215" s="14" t="s">
        <v>385</v>
      </c>
      <c r="P215" s="14"/>
      <c r="Q215" s="14"/>
      <c r="R215" s="14" t="s">
        <v>308</v>
      </c>
    </row>
    <row r="216" spans="1:1027" ht="15" customHeight="1">
      <c r="A216" s="12">
        <v>108</v>
      </c>
      <c r="B216" s="13" t="s">
        <v>386</v>
      </c>
      <c r="C216" s="14"/>
      <c r="D216" s="14" t="s">
        <v>387</v>
      </c>
      <c r="E216" s="14" t="s">
        <v>215</v>
      </c>
      <c r="F216" s="15" t="s">
        <v>22</v>
      </c>
      <c r="G216" s="14"/>
      <c r="H216" s="58"/>
      <c r="I216" s="19"/>
      <c r="J216" s="14" t="s">
        <v>23</v>
      </c>
      <c r="K216" s="15"/>
      <c r="L216" s="15"/>
      <c r="M216" s="14" t="s">
        <v>27</v>
      </c>
      <c r="N216" s="14" t="s">
        <v>25</v>
      </c>
      <c r="O216" s="22"/>
      <c r="P216" s="22"/>
      <c r="Q216" s="22"/>
      <c r="R216" s="17">
        <v>43633</v>
      </c>
      <c r="S216" s="2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  <c r="XX216" s="3"/>
      <c r="XY216" s="3"/>
      <c r="XZ216" s="3"/>
      <c r="YA216" s="3"/>
      <c r="YB216" s="3"/>
      <c r="YC216" s="3"/>
      <c r="YD216" s="3"/>
      <c r="YE216" s="3"/>
      <c r="YF216" s="3"/>
      <c r="YG216" s="3"/>
      <c r="YH216" s="3"/>
      <c r="YI216" s="3"/>
      <c r="YJ216" s="3"/>
      <c r="YK216" s="3"/>
      <c r="YL216" s="3"/>
      <c r="YM216" s="3"/>
      <c r="YN216" s="3"/>
      <c r="YO216" s="3"/>
      <c r="YP216" s="3"/>
      <c r="YQ216" s="3"/>
      <c r="YR216" s="3"/>
      <c r="YS216" s="3"/>
      <c r="YT216" s="3"/>
      <c r="YU216" s="3"/>
      <c r="YV216" s="3"/>
      <c r="YW216" s="3"/>
      <c r="YX216" s="3"/>
      <c r="YY216" s="3"/>
      <c r="YZ216" s="3"/>
      <c r="ZA216" s="3"/>
      <c r="ZB216" s="3"/>
      <c r="ZC216" s="3"/>
      <c r="ZD216" s="3"/>
      <c r="ZE216" s="3"/>
      <c r="ZF216" s="3"/>
      <c r="ZG216" s="3"/>
      <c r="ZH216" s="3"/>
      <c r="ZI216" s="3"/>
      <c r="ZJ216" s="3"/>
      <c r="ZK216" s="3"/>
      <c r="ZL216" s="3"/>
      <c r="ZM216" s="3"/>
      <c r="ZN216" s="3"/>
      <c r="ZO216" s="3"/>
      <c r="ZP216" s="3"/>
      <c r="ZQ216" s="3"/>
      <c r="ZR216" s="3"/>
      <c r="ZS216" s="3"/>
      <c r="ZT216" s="3"/>
      <c r="ZU216" s="3"/>
      <c r="ZV216" s="3"/>
      <c r="ZW216" s="3"/>
      <c r="ZX216" s="3"/>
      <c r="ZY216" s="3"/>
      <c r="ZZ216" s="3"/>
      <c r="AAA216" s="3"/>
      <c r="AAB216" s="3"/>
      <c r="AAC216" s="3"/>
      <c r="AAD216" s="3"/>
      <c r="AAE216" s="3"/>
      <c r="AAF216" s="3"/>
      <c r="AAG216" s="3"/>
      <c r="AAH216" s="3"/>
      <c r="AAI216" s="3"/>
      <c r="AAJ216" s="3"/>
      <c r="AAK216" s="3"/>
      <c r="AAL216" s="3"/>
      <c r="AAM216" s="3"/>
      <c r="AAN216" s="3"/>
      <c r="AAO216" s="3"/>
      <c r="AAP216" s="3"/>
      <c r="AAQ216" s="3"/>
      <c r="AAR216" s="3"/>
      <c r="AAS216" s="3"/>
      <c r="AAT216" s="3"/>
      <c r="AAU216" s="3"/>
      <c r="AAV216" s="3"/>
      <c r="AAW216" s="3"/>
      <c r="AAX216" s="3"/>
      <c r="AAY216" s="3"/>
      <c r="AAZ216" s="3"/>
      <c r="ABA216" s="3"/>
      <c r="ABB216" s="3"/>
      <c r="ABC216" s="3"/>
      <c r="ABD216" s="3"/>
      <c r="ABE216" s="3"/>
      <c r="ABF216" s="3"/>
      <c r="ABG216" s="3"/>
      <c r="ABH216" s="3"/>
      <c r="ABI216" s="3"/>
      <c r="ABJ216" s="3"/>
      <c r="ABK216" s="3"/>
      <c r="ABL216" s="3"/>
      <c r="ABM216" s="3"/>
      <c r="ABN216" s="3"/>
      <c r="ABO216" s="3"/>
      <c r="ABP216" s="3"/>
      <c r="ABQ216" s="3"/>
      <c r="ABR216" s="3"/>
      <c r="ABS216" s="3"/>
      <c r="ABT216" s="3"/>
      <c r="ABU216" s="3"/>
      <c r="ABV216" s="3"/>
      <c r="ABW216" s="3"/>
      <c r="ABX216" s="3"/>
      <c r="ABY216" s="3"/>
      <c r="ABZ216" s="3"/>
      <c r="ACA216" s="3"/>
      <c r="ACB216" s="3"/>
      <c r="ACC216" s="3"/>
      <c r="ACD216" s="3"/>
      <c r="ACE216" s="3"/>
      <c r="ACF216" s="3"/>
      <c r="ACG216" s="3"/>
      <c r="ACH216" s="3"/>
      <c r="ACI216" s="3"/>
      <c r="ACJ216" s="3"/>
      <c r="ACK216" s="3"/>
      <c r="ACL216" s="3"/>
      <c r="ACM216" s="3"/>
      <c r="ACN216" s="3"/>
      <c r="ACO216" s="3"/>
      <c r="ACP216" s="3"/>
      <c r="ACQ216" s="3"/>
      <c r="ACR216" s="3"/>
      <c r="ACS216" s="3"/>
      <c r="ACT216" s="3"/>
      <c r="ACU216" s="3"/>
      <c r="ACV216" s="3"/>
      <c r="ACW216" s="3"/>
      <c r="ACX216" s="3"/>
      <c r="ACY216" s="3"/>
      <c r="ACZ216" s="3"/>
      <c r="ADA216" s="3"/>
      <c r="ADB216" s="3"/>
      <c r="ADC216" s="3"/>
      <c r="ADD216" s="3"/>
      <c r="ADE216" s="3"/>
      <c r="ADF216" s="3"/>
      <c r="ADG216" s="3"/>
      <c r="ADH216" s="3"/>
      <c r="ADI216" s="3"/>
      <c r="ADJ216" s="3"/>
      <c r="ADK216" s="3"/>
      <c r="ADL216" s="3"/>
      <c r="ADM216" s="3"/>
      <c r="ADN216" s="3"/>
      <c r="ADO216" s="3"/>
      <c r="ADP216" s="3"/>
      <c r="ADQ216" s="3"/>
      <c r="ADR216" s="3"/>
      <c r="ADS216" s="3"/>
      <c r="ADT216" s="3"/>
      <c r="ADU216" s="3"/>
      <c r="ADV216" s="3"/>
      <c r="ADW216" s="3"/>
      <c r="ADX216" s="3"/>
      <c r="ADY216" s="3"/>
      <c r="ADZ216" s="3"/>
      <c r="AEA216" s="3"/>
      <c r="AEB216" s="3"/>
      <c r="AEC216" s="3"/>
      <c r="AED216" s="3"/>
      <c r="AEE216" s="3"/>
      <c r="AEF216" s="3"/>
      <c r="AEG216" s="3"/>
      <c r="AEH216" s="3"/>
      <c r="AEI216" s="3"/>
      <c r="AEJ216" s="3"/>
      <c r="AEK216" s="3"/>
      <c r="AEL216" s="3"/>
      <c r="AEM216" s="3"/>
      <c r="AEN216" s="3"/>
      <c r="AEO216" s="3"/>
      <c r="AEP216" s="3"/>
      <c r="AEQ216" s="3"/>
      <c r="AER216" s="3"/>
      <c r="AES216" s="3"/>
      <c r="AET216" s="3"/>
      <c r="AEU216" s="3"/>
      <c r="AEV216" s="3"/>
      <c r="AEW216" s="3"/>
      <c r="AEX216" s="3"/>
      <c r="AEY216" s="3"/>
      <c r="AEZ216" s="3"/>
      <c r="AFA216" s="3"/>
      <c r="AFB216" s="3"/>
      <c r="AFC216" s="3"/>
      <c r="AFD216" s="3"/>
      <c r="AFE216" s="3"/>
      <c r="AFF216" s="3"/>
      <c r="AFG216" s="3"/>
      <c r="AFH216" s="3"/>
      <c r="AFI216" s="3"/>
      <c r="AFJ216" s="3"/>
      <c r="AFK216" s="3"/>
      <c r="AFL216" s="3"/>
      <c r="AFM216" s="3"/>
      <c r="AFN216" s="3"/>
      <c r="AFO216" s="3"/>
      <c r="AFP216" s="3"/>
      <c r="AFQ216" s="3"/>
      <c r="AFR216" s="3"/>
      <c r="AFS216" s="3"/>
      <c r="AFT216" s="3"/>
      <c r="AFU216" s="3"/>
      <c r="AFV216" s="3"/>
      <c r="AFW216" s="3"/>
      <c r="AFX216" s="3"/>
      <c r="AFY216" s="3"/>
      <c r="AFZ216" s="3"/>
      <c r="AGA216" s="3"/>
      <c r="AGB216" s="3"/>
      <c r="AGC216" s="3"/>
      <c r="AGD216" s="3"/>
      <c r="AGE216" s="3"/>
      <c r="AGF216" s="3"/>
      <c r="AGG216" s="3"/>
      <c r="AGH216" s="3"/>
      <c r="AGI216" s="3"/>
      <c r="AGJ216" s="3"/>
      <c r="AGK216" s="3"/>
      <c r="AGL216" s="3"/>
      <c r="AGM216" s="3"/>
      <c r="AGN216" s="3"/>
      <c r="AGO216" s="3"/>
      <c r="AGP216" s="3"/>
      <c r="AGQ216" s="3"/>
      <c r="AGR216" s="3"/>
      <c r="AGS216" s="3"/>
      <c r="AGT216" s="3"/>
      <c r="AGU216" s="3"/>
      <c r="AGV216" s="3"/>
      <c r="AGW216" s="3"/>
      <c r="AGX216" s="3"/>
      <c r="AGY216" s="3"/>
      <c r="AGZ216" s="3"/>
      <c r="AHA216" s="3"/>
      <c r="AHB216" s="3"/>
      <c r="AHC216" s="3"/>
      <c r="AHD216" s="3"/>
      <c r="AHE216" s="3"/>
      <c r="AHF216" s="3"/>
      <c r="AHG216" s="3"/>
      <c r="AHH216" s="3"/>
      <c r="AHI216" s="3"/>
      <c r="AHJ216" s="3"/>
      <c r="AHK216" s="3"/>
      <c r="AHL216" s="3"/>
      <c r="AHM216" s="3"/>
      <c r="AHN216" s="3"/>
      <c r="AHO216" s="3"/>
      <c r="AHP216" s="3"/>
      <c r="AHQ216" s="3"/>
      <c r="AHR216" s="3"/>
      <c r="AHS216" s="3"/>
      <c r="AHT216" s="3"/>
      <c r="AHU216" s="3"/>
      <c r="AHV216" s="3"/>
      <c r="AHW216" s="3"/>
      <c r="AHX216" s="3"/>
      <c r="AHY216" s="3"/>
      <c r="AHZ216" s="3"/>
      <c r="AIA216" s="3"/>
      <c r="AIB216" s="3"/>
      <c r="AIC216" s="3"/>
      <c r="AID216" s="3"/>
      <c r="AIE216" s="3"/>
      <c r="AIF216" s="3"/>
      <c r="AIG216" s="3"/>
      <c r="AIH216" s="3"/>
      <c r="AII216" s="3"/>
      <c r="AIJ216" s="3"/>
      <c r="AIK216" s="3"/>
      <c r="AIL216" s="3"/>
      <c r="AIM216" s="3"/>
      <c r="AIN216" s="3"/>
      <c r="AIO216" s="3"/>
      <c r="AIP216" s="3"/>
      <c r="AIQ216" s="3"/>
      <c r="AIR216" s="3"/>
      <c r="AIS216" s="3"/>
      <c r="AIT216" s="3"/>
      <c r="AIU216" s="3"/>
      <c r="AIV216" s="3"/>
      <c r="AIW216" s="3"/>
      <c r="AIX216" s="3"/>
      <c r="AIY216" s="3"/>
      <c r="AIZ216" s="3"/>
      <c r="AJA216" s="3"/>
      <c r="AJB216" s="3"/>
      <c r="AJC216" s="3"/>
      <c r="AJD216" s="3"/>
      <c r="AJE216" s="3"/>
      <c r="AJF216" s="3"/>
      <c r="AJG216" s="3"/>
      <c r="AJH216" s="3"/>
      <c r="AJI216" s="3"/>
      <c r="AJJ216" s="3"/>
      <c r="AJK216" s="3"/>
      <c r="AJL216" s="3"/>
      <c r="AJM216" s="3"/>
      <c r="AJN216" s="3"/>
      <c r="AJO216" s="3"/>
      <c r="AJP216" s="3"/>
      <c r="AJQ216" s="3"/>
      <c r="AJR216" s="3"/>
      <c r="AJS216" s="3"/>
      <c r="AJT216" s="3"/>
      <c r="AJU216" s="3"/>
      <c r="AJV216" s="3"/>
      <c r="AJW216" s="3"/>
      <c r="AJX216" s="3"/>
      <c r="AJY216" s="3"/>
      <c r="AJZ216" s="3"/>
      <c r="AKA216" s="3"/>
      <c r="AKB216" s="3"/>
      <c r="AKC216" s="3"/>
      <c r="AKD216" s="3"/>
      <c r="AKE216" s="3"/>
      <c r="AKF216" s="3"/>
      <c r="AKG216" s="3"/>
      <c r="AKH216" s="3"/>
      <c r="AKI216" s="3"/>
      <c r="AKJ216" s="3"/>
      <c r="AKK216" s="3"/>
      <c r="AKL216" s="3"/>
      <c r="AKM216" s="3"/>
      <c r="AKN216" s="3"/>
      <c r="AKO216" s="3"/>
      <c r="AKP216" s="3"/>
      <c r="AKQ216" s="3"/>
      <c r="AKR216" s="3"/>
      <c r="AKS216" s="3"/>
      <c r="AKT216" s="3"/>
      <c r="AKU216" s="3"/>
      <c r="AKV216" s="3"/>
      <c r="AKW216" s="3"/>
      <c r="AKX216" s="3"/>
      <c r="AKY216" s="3"/>
      <c r="AKZ216" s="3"/>
      <c r="ALA216" s="3"/>
      <c r="ALB216" s="3"/>
      <c r="ALC216" s="3"/>
      <c r="ALD216" s="3"/>
      <c r="ALE216" s="3"/>
      <c r="ALF216" s="3"/>
      <c r="ALG216" s="3"/>
      <c r="ALH216" s="3"/>
      <c r="ALI216" s="3"/>
      <c r="ALJ216" s="3"/>
      <c r="ALK216" s="3"/>
      <c r="ALL216" s="3"/>
      <c r="ALM216" s="3"/>
      <c r="ALN216" s="3"/>
      <c r="ALO216" s="3"/>
      <c r="ALP216" s="3"/>
      <c r="ALQ216" s="3"/>
      <c r="ALR216" s="3"/>
      <c r="ALS216" s="3"/>
      <c r="ALT216" s="3"/>
      <c r="ALU216" s="3"/>
      <c r="ALV216" s="3"/>
      <c r="ALW216" s="3"/>
      <c r="ALX216" s="3"/>
      <c r="ALY216" s="3"/>
      <c r="ALZ216" s="3"/>
      <c r="AMA216" s="3"/>
      <c r="AMB216" s="3"/>
      <c r="AMC216" s="3"/>
      <c r="AMD216" s="3"/>
      <c r="AME216" s="3"/>
      <c r="AMF216" s="3"/>
      <c r="AMG216" s="3"/>
      <c r="AMH216" s="3"/>
      <c r="AMI216" s="3"/>
      <c r="AMJ216" s="3"/>
      <c r="AMK216" s="3"/>
      <c r="AML216" s="3"/>
      <c r="AMM216" s="3"/>
    </row>
    <row r="217" spans="1:1027" ht="15" customHeight="1">
      <c r="A217" s="12">
        <v>885</v>
      </c>
      <c r="B217" s="13" t="s">
        <v>388</v>
      </c>
      <c r="C217" s="14"/>
      <c r="D217" s="14" t="s">
        <v>387</v>
      </c>
      <c r="E217" s="14" t="s">
        <v>215</v>
      </c>
      <c r="F217" s="15" t="s">
        <v>22</v>
      </c>
      <c r="G217" s="21"/>
      <c r="H217" s="58">
        <v>3</v>
      </c>
      <c r="I217" s="14"/>
      <c r="J217" s="14" t="s">
        <v>23</v>
      </c>
      <c r="K217" s="14"/>
      <c r="L217" s="14"/>
      <c r="M217" s="14" t="s">
        <v>29</v>
      </c>
      <c r="N217" s="25" t="s">
        <v>37</v>
      </c>
      <c r="O217" s="14" t="s">
        <v>389</v>
      </c>
      <c r="P217" s="14"/>
      <c r="Q217" s="14"/>
      <c r="R217" s="14" t="s">
        <v>158</v>
      </c>
    </row>
    <row r="218" spans="1:1027" ht="15" customHeight="1">
      <c r="A218" s="12">
        <v>1674</v>
      </c>
      <c r="B218" s="13" t="s">
        <v>390</v>
      </c>
      <c r="C218" s="14"/>
      <c r="D218" s="14" t="s">
        <v>387</v>
      </c>
      <c r="E218" s="14" t="s">
        <v>215</v>
      </c>
      <c r="F218" s="15" t="s">
        <v>22</v>
      </c>
      <c r="G218" s="14"/>
      <c r="H218" s="58">
        <v>3</v>
      </c>
      <c r="I218" s="14"/>
      <c r="J218" s="14" t="s">
        <v>23</v>
      </c>
      <c r="K218" s="14"/>
      <c r="L218" s="14"/>
      <c r="M218" s="14" t="s">
        <v>32</v>
      </c>
      <c r="N218" s="25" t="s">
        <v>37</v>
      </c>
      <c r="O218" s="14" t="s">
        <v>391</v>
      </c>
      <c r="P218" s="14"/>
      <c r="Q218" s="14"/>
      <c r="R218" s="14" t="s">
        <v>308</v>
      </c>
    </row>
    <row r="219" spans="1:1027" ht="15" customHeight="1">
      <c r="A219" s="12">
        <v>109</v>
      </c>
      <c r="B219" s="13" t="s">
        <v>392</v>
      </c>
      <c r="C219" s="14"/>
      <c r="D219" s="14" t="s">
        <v>393</v>
      </c>
      <c r="E219" s="14" t="s">
        <v>21</v>
      </c>
      <c r="F219" s="15" t="s">
        <v>22</v>
      </c>
      <c r="G219" s="14"/>
      <c r="H219" s="58"/>
      <c r="I219" s="19"/>
      <c r="J219" s="14" t="s">
        <v>23</v>
      </c>
      <c r="K219" s="15"/>
      <c r="L219" s="15"/>
      <c r="M219" s="14" t="s">
        <v>27</v>
      </c>
      <c r="N219" s="14" t="s">
        <v>25</v>
      </c>
      <c r="O219" s="22"/>
      <c r="P219" s="22"/>
      <c r="Q219" s="22"/>
      <c r="R219" s="17">
        <v>43633</v>
      </c>
      <c r="S219" s="2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WR219" s="3"/>
      <c r="WS219" s="3"/>
      <c r="WT219" s="3"/>
      <c r="WU219" s="3"/>
      <c r="WV219" s="3"/>
      <c r="WW219" s="3"/>
      <c r="WX219" s="3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3"/>
      <c r="XO219" s="3"/>
      <c r="XP219" s="3"/>
      <c r="XQ219" s="3"/>
      <c r="XR219" s="3"/>
      <c r="XS219" s="3"/>
      <c r="XT219" s="3"/>
      <c r="XU219" s="3"/>
      <c r="XV219" s="3"/>
      <c r="XW219" s="3"/>
      <c r="XX219" s="3"/>
      <c r="XY219" s="3"/>
      <c r="XZ219" s="3"/>
      <c r="YA219" s="3"/>
      <c r="YB219" s="3"/>
      <c r="YC219" s="3"/>
      <c r="YD219" s="3"/>
      <c r="YE219" s="3"/>
      <c r="YF219" s="3"/>
      <c r="YG219" s="3"/>
      <c r="YH219" s="3"/>
      <c r="YI219" s="3"/>
      <c r="YJ219" s="3"/>
      <c r="YK219" s="3"/>
      <c r="YL219" s="3"/>
      <c r="YM219" s="3"/>
      <c r="YN219" s="3"/>
      <c r="YO219" s="3"/>
      <c r="YP219" s="3"/>
      <c r="YQ219" s="3"/>
      <c r="YR219" s="3"/>
      <c r="YS219" s="3"/>
      <c r="YT219" s="3"/>
      <c r="YU219" s="3"/>
      <c r="YV219" s="3"/>
      <c r="YW219" s="3"/>
      <c r="YX219" s="3"/>
      <c r="YY219" s="3"/>
      <c r="YZ219" s="3"/>
      <c r="ZA219" s="3"/>
      <c r="ZB219" s="3"/>
      <c r="ZC219" s="3"/>
      <c r="ZD219" s="3"/>
      <c r="ZE219" s="3"/>
      <c r="ZF219" s="3"/>
      <c r="ZG219" s="3"/>
      <c r="ZH219" s="3"/>
      <c r="ZI219" s="3"/>
      <c r="ZJ219" s="3"/>
      <c r="ZK219" s="3"/>
      <c r="ZL219" s="3"/>
      <c r="ZM219" s="3"/>
      <c r="ZN219" s="3"/>
      <c r="ZO219" s="3"/>
      <c r="ZP219" s="3"/>
      <c r="ZQ219" s="3"/>
      <c r="ZR219" s="3"/>
      <c r="ZS219" s="3"/>
      <c r="ZT219" s="3"/>
      <c r="ZU219" s="3"/>
      <c r="ZV219" s="3"/>
      <c r="ZW219" s="3"/>
      <c r="ZX219" s="3"/>
      <c r="ZY219" s="3"/>
      <c r="ZZ219" s="3"/>
      <c r="AAA219" s="3"/>
      <c r="AAB219" s="3"/>
      <c r="AAC219" s="3"/>
      <c r="AAD219" s="3"/>
      <c r="AAE219" s="3"/>
      <c r="AAF219" s="3"/>
      <c r="AAG219" s="3"/>
      <c r="AAH219" s="3"/>
      <c r="AAI219" s="3"/>
      <c r="AAJ219" s="3"/>
      <c r="AAK219" s="3"/>
      <c r="AAL219" s="3"/>
      <c r="AAM219" s="3"/>
      <c r="AAN219" s="3"/>
      <c r="AAO219" s="3"/>
      <c r="AAP219" s="3"/>
      <c r="AAQ219" s="3"/>
      <c r="AAR219" s="3"/>
      <c r="AAS219" s="3"/>
      <c r="AAT219" s="3"/>
      <c r="AAU219" s="3"/>
      <c r="AAV219" s="3"/>
      <c r="AAW219" s="3"/>
      <c r="AAX219" s="3"/>
      <c r="AAY219" s="3"/>
      <c r="AAZ219" s="3"/>
      <c r="ABA219" s="3"/>
      <c r="ABB219" s="3"/>
      <c r="ABC219" s="3"/>
      <c r="ABD219" s="3"/>
      <c r="ABE219" s="3"/>
      <c r="ABF219" s="3"/>
      <c r="ABG219" s="3"/>
      <c r="ABH219" s="3"/>
      <c r="ABI219" s="3"/>
      <c r="ABJ219" s="3"/>
      <c r="ABK219" s="3"/>
      <c r="ABL219" s="3"/>
      <c r="ABM219" s="3"/>
      <c r="ABN219" s="3"/>
      <c r="ABO219" s="3"/>
      <c r="ABP219" s="3"/>
      <c r="ABQ219" s="3"/>
      <c r="ABR219" s="3"/>
      <c r="ABS219" s="3"/>
      <c r="ABT219" s="3"/>
      <c r="ABU219" s="3"/>
      <c r="ABV219" s="3"/>
      <c r="ABW219" s="3"/>
      <c r="ABX219" s="3"/>
      <c r="ABY219" s="3"/>
      <c r="ABZ219" s="3"/>
      <c r="ACA219" s="3"/>
      <c r="ACB219" s="3"/>
      <c r="ACC219" s="3"/>
      <c r="ACD219" s="3"/>
      <c r="ACE219" s="3"/>
      <c r="ACF219" s="3"/>
      <c r="ACG219" s="3"/>
      <c r="ACH219" s="3"/>
      <c r="ACI219" s="3"/>
      <c r="ACJ219" s="3"/>
      <c r="ACK219" s="3"/>
      <c r="ACL219" s="3"/>
      <c r="ACM219" s="3"/>
      <c r="ACN219" s="3"/>
      <c r="ACO219" s="3"/>
      <c r="ACP219" s="3"/>
      <c r="ACQ219" s="3"/>
      <c r="ACR219" s="3"/>
      <c r="ACS219" s="3"/>
      <c r="ACT219" s="3"/>
      <c r="ACU219" s="3"/>
      <c r="ACV219" s="3"/>
      <c r="ACW219" s="3"/>
      <c r="ACX219" s="3"/>
      <c r="ACY219" s="3"/>
      <c r="ACZ219" s="3"/>
      <c r="ADA219" s="3"/>
      <c r="ADB219" s="3"/>
      <c r="ADC219" s="3"/>
      <c r="ADD219" s="3"/>
      <c r="ADE219" s="3"/>
      <c r="ADF219" s="3"/>
      <c r="ADG219" s="3"/>
      <c r="ADH219" s="3"/>
      <c r="ADI219" s="3"/>
      <c r="ADJ219" s="3"/>
      <c r="ADK219" s="3"/>
      <c r="ADL219" s="3"/>
      <c r="ADM219" s="3"/>
      <c r="ADN219" s="3"/>
      <c r="ADO219" s="3"/>
      <c r="ADP219" s="3"/>
      <c r="ADQ219" s="3"/>
      <c r="ADR219" s="3"/>
      <c r="ADS219" s="3"/>
      <c r="ADT219" s="3"/>
      <c r="ADU219" s="3"/>
      <c r="ADV219" s="3"/>
      <c r="ADW219" s="3"/>
      <c r="ADX219" s="3"/>
      <c r="ADY219" s="3"/>
      <c r="ADZ219" s="3"/>
      <c r="AEA219" s="3"/>
      <c r="AEB219" s="3"/>
      <c r="AEC219" s="3"/>
      <c r="AED219" s="3"/>
      <c r="AEE219" s="3"/>
      <c r="AEF219" s="3"/>
      <c r="AEG219" s="3"/>
      <c r="AEH219" s="3"/>
      <c r="AEI219" s="3"/>
      <c r="AEJ219" s="3"/>
      <c r="AEK219" s="3"/>
      <c r="AEL219" s="3"/>
      <c r="AEM219" s="3"/>
      <c r="AEN219" s="3"/>
      <c r="AEO219" s="3"/>
      <c r="AEP219" s="3"/>
      <c r="AEQ219" s="3"/>
      <c r="AER219" s="3"/>
      <c r="AES219" s="3"/>
      <c r="AET219" s="3"/>
      <c r="AEU219" s="3"/>
      <c r="AEV219" s="3"/>
      <c r="AEW219" s="3"/>
      <c r="AEX219" s="3"/>
      <c r="AEY219" s="3"/>
      <c r="AEZ219" s="3"/>
      <c r="AFA219" s="3"/>
      <c r="AFB219" s="3"/>
      <c r="AFC219" s="3"/>
      <c r="AFD219" s="3"/>
      <c r="AFE219" s="3"/>
      <c r="AFF219" s="3"/>
      <c r="AFG219" s="3"/>
      <c r="AFH219" s="3"/>
      <c r="AFI219" s="3"/>
      <c r="AFJ219" s="3"/>
      <c r="AFK219" s="3"/>
      <c r="AFL219" s="3"/>
      <c r="AFM219" s="3"/>
      <c r="AFN219" s="3"/>
      <c r="AFO219" s="3"/>
      <c r="AFP219" s="3"/>
      <c r="AFQ219" s="3"/>
      <c r="AFR219" s="3"/>
      <c r="AFS219" s="3"/>
      <c r="AFT219" s="3"/>
      <c r="AFU219" s="3"/>
      <c r="AFV219" s="3"/>
      <c r="AFW219" s="3"/>
      <c r="AFX219" s="3"/>
      <c r="AFY219" s="3"/>
      <c r="AFZ219" s="3"/>
      <c r="AGA219" s="3"/>
      <c r="AGB219" s="3"/>
      <c r="AGC219" s="3"/>
      <c r="AGD219" s="3"/>
      <c r="AGE219" s="3"/>
      <c r="AGF219" s="3"/>
      <c r="AGG219" s="3"/>
      <c r="AGH219" s="3"/>
      <c r="AGI219" s="3"/>
      <c r="AGJ219" s="3"/>
      <c r="AGK219" s="3"/>
      <c r="AGL219" s="3"/>
      <c r="AGM219" s="3"/>
      <c r="AGN219" s="3"/>
      <c r="AGO219" s="3"/>
      <c r="AGP219" s="3"/>
      <c r="AGQ219" s="3"/>
      <c r="AGR219" s="3"/>
      <c r="AGS219" s="3"/>
      <c r="AGT219" s="3"/>
      <c r="AGU219" s="3"/>
      <c r="AGV219" s="3"/>
      <c r="AGW219" s="3"/>
      <c r="AGX219" s="3"/>
      <c r="AGY219" s="3"/>
      <c r="AGZ219" s="3"/>
      <c r="AHA219" s="3"/>
      <c r="AHB219" s="3"/>
      <c r="AHC219" s="3"/>
      <c r="AHD219" s="3"/>
      <c r="AHE219" s="3"/>
      <c r="AHF219" s="3"/>
      <c r="AHG219" s="3"/>
      <c r="AHH219" s="3"/>
      <c r="AHI219" s="3"/>
      <c r="AHJ219" s="3"/>
      <c r="AHK219" s="3"/>
      <c r="AHL219" s="3"/>
      <c r="AHM219" s="3"/>
      <c r="AHN219" s="3"/>
      <c r="AHO219" s="3"/>
      <c r="AHP219" s="3"/>
      <c r="AHQ219" s="3"/>
      <c r="AHR219" s="3"/>
      <c r="AHS219" s="3"/>
      <c r="AHT219" s="3"/>
      <c r="AHU219" s="3"/>
      <c r="AHV219" s="3"/>
      <c r="AHW219" s="3"/>
      <c r="AHX219" s="3"/>
      <c r="AHY219" s="3"/>
      <c r="AHZ219" s="3"/>
      <c r="AIA219" s="3"/>
      <c r="AIB219" s="3"/>
      <c r="AIC219" s="3"/>
      <c r="AID219" s="3"/>
      <c r="AIE219" s="3"/>
      <c r="AIF219" s="3"/>
      <c r="AIG219" s="3"/>
      <c r="AIH219" s="3"/>
      <c r="AII219" s="3"/>
      <c r="AIJ219" s="3"/>
      <c r="AIK219" s="3"/>
      <c r="AIL219" s="3"/>
      <c r="AIM219" s="3"/>
      <c r="AIN219" s="3"/>
      <c r="AIO219" s="3"/>
      <c r="AIP219" s="3"/>
      <c r="AIQ219" s="3"/>
      <c r="AIR219" s="3"/>
      <c r="AIS219" s="3"/>
      <c r="AIT219" s="3"/>
      <c r="AIU219" s="3"/>
      <c r="AIV219" s="3"/>
      <c r="AIW219" s="3"/>
      <c r="AIX219" s="3"/>
      <c r="AIY219" s="3"/>
      <c r="AIZ219" s="3"/>
      <c r="AJA219" s="3"/>
      <c r="AJB219" s="3"/>
      <c r="AJC219" s="3"/>
      <c r="AJD219" s="3"/>
      <c r="AJE219" s="3"/>
      <c r="AJF219" s="3"/>
      <c r="AJG219" s="3"/>
      <c r="AJH219" s="3"/>
      <c r="AJI219" s="3"/>
      <c r="AJJ219" s="3"/>
      <c r="AJK219" s="3"/>
      <c r="AJL219" s="3"/>
      <c r="AJM219" s="3"/>
      <c r="AJN219" s="3"/>
      <c r="AJO219" s="3"/>
      <c r="AJP219" s="3"/>
      <c r="AJQ219" s="3"/>
      <c r="AJR219" s="3"/>
      <c r="AJS219" s="3"/>
      <c r="AJT219" s="3"/>
      <c r="AJU219" s="3"/>
      <c r="AJV219" s="3"/>
      <c r="AJW219" s="3"/>
      <c r="AJX219" s="3"/>
      <c r="AJY219" s="3"/>
      <c r="AJZ219" s="3"/>
      <c r="AKA219" s="3"/>
      <c r="AKB219" s="3"/>
      <c r="AKC219" s="3"/>
      <c r="AKD219" s="3"/>
      <c r="AKE219" s="3"/>
      <c r="AKF219" s="3"/>
      <c r="AKG219" s="3"/>
      <c r="AKH219" s="3"/>
      <c r="AKI219" s="3"/>
      <c r="AKJ219" s="3"/>
      <c r="AKK219" s="3"/>
      <c r="AKL219" s="3"/>
      <c r="AKM219" s="3"/>
      <c r="AKN219" s="3"/>
      <c r="AKO219" s="3"/>
      <c r="AKP219" s="3"/>
      <c r="AKQ219" s="3"/>
      <c r="AKR219" s="3"/>
      <c r="AKS219" s="3"/>
      <c r="AKT219" s="3"/>
      <c r="AKU219" s="3"/>
      <c r="AKV219" s="3"/>
      <c r="AKW219" s="3"/>
      <c r="AKX219" s="3"/>
      <c r="AKY219" s="3"/>
      <c r="AKZ219" s="3"/>
      <c r="ALA219" s="3"/>
      <c r="ALB219" s="3"/>
      <c r="ALC219" s="3"/>
      <c r="ALD219" s="3"/>
      <c r="ALE219" s="3"/>
      <c r="ALF219" s="3"/>
      <c r="ALG219" s="3"/>
      <c r="ALH219" s="3"/>
      <c r="ALI219" s="3"/>
      <c r="ALJ219" s="3"/>
      <c r="ALK219" s="3"/>
      <c r="ALL219" s="3"/>
      <c r="ALM219" s="3"/>
      <c r="ALN219" s="3"/>
      <c r="ALO219" s="3"/>
      <c r="ALP219" s="3"/>
      <c r="ALQ219" s="3"/>
      <c r="ALR219" s="3"/>
      <c r="ALS219" s="3"/>
      <c r="ALT219" s="3"/>
      <c r="ALU219" s="3"/>
      <c r="ALV219" s="3"/>
      <c r="ALW219" s="3"/>
      <c r="ALX219" s="3"/>
      <c r="ALY219" s="3"/>
      <c r="ALZ219" s="3"/>
      <c r="AMA219" s="3"/>
      <c r="AMB219" s="3"/>
      <c r="AMC219" s="3"/>
      <c r="AMD219" s="3"/>
      <c r="AME219" s="3"/>
      <c r="AMF219" s="3"/>
      <c r="AMG219" s="3"/>
      <c r="AMH219" s="3"/>
      <c r="AMI219" s="3"/>
      <c r="AMJ219" s="3"/>
      <c r="AMK219" s="3"/>
      <c r="AML219" s="3"/>
      <c r="AMM219" s="3"/>
    </row>
    <row r="220" spans="1:1027" ht="15" customHeight="1">
      <c r="A220" s="12">
        <v>886</v>
      </c>
      <c r="B220" s="13" t="s">
        <v>394</v>
      </c>
      <c r="C220" s="14"/>
      <c r="D220" s="14" t="s">
        <v>393</v>
      </c>
      <c r="E220" s="14" t="s">
        <v>21</v>
      </c>
      <c r="F220" s="15" t="s">
        <v>22</v>
      </c>
      <c r="G220" s="21"/>
      <c r="H220" s="58"/>
      <c r="I220" s="14"/>
      <c r="J220" s="14" t="s">
        <v>23</v>
      </c>
      <c r="K220" s="14"/>
      <c r="L220" s="14"/>
      <c r="M220" s="14" t="s">
        <v>29</v>
      </c>
      <c r="N220" s="14" t="s">
        <v>25</v>
      </c>
      <c r="O220" s="14"/>
      <c r="P220" s="14"/>
      <c r="Q220" s="14"/>
      <c r="R220" s="14" t="s">
        <v>158</v>
      </c>
    </row>
    <row r="221" spans="1:1027" ht="15" customHeight="1">
      <c r="A221" s="12">
        <v>1675</v>
      </c>
      <c r="B221" s="13" t="s">
        <v>395</v>
      </c>
      <c r="C221" s="14"/>
      <c r="D221" s="14" t="s">
        <v>393</v>
      </c>
      <c r="E221" s="14" t="s">
        <v>21</v>
      </c>
      <c r="F221" s="15" t="s">
        <v>22</v>
      </c>
      <c r="G221" s="14"/>
      <c r="H221" s="58">
        <v>0</v>
      </c>
      <c r="I221" s="14"/>
      <c r="J221" s="14" t="s">
        <v>23</v>
      </c>
      <c r="K221" s="14"/>
      <c r="L221" s="14"/>
      <c r="M221" s="14" t="s">
        <v>32</v>
      </c>
      <c r="N221" s="14" t="s">
        <v>25</v>
      </c>
      <c r="O221" s="14"/>
      <c r="P221" s="14"/>
      <c r="Q221" s="14"/>
      <c r="R221" s="14" t="s">
        <v>308</v>
      </c>
    </row>
    <row r="222" spans="1:1027" ht="15" customHeight="1">
      <c r="A222" s="12">
        <v>37</v>
      </c>
      <c r="B222" s="13" t="s">
        <v>396</v>
      </c>
      <c r="C222" s="14"/>
      <c r="D222" s="14" t="s">
        <v>397</v>
      </c>
      <c r="E222" s="14" t="s">
        <v>172</v>
      </c>
      <c r="F222" s="15" t="s">
        <v>22</v>
      </c>
      <c r="G222" s="14"/>
      <c r="H222" s="58"/>
      <c r="I222" s="14"/>
      <c r="J222" s="14" t="s">
        <v>23</v>
      </c>
      <c r="K222" s="15"/>
      <c r="L222" s="15"/>
      <c r="M222" s="14" t="s">
        <v>24</v>
      </c>
      <c r="N222" s="14" t="s">
        <v>25</v>
      </c>
      <c r="O222" s="14"/>
      <c r="P222" s="14"/>
      <c r="Q222" s="14"/>
      <c r="R222" s="17">
        <v>43599</v>
      </c>
      <c r="S222" s="12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3"/>
      <c r="XG222" s="3"/>
      <c r="XH222" s="3"/>
      <c r="XI222" s="3"/>
      <c r="XJ222" s="3"/>
      <c r="XK222" s="3"/>
      <c r="XL222" s="3"/>
      <c r="XM222" s="3"/>
      <c r="XN222" s="3"/>
      <c r="XO222" s="3"/>
      <c r="XP222" s="3"/>
      <c r="XQ222" s="3"/>
      <c r="XR222" s="3"/>
      <c r="XS222" s="3"/>
      <c r="XT222" s="3"/>
      <c r="XU222" s="3"/>
      <c r="XV222" s="3"/>
      <c r="XW222" s="3"/>
      <c r="XX222" s="3"/>
      <c r="XY222" s="3"/>
      <c r="XZ222" s="3"/>
      <c r="YA222" s="3"/>
      <c r="YB222" s="3"/>
      <c r="YC222" s="3"/>
      <c r="YD222" s="3"/>
      <c r="YE222" s="3"/>
      <c r="YF222" s="3"/>
      <c r="YG222" s="3"/>
      <c r="YH222" s="3"/>
      <c r="YI222" s="3"/>
      <c r="YJ222" s="3"/>
      <c r="YK222" s="3"/>
      <c r="YL222" s="3"/>
      <c r="YM222" s="3"/>
      <c r="YN222" s="3"/>
      <c r="YO222" s="3"/>
      <c r="YP222" s="3"/>
      <c r="YQ222" s="3"/>
      <c r="YR222" s="3"/>
      <c r="YS222" s="3"/>
      <c r="YT222" s="3"/>
      <c r="YU222" s="3"/>
      <c r="YV222" s="3"/>
      <c r="YW222" s="3"/>
      <c r="YX222" s="3"/>
      <c r="YY222" s="3"/>
      <c r="YZ222" s="3"/>
      <c r="ZA222" s="3"/>
      <c r="ZB222" s="3"/>
      <c r="ZC222" s="3"/>
      <c r="ZD222" s="3"/>
      <c r="ZE222" s="3"/>
      <c r="ZF222" s="3"/>
      <c r="ZG222" s="3"/>
      <c r="ZH222" s="3"/>
      <c r="ZI222" s="3"/>
      <c r="ZJ222" s="3"/>
      <c r="ZK222" s="3"/>
      <c r="ZL222" s="3"/>
      <c r="ZM222" s="3"/>
      <c r="ZN222" s="3"/>
      <c r="ZO222" s="3"/>
      <c r="ZP222" s="3"/>
      <c r="ZQ222" s="3"/>
      <c r="ZR222" s="3"/>
      <c r="ZS222" s="3"/>
      <c r="ZT222" s="3"/>
      <c r="ZU222" s="3"/>
      <c r="ZV222" s="3"/>
      <c r="ZW222" s="3"/>
      <c r="ZX222" s="3"/>
      <c r="ZY222" s="3"/>
      <c r="ZZ222" s="3"/>
      <c r="AAA222" s="3"/>
      <c r="AAB222" s="3"/>
      <c r="AAC222" s="3"/>
      <c r="AAD222" s="3"/>
      <c r="AAE222" s="3"/>
      <c r="AAF222" s="3"/>
      <c r="AAG222" s="3"/>
      <c r="AAH222" s="3"/>
      <c r="AAI222" s="3"/>
      <c r="AAJ222" s="3"/>
      <c r="AAK222" s="3"/>
      <c r="AAL222" s="3"/>
      <c r="AAM222" s="3"/>
      <c r="AAN222" s="3"/>
      <c r="AAO222" s="3"/>
      <c r="AAP222" s="3"/>
      <c r="AAQ222" s="3"/>
      <c r="AAR222" s="3"/>
      <c r="AAS222" s="3"/>
      <c r="AAT222" s="3"/>
      <c r="AAU222" s="3"/>
      <c r="AAV222" s="3"/>
      <c r="AAW222" s="3"/>
      <c r="AAX222" s="3"/>
      <c r="AAY222" s="3"/>
      <c r="AAZ222" s="3"/>
      <c r="ABA222" s="3"/>
      <c r="ABB222" s="3"/>
      <c r="ABC222" s="3"/>
      <c r="ABD222" s="3"/>
      <c r="ABE222" s="3"/>
      <c r="ABF222" s="3"/>
      <c r="ABG222" s="3"/>
      <c r="ABH222" s="3"/>
      <c r="ABI222" s="3"/>
      <c r="ABJ222" s="3"/>
      <c r="ABK222" s="3"/>
      <c r="ABL222" s="3"/>
      <c r="ABM222" s="3"/>
      <c r="ABN222" s="3"/>
      <c r="ABO222" s="3"/>
      <c r="ABP222" s="3"/>
      <c r="ABQ222" s="3"/>
      <c r="ABR222" s="3"/>
      <c r="ABS222" s="3"/>
      <c r="ABT222" s="3"/>
      <c r="ABU222" s="3"/>
      <c r="ABV222" s="3"/>
      <c r="ABW222" s="3"/>
      <c r="ABX222" s="3"/>
      <c r="ABY222" s="3"/>
      <c r="ABZ222" s="3"/>
      <c r="ACA222" s="3"/>
      <c r="ACB222" s="3"/>
      <c r="ACC222" s="3"/>
      <c r="ACD222" s="3"/>
      <c r="ACE222" s="3"/>
      <c r="ACF222" s="3"/>
      <c r="ACG222" s="3"/>
      <c r="ACH222" s="3"/>
      <c r="ACI222" s="3"/>
      <c r="ACJ222" s="3"/>
      <c r="ACK222" s="3"/>
      <c r="ACL222" s="3"/>
      <c r="ACM222" s="3"/>
      <c r="ACN222" s="3"/>
      <c r="ACO222" s="3"/>
      <c r="ACP222" s="3"/>
      <c r="ACQ222" s="3"/>
      <c r="ACR222" s="3"/>
      <c r="ACS222" s="3"/>
      <c r="ACT222" s="3"/>
      <c r="ACU222" s="3"/>
      <c r="ACV222" s="3"/>
      <c r="ACW222" s="3"/>
      <c r="ACX222" s="3"/>
      <c r="ACY222" s="3"/>
      <c r="ACZ222" s="3"/>
      <c r="ADA222" s="3"/>
      <c r="ADB222" s="3"/>
      <c r="ADC222" s="3"/>
      <c r="ADD222" s="3"/>
      <c r="ADE222" s="3"/>
      <c r="ADF222" s="3"/>
      <c r="ADG222" s="3"/>
      <c r="ADH222" s="3"/>
      <c r="ADI222" s="3"/>
      <c r="ADJ222" s="3"/>
      <c r="ADK222" s="3"/>
      <c r="ADL222" s="3"/>
      <c r="ADM222" s="3"/>
      <c r="ADN222" s="3"/>
      <c r="ADO222" s="3"/>
      <c r="ADP222" s="3"/>
      <c r="ADQ222" s="3"/>
      <c r="ADR222" s="3"/>
      <c r="ADS222" s="3"/>
      <c r="ADT222" s="3"/>
      <c r="ADU222" s="3"/>
      <c r="ADV222" s="3"/>
      <c r="ADW222" s="3"/>
      <c r="ADX222" s="3"/>
      <c r="ADY222" s="3"/>
      <c r="ADZ222" s="3"/>
      <c r="AEA222" s="3"/>
      <c r="AEB222" s="3"/>
      <c r="AEC222" s="3"/>
      <c r="AED222" s="3"/>
      <c r="AEE222" s="3"/>
      <c r="AEF222" s="3"/>
      <c r="AEG222" s="3"/>
      <c r="AEH222" s="3"/>
      <c r="AEI222" s="3"/>
      <c r="AEJ222" s="3"/>
      <c r="AEK222" s="3"/>
      <c r="AEL222" s="3"/>
      <c r="AEM222" s="3"/>
      <c r="AEN222" s="3"/>
      <c r="AEO222" s="3"/>
      <c r="AEP222" s="3"/>
      <c r="AEQ222" s="3"/>
      <c r="AER222" s="3"/>
      <c r="AES222" s="3"/>
      <c r="AET222" s="3"/>
      <c r="AEU222" s="3"/>
      <c r="AEV222" s="3"/>
      <c r="AEW222" s="3"/>
      <c r="AEX222" s="3"/>
      <c r="AEY222" s="3"/>
      <c r="AEZ222" s="3"/>
      <c r="AFA222" s="3"/>
      <c r="AFB222" s="3"/>
      <c r="AFC222" s="3"/>
      <c r="AFD222" s="3"/>
      <c r="AFE222" s="3"/>
      <c r="AFF222" s="3"/>
      <c r="AFG222" s="3"/>
      <c r="AFH222" s="3"/>
      <c r="AFI222" s="3"/>
      <c r="AFJ222" s="3"/>
      <c r="AFK222" s="3"/>
      <c r="AFL222" s="3"/>
      <c r="AFM222" s="3"/>
      <c r="AFN222" s="3"/>
      <c r="AFO222" s="3"/>
      <c r="AFP222" s="3"/>
      <c r="AFQ222" s="3"/>
      <c r="AFR222" s="3"/>
      <c r="AFS222" s="3"/>
      <c r="AFT222" s="3"/>
      <c r="AFU222" s="3"/>
      <c r="AFV222" s="3"/>
      <c r="AFW222" s="3"/>
      <c r="AFX222" s="3"/>
      <c r="AFY222" s="3"/>
      <c r="AFZ222" s="3"/>
      <c r="AGA222" s="3"/>
      <c r="AGB222" s="3"/>
      <c r="AGC222" s="3"/>
      <c r="AGD222" s="3"/>
      <c r="AGE222" s="3"/>
      <c r="AGF222" s="3"/>
      <c r="AGG222" s="3"/>
      <c r="AGH222" s="3"/>
      <c r="AGI222" s="3"/>
      <c r="AGJ222" s="3"/>
      <c r="AGK222" s="3"/>
      <c r="AGL222" s="3"/>
      <c r="AGM222" s="3"/>
      <c r="AGN222" s="3"/>
      <c r="AGO222" s="3"/>
      <c r="AGP222" s="3"/>
      <c r="AGQ222" s="3"/>
      <c r="AGR222" s="3"/>
      <c r="AGS222" s="3"/>
      <c r="AGT222" s="3"/>
      <c r="AGU222" s="3"/>
      <c r="AGV222" s="3"/>
      <c r="AGW222" s="3"/>
      <c r="AGX222" s="3"/>
      <c r="AGY222" s="3"/>
      <c r="AGZ222" s="3"/>
      <c r="AHA222" s="3"/>
      <c r="AHB222" s="3"/>
      <c r="AHC222" s="3"/>
      <c r="AHD222" s="3"/>
      <c r="AHE222" s="3"/>
      <c r="AHF222" s="3"/>
      <c r="AHG222" s="3"/>
      <c r="AHH222" s="3"/>
      <c r="AHI222" s="3"/>
      <c r="AHJ222" s="3"/>
      <c r="AHK222" s="3"/>
      <c r="AHL222" s="3"/>
      <c r="AHM222" s="3"/>
      <c r="AHN222" s="3"/>
      <c r="AHO222" s="3"/>
      <c r="AHP222" s="3"/>
      <c r="AHQ222" s="3"/>
      <c r="AHR222" s="3"/>
      <c r="AHS222" s="3"/>
      <c r="AHT222" s="3"/>
      <c r="AHU222" s="3"/>
      <c r="AHV222" s="3"/>
      <c r="AHW222" s="3"/>
      <c r="AHX222" s="3"/>
      <c r="AHY222" s="3"/>
      <c r="AHZ222" s="3"/>
      <c r="AIA222" s="3"/>
      <c r="AIB222" s="3"/>
      <c r="AIC222" s="3"/>
      <c r="AID222" s="3"/>
      <c r="AIE222" s="3"/>
      <c r="AIF222" s="3"/>
      <c r="AIG222" s="3"/>
      <c r="AIH222" s="3"/>
      <c r="AII222" s="3"/>
      <c r="AIJ222" s="3"/>
      <c r="AIK222" s="3"/>
      <c r="AIL222" s="3"/>
      <c r="AIM222" s="3"/>
      <c r="AIN222" s="3"/>
      <c r="AIO222" s="3"/>
      <c r="AIP222" s="3"/>
      <c r="AIQ222" s="3"/>
      <c r="AIR222" s="3"/>
      <c r="AIS222" s="3"/>
      <c r="AIT222" s="3"/>
      <c r="AIU222" s="3"/>
      <c r="AIV222" s="3"/>
      <c r="AIW222" s="3"/>
      <c r="AIX222" s="3"/>
      <c r="AIY222" s="3"/>
      <c r="AIZ222" s="3"/>
      <c r="AJA222" s="3"/>
      <c r="AJB222" s="3"/>
      <c r="AJC222" s="3"/>
      <c r="AJD222" s="3"/>
      <c r="AJE222" s="3"/>
      <c r="AJF222" s="3"/>
      <c r="AJG222" s="3"/>
      <c r="AJH222" s="3"/>
      <c r="AJI222" s="3"/>
      <c r="AJJ222" s="3"/>
      <c r="AJK222" s="3"/>
      <c r="AJL222" s="3"/>
      <c r="AJM222" s="3"/>
      <c r="AJN222" s="3"/>
      <c r="AJO222" s="3"/>
      <c r="AJP222" s="3"/>
      <c r="AJQ222" s="3"/>
      <c r="AJR222" s="3"/>
      <c r="AJS222" s="3"/>
      <c r="AJT222" s="3"/>
      <c r="AJU222" s="3"/>
      <c r="AJV222" s="3"/>
      <c r="AJW222" s="3"/>
      <c r="AJX222" s="3"/>
      <c r="AJY222" s="3"/>
      <c r="AJZ222" s="3"/>
      <c r="AKA222" s="3"/>
      <c r="AKB222" s="3"/>
      <c r="AKC222" s="3"/>
      <c r="AKD222" s="3"/>
      <c r="AKE222" s="3"/>
      <c r="AKF222" s="3"/>
      <c r="AKG222" s="3"/>
      <c r="AKH222" s="3"/>
      <c r="AKI222" s="3"/>
      <c r="AKJ222" s="3"/>
      <c r="AKK222" s="3"/>
      <c r="AKL222" s="3"/>
      <c r="AKM222" s="3"/>
      <c r="AKN222" s="3"/>
      <c r="AKO222" s="3"/>
      <c r="AKP222" s="3"/>
      <c r="AKQ222" s="3"/>
      <c r="AKR222" s="3"/>
      <c r="AKS222" s="3"/>
      <c r="AKT222" s="3"/>
      <c r="AKU222" s="3"/>
      <c r="AKV222" s="3"/>
      <c r="AKW222" s="3"/>
      <c r="AKX222" s="3"/>
      <c r="AKY222" s="3"/>
      <c r="AKZ222" s="3"/>
      <c r="ALA222" s="3"/>
      <c r="ALB222" s="3"/>
      <c r="ALC222" s="3"/>
      <c r="ALD222" s="3"/>
      <c r="ALE222" s="3"/>
      <c r="ALF222" s="3"/>
      <c r="ALG222" s="3"/>
      <c r="ALH222" s="3"/>
      <c r="ALI222" s="3"/>
      <c r="ALJ222" s="3"/>
      <c r="ALK222" s="3"/>
      <c r="ALL222" s="3"/>
      <c r="ALM222" s="3"/>
      <c r="ALN222" s="3"/>
      <c r="ALO222" s="3"/>
      <c r="ALP222" s="3"/>
      <c r="ALQ222" s="3"/>
      <c r="ALR222" s="3"/>
      <c r="ALS222" s="3"/>
      <c r="ALT222" s="3"/>
      <c r="ALU222" s="3"/>
      <c r="ALV222" s="3"/>
      <c r="ALW222" s="3"/>
      <c r="ALX222" s="3"/>
      <c r="ALY222" s="3"/>
      <c r="ALZ222" s="3"/>
      <c r="AMA222" s="3"/>
      <c r="AMB222" s="3"/>
      <c r="AMC222" s="3"/>
      <c r="AMD222" s="3"/>
      <c r="AME222" s="3"/>
      <c r="AMF222" s="3"/>
      <c r="AMG222" s="3"/>
      <c r="AMH222" s="3"/>
      <c r="AMI222" s="3"/>
      <c r="AMJ222" s="3"/>
      <c r="AMK222" s="3"/>
      <c r="AML222" s="3"/>
      <c r="AMM222" s="3"/>
    </row>
    <row r="223" spans="1:1027" ht="15" customHeight="1">
      <c r="A223" s="12">
        <v>110</v>
      </c>
      <c r="B223" s="13" t="s">
        <v>398</v>
      </c>
      <c r="C223" s="14"/>
      <c r="D223" s="14" t="s">
        <v>397</v>
      </c>
      <c r="E223" s="14" t="s">
        <v>172</v>
      </c>
      <c r="F223" s="15" t="s">
        <v>22</v>
      </c>
      <c r="G223" s="14"/>
      <c r="H223" s="58"/>
      <c r="I223" s="19"/>
      <c r="J223" s="14" t="s">
        <v>23</v>
      </c>
      <c r="K223" s="15"/>
      <c r="L223" s="15"/>
      <c r="M223" s="14" t="s">
        <v>27</v>
      </c>
      <c r="N223" s="14" t="s">
        <v>25</v>
      </c>
      <c r="O223" s="22"/>
      <c r="P223" s="22"/>
      <c r="Q223" s="22"/>
      <c r="R223" s="17">
        <v>43633</v>
      </c>
      <c r="S223" s="2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WR223" s="3"/>
      <c r="WS223" s="3"/>
      <c r="WT223" s="3"/>
      <c r="WU223" s="3"/>
      <c r="WV223" s="3"/>
      <c r="WW223" s="3"/>
      <c r="WX223" s="3"/>
      <c r="WY223" s="3"/>
      <c r="WZ223" s="3"/>
      <c r="XA223" s="3"/>
      <c r="XB223" s="3"/>
      <c r="XC223" s="3"/>
      <c r="XD223" s="3"/>
      <c r="XE223" s="3"/>
      <c r="XF223" s="3"/>
      <c r="XG223" s="3"/>
      <c r="XH223" s="3"/>
      <c r="XI223" s="3"/>
      <c r="XJ223" s="3"/>
      <c r="XK223" s="3"/>
      <c r="XL223" s="3"/>
      <c r="XM223" s="3"/>
      <c r="XN223" s="3"/>
      <c r="XO223" s="3"/>
      <c r="XP223" s="3"/>
      <c r="XQ223" s="3"/>
      <c r="XR223" s="3"/>
      <c r="XS223" s="3"/>
      <c r="XT223" s="3"/>
      <c r="XU223" s="3"/>
      <c r="XV223" s="3"/>
      <c r="XW223" s="3"/>
      <c r="XX223" s="3"/>
      <c r="XY223" s="3"/>
      <c r="XZ223" s="3"/>
      <c r="YA223" s="3"/>
      <c r="YB223" s="3"/>
      <c r="YC223" s="3"/>
      <c r="YD223" s="3"/>
      <c r="YE223" s="3"/>
      <c r="YF223" s="3"/>
      <c r="YG223" s="3"/>
      <c r="YH223" s="3"/>
      <c r="YI223" s="3"/>
      <c r="YJ223" s="3"/>
      <c r="YK223" s="3"/>
      <c r="YL223" s="3"/>
      <c r="YM223" s="3"/>
      <c r="YN223" s="3"/>
      <c r="YO223" s="3"/>
      <c r="YP223" s="3"/>
      <c r="YQ223" s="3"/>
      <c r="YR223" s="3"/>
      <c r="YS223" s="3"/>
      <c r="YT223" s="3"/>
      <c r="YU223" s="3"/>
      <c r="YV223" s="3"/>
      <c r="YW223" s="3"/>
      <c r="YX223" s="3"/>
      <c r="YY223" s="3"/>
      <c r="YZ223" s="3"/>
      <c r="ZA223" s="3"/>
      <c r="ZB223" s="3"/>
      <c r="ZC223" s="3"/>
      <c r="ZD223" s="3"/>
      <c r="ZE223" s="3"/>
      <c r="ZF223" s="3"/>
      <c r="ZG223" s="3"/>
      <c r="ZH223" s="3"/>
      <c r="ZI223" s="3"/>
      <c r="ZJ223" s="3"/>
      <c r="ZK223" s="3"/>
      <c r="ZL223" s="3"/>
      <c r="ZM223" s="3"/>
      <c r="ZN223" s="3"/>
      <c r="ZO223" s="3"/>
      <c r="ZP223" s="3"/>
      <c r="ZQ223" s="3"/>
      <c r="ZR223" s="3"/>
      <c r="ZS223" s="3"/>
      <c r="ZT223" s="3"/>
      <c r="ZU223" s="3"/>
      <c r="ZV223" s="3"/>
      <c r="ZW223" s="3"/>
      <c r="ZX223" s="3"/>
      <c r="ZY223" s="3"/>
      <c r="ZZ223" s="3"/>
      <c r="AAA223" s="3"/>
      <c r="AAB223" s="3"/>
      <c r="AAC223" s="3"/>
      <c r="AAD223" s="3"/>
      <c r="AAE223" s="3"/>
      <c r="AAF223" s="3"/>
      <c r="AAG223" s="3"/>
      <c r="AAH223" s="3"/>
      <c r="AAI223" s="3"/>
      <c r="AAJ223" s="3"/>
      <c r="AAK223" s="3"/>
      <c r="AAL223" s="3"/>
      <c r="AAM223" s="3"/>
      <c r="AAN223" s="3"/>
      <c r="AAO223" s="3"/>
      <c r="AAP223" s="3"/>
      <c r="AAQ223" s="3"/>
      <c r="AAR223" s="3"/>
      <c r="AAS223" s="3"/>
      <c r="AAT223" s="3"/>
      <c r="AAU223" s="3"/>
      <c r="AAV223" s="3"/>
      <c r="AAW223" s="3"/>
      <c r="AAX223" s="3"/>
      <c r="AAY223" s="3"/>
      <c r="AAZ223" s="3"/>
      <c r="ABA223" s="3"/>
      <c r="ABB223" s="3"/>
      <c r="ABC223" s="3"/>
      <c r="ABD223" s="3"/>
      <c r="ABE223" s="3"/>
      <c r="ABF223" s="3"/>
      <c r="ABG223" s="3"/>
      <c r="ABH223" s="3"/>
      <c r="ABI223" s="3"/>
      <c r="ABJ223" s="3"/>
      <c r="ABK223" s="3"/>
      <c r="ABL223" s="3"/>
      <c r="ABM223" s="3"/>
      <c r="ABN223" s="3"/>
      <c r="ABO223" s="3"/>
      <c r="ABP223" s="3"/>
      <c r="ABQ223" s="3"/>
      <c r="ABR223" s="3"/>
      <c r="ABS223" s="3"/>
      <c r="ABT223" s="3"/>
      <c r="ABU223" s="3"/>
      <c r="ABV223" s="3"/>
      <c r="ABW223" s="3"/>
      <c r="ABX223" s="3"/>
      <c r="ABY223" s="3"/>
      <c r="ABZ223" s="3"/>
      <c r="ACA223" s="3"/>
      <c r="ACB223" s="3"/>
      <c r="ACC223" s="3"/>
      <c r="ACD223" s="3"/>
      <c r="ACE223" s="3"/>
      <c r="ACF223" s="3"/>
      <c r="ACG223" s="3"/>
      <c r="ACH223" s="3"/>
      <c r="ACI223" s="3"/>
      <c r="ACJ223" s="3"/>
      <c r="ACK223" s="3"/>
      <c r="ACL223" s="3"/>
      <c r="ACM223" s="3"/>
      <c r="ACN223" s="3"/>
      <c r="ACO223" s="3"/>
      <c r="ACP223" s="3"/>
      <c r="ACQ223" s="3"/>
      <c r="ACR223" s="3"/>
      <c r="ACS223" s="3"/>
      <c r="ACT223" s="3"/>
      <c r="ACU223" s="3"/>
      <c r="ACV223" s="3"/>
      <c r="ACW223" s="3"/>
      <c r="ACX223" s="3"/>
      <c r="ACY223" s="3"/>
      <c r="ACZ223" s="3"/>
      <c r="ADA223" s="3"/>
      <c r="ADB223" s="3"/>
      <c r="ADC223" s="3"/>
      <c r="ADD223" s="3"/>
      <c r="ADE223" s="3"/>
      <c r="ADF223" s="3"/>
      <c r="ADG223" s="3"/>
      <c r="ADH223" s="3"/>
      <c r="ADI223" s="3"/>
      <c r="ADJ223" s="3"/>
      <c r="ADK223" s="3"/>
      <c r="ADL223" s="3"/>
      <c r="ADM223" s="3"/>
      <c r="ADN223" s="3"/>
      <c r="ADO223" s="3"/>
      <c r="ADP223" s="3"/>
      <c r="ADQ223" s="3"/>
      <c r="ADR223" s="3"/>
      <c r="ADS223" s="3"/>
      <c r="ADT223" s="3"/>
      <c r="ADU223" s="3"/>
      <c r="ADV223" s="3"/>
      <c r="ADW223" s="3"/>
      <c r="ADX223" s="3"/>
      <c r="ADY223" s="3"/>
      <c r="ADZ223" s="3"/>
      <c r="AEA223" s="3"/>
      <c r="AEB223" s="3"/>
      <c r="AEC223" s="3"/>
      <c r="AED223" s="3"/>
      <c r="AEE223" s="3"/>
      <c r="AEF223" s="3"/>
      <c r="AEG223" s="3"/>
      <c r="AEH223" s="3"/>
      <c r="AEI223" s="3"/>
      <c r="AEJ223" s="3"/>
      <c r="AEK223" s="3"/>
      <c r="AEL223" s="3"/>
      <c r="AEM223" s="3"/>
      <c r="AEN223" s="3"/>
      <c r="AEO223" s="3"/>
      <c r="AEP223" s="3"/>
      <c r="AEQ223" s="3"/>
      <c r="AER223" s="3"/>
      <c r="AES223" s="3"/>
      <c r="AET223" s="3"/>
      <c r="AEU223" s="3"/>
      <c r="AEV223" s="3"/>
      <c r="AEW223" s="3"/>
      <c r="AEX223" s="3"/>
      <c r="AEY223" s="3"/>
      <c r="AEZ223" s="3"/>
      <c r="AFA223" s="3"/>
      <c r="AFB223" s="3"/>
      <c r="AFC223" s="3"/>
      <c r="AFD223" s="3"/>
      <c r="AFE223" s="3"/>
      <c r="AFF223" s="3"/>
      <c r="AFG223" s="3"/>
      <c r="AFH223" s="3"/>
      <c r="AFI223" s="3"/>
      <c r="AFJ223" s="3"/>
      <c r="AFK223" s="3"/>
      <c r="AFL223" s="3"/>
      <c r="AFM223" s="3"/>
      <c r="AFN223" s="3"/>
      <c r="AFO223" s="3"/>
      <c r="AFP223" s="3"/>
      <c r="AFQ223" s="3"/>
      <c r="AFR223" s="3"/>
      <c r="AFS223" s="3"/>
      <c r="AFT223" s="3"/>
      <c r="AFU223" s="3"/>
      <c r="AFV223" s="3"/>
      <c r="AFW223" s="3"/>
      <c r="AFX223" s="3"/>
      <c r="AFY223" s="3"/>
      <c r="AFZ223" s="3"/>
      <c r="AGA223" s="3"/>
      <c r="AGB223" s="3"/>
      <c r="AGC223" s="3"/>
      <c r="AGD223" s="3"/>
      <c r="AGE223" s="3"/>
      <c r="AGF223" s="3"/>
      <c r="AGG223" s="3"/>
      <c r="AGH223" s="3"/>
      <c r="AGI223" s="3"/>
      <c r="AGJ223" s="3"/>
      <c r="AGK223" s="3"/>
      <c r="AGL223" s="3"/>
      <c r="AGM223" s="3"/>
      <c r="AGN223" s="3"/>
      <c r="AGO223" s="3"/>
      <c r="AGP223" s="3"/>
      <c r="AGQ223" s="3"/>
      <c r="AGR223" s="3"/>
      <c r="AGS223" s="3"/>
      <c r="AGT223" s="3"/>
      <c r="AGU223" s="3"/>
      <c r="AGV223" s="3"/>
      <c r="AGW223" s="3"/>
      <c r="AGX223" s="3"/>
      <c r="AGY223" s="3"/>
      <c r="AGZ223" s="3"/>
      <c r="AHA223" s="3"/>
      <c r="AHB223" s="3"/>
      <c r="AHC223" s="3"/>
      <c r="AHD223" s="3"/>
      <c r="AHE223" s="3"/>
      <c r="AHF223" s="3"/>
      <c r="AHG223" s="3"/>
      <c r="AHH223" s="3"/>
      <c r="AHI223" s="3"/>
      <c r="AHJ223" s="3"/>
      <c r="AHK223" s="3"/>
      <c r="AHL223" s="3"/>
      <c r="AHM223" s="3"/>
      <c r="AHN223" s="3"/>
      <c r="AHO223" s="3"/>
      <c r="AHP223" s="3"/>
      <c r="AHQ223" s="3"/>
      <c r="AHR223" s="3"/>
      <c r="AHS223" s="3"/>
      <c r="AHT223" s="3"/>
      <c r="AHU223" s="3"/>
      <c r="AHV223" s="3"/>
      <c r="AHW223" s="3"/>
      <c r="AHX223" s="3"/>
      <c r="AHY223" s="3"/>
      <c r="AHZ223" s="3"/>
      <c r="AIA223" s="3"/>
      <c r="AIB223" s="3"/>
      <c r="AIC223" s="3"/>
      <c r="AID223" s="3"/>
      <c r="AIE223" s="3"/>
      <c r="AIF223" s="3"/>
      <c r="AIG223" s="3"/>
      <c r="AIH223" s="3"/>
      <c r="AII223" s="3"/>
      <c r="AIJ223" s="3"/>
      <c r="AIK223" s="3"/>
      <c r="AIL223" s="3"/>
      <c r="AIM223" s="3"/>
      <c r="AIN223" s="3"/>
      <c r="AIO223" s="3"/>
      <c r="AIP223" s="3"/>
      <c r="AIQ223" s="3"/>
      <c r="AIR223" s="3"/>
      <c r="AIS223" s="3"/>
      <c r="AIT223" s="3"/>
      <c r="AIU223" s="3"/>
      <c r="AIV223" s="3"/>
      <c r="AIW223" s="3"/>
      <c r="AIX223" s="3"/>
      <c r="AIY223" s="3"/>
      <c r="AIZ223" s="3"/>
      <c r="AJA223" s="3"/>
      <c r="AJB223" s="3"/>
      <c r="AJC223" s="3"/>
      <c r="AJD223" s="3"/>
      <c r="AJE223" s="3"/>
      <c r="AJF223" s="3"/>
      <c r="AJG223" s="3"/>
      <c r="AJH223" s="3"/>
      <c r="AJI223" s="3"/>
      <c r="AJJ223" s="3"/>
      <c r="AJK223" s="3"/>
      <c r="AJL223" s="3"/>
      <c r="AJM223" s="3"/>
      <c r="AJN223" s="3"/>
      <c r="AJO223" s="3"/>
      <c r="AJP223" s="3"/>
      <c r="AJQ223" s="3"/>
      <c r="AJR223" s="3"/>
      <c r="AJS223" s="3"/>
      <c r="AJT223" s="3"/>
      <c r="AJU223" s="3"/>
      <c r="AJV223" s="3"/>
      <c r="AJW223" s="3"/>
      <c r="AJX223" s="3"/>
      <c r="AJY223" s="3"/>
      <c r="AJZ223" s="3"/>
      <c r="AKA223" s="3"/>
      <c r="AKB223" s="3"/>
      <c r="AKC223" s="3"/>
      <c r="AKD223" s="3"/>
      <c r="AKE223" s="3"/>
      <c r="AKF223" s="3"/>
      <c r="AKG223" s="3"/>
      <c r="AKH223" s="3"/>
      <c r="AKI223" s="3"/>
      <c r="AKJ223" s="3"/>
      <c r="AKK223" s="3"/>
      <c r="AKL223" s="3"/>
      <c r="AKM223" s="3"/>
      <c r="AKN223" s="3"/>
      <c r="AKO223" s="3"/>
      <c r="AKP223" s="3"/>
      <c r="AKQ223" s="3"/>
      <c r="AKR223" s="3"/>
      <c r="AKS223" s="3"/>
      <c r="AKT223" s="3"/>
      <c r="AKU223" s="3"/>
      <c r="AKV223" s="3"/>
      <c r="AKW223" s="3"/>
      <c r="AKX223" s="3"/>
      <c r="AKY223" s="3"/>
      <c r="AKZ223" s="3"/>
      <c r="ALA223" s="3"/>
      <c r="ALB223" s="3"/>
      <c r="ALC223" s="3"/>
      <c r="ALD223" s="3"/>
      <c r="ALE223" s="3"/>
      <c r="ALF223" s="3"/>
      <c r="ALG223" s="3"/>
      <c r="ALH223" s="3"/>
      <c r="ALI223" s="3"/>
      <c r="ALJ223" s="3"/>
      <c r="ALK223" s="3"/>
      <c r="ALL223" s="3"/>
      <c r="ALM223" s="3"/>
      <c r="ALN223" s="3"/>
      <c r="ALO223" s="3"/>
      <c r="ALP223" s="3"/>
      <c r="ALQ223" s="3"/>
      <c r="ALR223" s="3"/>
      <c r="ALS223" s="3"/>
      <c r="ALT223" s="3"/>
      <c r="ALU223" s="3"/>
      <c r="ALV223" s="3"/>
      <c r="ALW223" s="3"/>
      <c r="ALX223" s="3"/>
      <c r="ALY223" s="3"/>
      <c r="ALZ223" s="3"/>
      <c r="AMA223" s="3"/>
      <c r="AMB223" s="3"/>
      <c r="AMC223" s="3"/>
      <c r="AMD223" s="3"/>
      <c r="AME223" s="3"/>
      <c r="AMF223" s="3"/>
      <c r="AMG223" s="3"/>
      <c r="AMH223" s="3"/>
      <c r="AMI223" s="3"/>
      <c r="AMJ223" s="3"/>
      <c r="AMK223" s="3"/>
      <c r="AML223" s="3"/>
      <c r="AMM223" s="3"/>
    </row>
    <row r="224" spans="1:1027" ht="15" customHeight="1">
      <c r="A224" s="12">
        <v>887</v>
      </c>
      <c r="B224" s="13" t="s">
        <v>399</v>
      </c>
      <c r="C224" s="14"/>
      <c r="D224" s="14" t="s">
        <v>397</v>
      </c>
      <c r="E224" s="14" t="s">
        <v>172</v>
      </c>
      <c r="F224" s="15" t="s">
        <v>22</v>
      </c>
      <c r="G224" s="21"/>
      <c r="H224" s="58">
        <v>1</v>
      </c>
      <c r="I224" s="14"/>
      <c r="J224" s="14" t="s">
        <v>23</v>
      </c>
      <c r="K224" s="14"/>
      <c r="L224" s="14"/>
      <c r="M224" s="14" t="s">
        <v>29</v>
      </c>
      <c r="N224" s="25" t="s">
        <v>37</v>
      </c>
      <c r="O224" s="14" t="s">
        <v>400</v>
      </c>
      <c r="P224" s="14"/>
      <c r="Q224" s="14"/>
      <c r="R224" s="14" t="s">
        <v>158</v>
      </c>
    </row>
    <row r="225" spans="1:1027" ht="15" customHeight="1">
      <c r="A225" s="12">
        <v>1676</v>
      </c>
      <c r="B225" s="13" t="s">
        <v>401</v>
      </c>
      <c r="C225" s="14"/>
      <c r="D225" s="14" t="s">
        <v>397</v>
      </c>
      <c r="E225" s="14" t="s">
        <v>172</v>
      </c>
      <c r="F225" s="15" t="s">
        <v>22</v>
      </c>
      <c r="G225" s="14"/>
      <c r="H225" s="58">
        <v>3</v>
      </c>
      <c r="I225" s="14"/>
      <c r="J225" s="14" t="s">
        <v>23</v>
      </c>
      <c r="K225" s="14"/>
      <c r="L225" s="14"/>
      <c r="M225" s="14" t="s">
        <v>32</v>
      </c>
      <c r="N225" s="25" t="s">
        <v>37</v>
      </c>
      <c r="O225" s="14" t="s">
        <v>402</v>
      </c>
      <c r="P225" s="14"/>
      <c r="Q225" s="14"/>
      <c r="R225" s="14" t="s">
        <v>308</v>
      </c>
    </row>
    <row r="226" spans="1:1027" ht="15" customHeight="1">
      <c r="A226" s="12">
        <v>111</v>
      </c>
      <c r="B226" s="13" t="s">
        <v>403</v>
      </c>
      <c r="C226" s="14"/>
      <c r="D226" s="14" t="s">
        <v>404</v>
      </c>
      <c r="E226" s="14" t="s">
        <v>137</v>
      </c>
      <c r="F226" s="15" t="s">
        <v>22</v>
      </c>
      <c r="G226" s="14"/>
      <c r="H226" s="58"/>
      <c r="I226" s="19"/>
      <c r="J226" s="14" t="s">
        <v>23</v>
      </c>
      <c r="K226" s="15"/>
      <c r="L226" s="15"/>
      <c r="M226" s="14" t="s">
        <v>27</v>
      </c>
      <c r="N226" s="25" t="s">
        <v>37</v>
      </c>
      <c r="O226" s="22" t="s">
        <v>52</v>
      </c>
      <c r="P226" s="22"/>
      <c r="Q226" s="22"/>
      <c r="R226" s="17">
        <v>43633</v>
      </c>
      <c r="S226" s="2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WZ226" s="3"/>
      <c r="XA226" s="3"/>
      <c r="XB226" s="3"/>
      <c r="XC226" s="3"/>
      <c r="XD226" s="3"/>
      <c r="XE226" s="3"/>
      <c r="XF226" s="3"/>
      <c r="XG226" s="3"/>
      <c r="XH226" s="3"/>
      <c r="XI226" s="3"/>
      <c r="XJ226" s="3"/>
      <c r="XK226" s="3"/>
      <c r="XL226" s="3"/>
      <c r="XM226" s="3"/>
      <c r="XN226" s="3"/>
      <c r="XO226" s="3"/>
      <c r="XP226" s="3"/>
      <c r="XQ226" s="3"/>
      <c r="XR226" s="3"/>
      <c r="XS226" s="3"/>
      <c r="XT226" s="3"/>
      <c r="XU226" s="3"/>
      <c r="XV226" s="3"/>
      <c r="XW226" s="3"/>
      <c r="XX226" s="3"/>
      <c r="XY226" s="3"/>
      <c r="XZ226" s="3"/>
      <c r="YA226" s="3"/>
      <c r="YB226" s="3"/>
      <c r="YC226" s="3"/>
      <c r="YD226" s="3"/>
      <c r="YE226" s="3"/>
      <c r="YF226" s="3"/>
      <c r="YG226" s="3"/>
      <c r="YH226" s="3"/>
      <c r="YI226" s="3"/>
      <c r="YJ226" s="3"/>
      <c r="YK226" s="3"/>
      <c r="YL226" s="3"/>
      <c r="YM226" s="3"/>
      <c r="YN226" s="3"/>
      <c r="YO226" s="3"/>
      <c r="YP226" s="3"/>
      <c r="YQ226" s="3"/>
      <c r="YR226" s="3"/>
      <c r="YS226" s="3"/>
      <c r="YT226" s="3"/>
      <c r="YU226" s="3"/>
      <c r="YV226" s="3"/>
      <c r="YW226" s="3"/>
      <c r="YX226" s="3"/>
      <c r="YY226" s="3"/>
      <c r="YZ226" s="3"/>
      <c r="ZA226" s="3"/>
      <c r="ZB226" s="3"/>
      <c r="ZC226" s="3"/>
      <c r="ZD226" s="3"/>
      <c r="ZE226" s="3"/>
      <c r="ZF226" s="3"/>
      <c r="ZG226" s="3"/>
      <c r="ZH226" s="3"/>
      <c r="ZI226" s="3"/>
      <c r="ZJ226" s="3"/>
      <c r="ZK226" s="3"/>
      <c r="ZL226" s="3"/>
      <c r="ZM226" s="3"/>
      <c r="ZN226" s="3"/>
      <c r="ZO226" s="3"/>
      <c r="ZP226" s="3"/>
      <c r="ZQ226" s="3"/>
      <c r="ZR226" s="3"/>
      <c r="ZS226" s="3"/>
      <c r="ZT226" s="3"/>
      <c r="ZU226" s="3"/>
      <c r="ZV226" s="3"/>
      <c r="ZW226" s="3"/>
      <c r="ZX226" s="3"/>
      <c r="ZY226" s="3"/>
      <c r="ZZ226" s="3"/>
      <c r="AAA226" s="3"/>
      <c r="AAB226" s="3"/>
      <c r="AAC226" s="3"/>
      <c r="AAD226" s="3"/>
      <c r="AAE226" s="3"/>
      <c r="AAF226" s="3"/>
      <c r="AAG226" s="3"/>
      <c r="AAH226" s="3"/>
      <c r="AAI226" s="3"/>
      <c r="AAJ226" s="3"/>
      <c r="AAK226" s="3"/>
      <c r="AAL226" s="3"/>
      <c r="AAM226" s="3"/>
      <c r="AAN226" s="3"/>
      <c r="AAO226" s="3"/>
      <c r="AAP226" s="3"/>
      <c r="AAQ226" s="3"/>
      <c r="AAR226" s="3"/>
      <c r="AAS226" s="3"/>
      <c r="AAT226" s="3"/>
      <c r="AAU226" s="3"/>
      <c r="AAV226" s="3"/>
      <c r="AAW226" s="3"/>
      <c r="AAX226" s="3"/>
      <c r="AAY226" s="3"/>
      <c r="AAZ226" s="3"/>
      <c r="ABA226" s="3"/>
      <c r="ABB226" s="3"/>
      <c r="ABC226" s="3"/>
      <c r="ABD226" s="3"/>
      <c r="ABE226" s="3"/>
      <c r="ABF226" s="3"/>
      <c r="ABG226" s="3"/>
      <c r="ABH226" s="3"/>
      <c r="ABI226" s="3"/>
      <c r="ABJ226" s="3"/>
      <c r="ABK226" s="3"/>
      <c r="ABL226" s="3"/>
      <c r="ABM226" s="3"/>
      <c r="ABN226" s="3"/>
      <c r="ABO226" s="3"/>
      <c r="ABP226" s="3"/>
      <c r="ABQ226" s="3"/>
      <c r="ABR226" s="3"/>
      <c r="ABS226" s="3"/>
      <c r="ABT226" s="3"/>
      <c r="ABU226" s="3"/>
      <c r="ABV226" s="3"/>
      <c r="ABW226" s="3"/>
      <c r="ABX226" s="3"/>
      <c r="ABY226" s="3"/>
      <c r="ABZ226" s="3"/>
      <c r="ACA226" s="3"/>
      <c r="ACB226" s="3"/>
      <c r="ACC226" s="3"/>
      <c r="ACD226" s="3"/>
      <c r="ACE226" s="3"/>
      <c r="ACF226" s="3"/>
      <c r="ACG226" s="3"/>
      <c r="ACH226" s="3"/>
      <c r="ACI226" s="3"/>
      <c r="ACJ226" s="3"/>
      <c r="ACK226" s="3"/>
      <c r="ACL226" s="3"/>
      <c r="ACM226" s="3"/>
      <c r="ACN226" s="3"/>
      <c r="ACO226" s="3"/>
      <c r="ACP226" s="3"/>
      <c r="ACQ226" s="3"/>
      <c r="ACR226" s="3"/>
      <c r="ACS226" s="3"/>
      <c r="ACT226" s="3"/>
      <c r="ACU226" s="3"/>
      <c r="ACV226" s="3"/>
      <c r="ACW226" s="3"/>
      <c r="ACX226" s="3"/>
      <c r="ACY226" s="3"/>
      <c r="ACZ226" s="3"/>
      <c r="ADA226" s="3"/>
      <c r="ADB226" s="3"/>
      <c r="ADC226" s="3"/>
      <c r="ADD226" s="3"/>
      <c r="ADE226" s="3"/>
      <c r="ADF226" s="3"/>
      <c r="ADG226" s="3"/>
      <c r="ADH226" s="3"/>
      <c r="ADI226" s="3"/>
      <c r="ADJ226" s="3"/>
      <c r="ADK226" s="3"/>
      <c r="ADL226" s="3"/>
      <c r="ADM226" s="3"/>
      <c r="ADN226" s="3"/>
      <c r="ADO226" s="3"/>
      <c r="ADP226" s="3"/>
      <c r="ADQ226" s="3"/>
      <c r="ADR226" s="3"/>
      <c r="ADS226" s="3"/>
      <c r="ADT226" s="3"/>
      <c r="ADU226" s="3"/>
      <c r="ADV226" s="3"/>
      <c r="ADW226" s="3"/>
      <c r="ADX226" s="3"/>
      <c r="ADY226" s="3"/>
      <c r="ADZ226" s="3"/>
      <c r="AEA226" s="3"/>
      <c r="AEB226" s="3"/>
      <c r="AEC226" s="3"/>
      <c r="AED226" s="3"/>
      <c r="AEE226" s="3"/>
      <c r="AEF226" s="3"/>
      <c r="AEG226" s="3"/>
      <c r="AEH226" s="3"/>
      <c r="AEI226" s="3"/>
      <c r="AEJ226" s="3"/>
      <c r="AEK226" s="3"/>
      <c r="AEL226" s="3"/>
      <c r="AEM226" s="3"/>
      <c r="AEN226" s="3"/>
      <c r="AEO226" s="3"/>
      <c r="AEP226" s="3"/>
      <c r="AEQ226" s="3"/>
      <c r="AER226" s="3"/>
      <c r="AES226" s="3"/>
      <c r="AET226" s="3"/>
      <c r="AEU226" s="3"/>
      <c r="AEV226" s="3"/>
      <c r="AEW226" s="3"/>
      <c r="AEX226" s="3"/>
      <c r="AEY226" s="3"/>
      <c r="AEZ226" s="3"/>
      <c r="AFA226" s="3"/>
      <c r="AFB226" s="3"/>
      <c r="AFC226" s="3"/>
      <c r="AFD226" s="3"/>
      <c r="AFE226" s="3"/>
      <c r="AFF226" s="3"/>
      <c r="AFG226" s="3"/>
      <c r="AFH226" s="3"/>
      <c r="AFI226" s="3"/>
      <c r="AFJ226" s="3"/>
      <c r="AFK226" s="3"/>
      <c r="AFL226" s="3"/>
      <c r="AFM226" s="3"/>
      <c r="AFN226" s="3"/>
      <c r="AFO226" s="3"/>
      <c r="AFP226" s="3"/>
      <c r="AFQ226" s="3"/>
      <c r="AFR226" s="3"/>
      <c r="AFS226" s="3"/>
      <c r="AFT226" s="3"/>
      <c r="AFU226" s="3"/>
      <c r="AFV226" s="3"/>
      <c r="AFW226" s="3"/>
      <c r="AFX226" s="3"/>
      <c r="AFY226" s="3"/>
      <c r="AFZ226" s="3"/>
      <c r="AGA226" s="3"/>
      <c r="AGB226" s="3"/>
      <c r="AGC226" s="3"/>
      <c r="AGD226" s="3"/>
      <c r="AGE226" s="3"/>
      <c r="AGF226" s="3"/>
      <c r="AGG226" s="3"/>
      <c r="AGH226" s="3"/>
      <c r="AGI226" s="3"/>
      <c r="AGJ226" s="3"/>
      <c r="AGK226" s="3"/>
      <c r="AGL226" s="3"/>
      <c r="AGM226" s="3"/>
      <c r="AGN226" s="3"/>
      <c r="AGO226" s="3"/>
      <c r="AGP226" s="3"/>
      <c r="AGQ226" s="3"/>
      <c r="AGR226" s="3"/>
      <c r="AGS226" s="3"/>
      <c r="AGT226" s="3"/>
      <c r="AGU226" s="3"/>
      <c r="AGV226" s="3"/>
      <c r="AGW226" s="3"/>
      <c r="AGX226" s="3"/>
      <c r="AGY226" s="3"/>
      <c r="AGZ226" s="3"/>
      <c r="AHA226" s="3"/>
      <c r="AHB226" s="3"/>
      <c r="AHC226" s="3"/>
      <c r="AHD226" s="3"/>
      <c r="AHE226" s="3"/>
      <c r="AHF226" s="3"/>
      <c r="AHG226" s="3"/>
      <c r="AHH226" s="3"/>
      <c r="AHI226" s="3"/>
      <c r="AHJ226" s="3"/>
      <c r="AHK226" s="3"/>
      <c r="AHL226" s="3"/>
      <c r="AHM226" s="3"/>
      <c r="AHN226" s="3"/>
      <c r="AHO226" s="3"/>
      <c r="AHP226" s="3"/>
      <c r="AHQ226" s="3"/>
      <c r="AHR226" s="3"/>
      <c r="AHS226" s="3"/>
      <c r="AHT226" s="3"/>
      <c r="AHU226" s="3"/>
      <c r="AHV226" s="3"/>
      <c r="AHW226" s="3"/>
      <c r="AHX226" s="3"/>
      <c r="AHY226" s="3"/>
      <c r="AHZ226" s="3"/>
      <c r="AIA226" s="3"/>
      <c r="AIB226" s="3"/>
      <c r="AIC226" s="3"/>
      <c r="AID226" s="3"/>
      <c r="AIE226" s="3"/>
      <c r="AIF226" s="3"/>
      <c r="AIG226" s="3"/>
      <c r="AIH226" s="3"/>
      <c r="AII226" s="3"/>
      <c r="AIJ226" s="3"/>
      <c r="AIK226" s="3"/>
      <c r="AIL226" s="3"/>
      <c r="AIM226" s="3"/>
      <c r="AIN226" s="3"/>
      <c r="AIO226" s="3"/>
      <c r="AIP226" s="3"/>
      <c r="AIQ226" s="3"/>
      <c r="AIR226" s="3"/>
      <c r="AIS226" s="3"/>
      <c r="AIT226" s="3"/>
      <c r="AIU226" s="3"/>
      <c r="AIV226" s="3"/>
      <c r="AIW226" s="3"/>
      <c r="AIX226" s="3"/>
      <c r="AIY226" s="3"/>
      <c r="AIZ226" s="3"/>
      <c r="AJA226" s="3"/>
      <c r="AJB226" s="3"/>
      <c r="AJC226" s="3"/>
      <c r="AJD226" s="3"/>
      <c r="AJE226" s="3"/>
      <c r="AJF226" s="3"/>
      <c r="AJG226" s="3"/>
      <c r="AJH226" s="3"/>
      <c r="AJI226" s="3"/>
      <c r="AJJ226" s="3"/>
      <c r="AJK226" s="3"/>
      <c r="AJL226" s="3"/>
      <c r="AJM226" s="3"/>
      <c r="AJN226" s="3"/>
      <c r="AJO226" s="3"/>
      <c r="AJP226" s="3"/>
      <c r="AJQ226" s="3"/>
      <c r="AJR226" s="3"/>
      <c r="AJS226" s="3"/>
      <c r="AJT226" s="3"/>
      <c r="AJU226" s="3"/>
      <c r="AJV226" s="3"/>
      <c r="AJW226" s="3"/>
      <c r="AJX226" s="3"/>
      <c r="AJY226" s="3"/>
      <c r="AJZ226" s="3"/>
      <c r="AKA226" s="3"/>
      <c r="AKB226" s="3"/>
      <c r="AKC226" s="3"/>
      <c r="AKD226" s="3"/>
      <c r="AKE226" s="3"/>
      <c r="AKF226" s="3"/>
      <c r="AKG226" s="3"/>
      <c r="AKH226" s="3"/>
      <c r="AKI226" s="3"/>
      <c r="AKJ226" s="3"/>
      <c r="AKK226" s="3"/>
      <c r="AKL226" s="3"/>
      <c r="AKM226" s="3"/>
      <c r="AKN226" s="3"/>
      <c r="AKO226" s="3"/>
      <c r="AKP226" s="3"/>
      <c r="AKQ226" s="3"/>
      <c r="AKR226" s="3"/>
      <c r="AKS226" s="3"/>
      <c r="AKT226" s="3"/>
      <c r="AKU226" s="3"/>
      <c r="AKV226" s="3"/>
      <c r="AKW226" s="3"/>
      <c r="AKX226" s="3"/>
      <c r="AKY226" s="3"/>
      <c r="AKZ226" s="3"/>
      <c r="ALA226" s="3"/>
      <c r="ALB226" s="3"/>
      <c r="ALC226" s="3"/>
      <c r="ALD226" s="3"/>
      <c r="ALE226" s="3"/>
      <c r="ALF226" s="3"/>
      <c r="ALG226" s="3"/>
      <c r="ALH226" s="3"/>
      <c r="ALI226" s="3"/>
      <c r="ALJ226" s="3"/>
      <c r="ALK226" s="3"/>
      <c r="ALL226" s="3"/>
      <c r="ALM226" s="3"/>
      <c r="ALN226" s="3"/>
      <c r="ALO226" s="3"/>
      <c r="ALP226" s="3"/>
      <c r="ALQ226" s="3"/>
      <c r="ALR226" s="3"/>
      <c r="ALS226" s="3"/>
      <c r="ALT226" s="3"/>
      <c r="ALU226" s="3"/>
      <c r="ALV226" s="3"/>
      <c r="ALW226" s="3"/>
      <c r="ALX226" s="3"/>
      <c r="ALY226" s="3"/>
      <c r="ALZ226" s="3"/>
      <c r="AMA226" s="3"/>
      <c r="AMB226" s="3"/>
      <c r="AMC226" s="3"/>
      <c r="AMD226" s="3"/>
      <c r="AME226" s="3"/>
      <c r="AMF226" s="3"/>
      <c r="AMG226" s="3"/>
      <c r="AMH226" s="3"/>
      <c r="AMI226" s="3"/>
      <c r="AMJ226" s="3"/>
      <c r="AMK226" s="3"/>
      <c r="AML226" s="3"/>
      <c r="AMM226" s="3"/>
    </row>
    <row r="227" spans="1:1027" ht="15" customHeight="1">
      <c r="A227" s="12">
        <v>888</v>
      </c>
      <c r="B227" s="13" t="s">
        <v>405</v>
      </c>
      <c r="C227" s="14"/>
      <c r="D227" s="14" t="s">
        <v>404</v>
      </c>
      <c r="E227" s="14" t="s">
        <v>137</v>
      </c>
      <c r="F227" s="15" t="s">
        <v>22</v>
      </c>
      <c r="G227" s="21"/>
      <c r="H227" s="58">
        <v>3</v>
      </c>
      <c r="I227" s="14"/>
      <c r="J227" s="14" t="s">
        <v>23</v>
      </c>
      <c r="K227" s="14"/>
      <c r="L227" s="14"/>
      <c r="M227" s="14" t="s">
        <v>29</v>
      </c>
      <c r="N227" s="25" t="s">
        <v>37</v>
      </c>
      <c r="O227" s="14" t="s">
        <v>406</v>
      </c>
      <c r="P227" s="14"/>
      <c r="Q227" s="14"/>
      <c r="R227" s="14" t="s">
        <v>158</v>
      </c>
    </row>
    <row r="228" spans="1:1027" ht="15" customHeight="1">
      <c r="A228" s="12">
        <v>1677</v>
      </c>
      <c r="B228" s="13" t="s">
        <v>407</v>
      </c>
      <c r="C228" s="14"/>
      <c r="D228" s="14" t="s">
        <v>404</v>
      </c>
      <c r="E228" s="14" t="s">
        <v>137</v>
      </c>
      <c r="F228" s="15" t="s">
        <v>22</v>
      </c>
      <c r="G228" s="14"/>
      <c r="H228" s="58">
        <v>3</v>
      </c>
      <c r="I228" s="14"/>
      <c r="J228" s="14" t="s">
        <v>23</v>
      </c>
      <c r="K228" s="14"/>
      <c r="L228" s="14"/>
      <c r="M228" s="14" t="s">
        <v>32</v>
      </c>
      <c r="N228" s="25" t="s">
        <v>37</v>
      </c>
      <c r="O228" s="14" t="s">
        <v>408</v>
      </c>
      <c r="P228" s="14"/>
      <c r="Q228" s="14"/>
      <c r="R228" s="14" t="s">
        <v>308</v>
      </c>
    </row>
    <row r="229" spans="1:1027" ht="15" customHeight="1">
      <c r="A229" s="12">
        <v>112</v>
      </c>
      <c r="B229" s="13" t="s">
        <v>409</v>
      </c>
      <c r="C229" s="14"/>
      <c r="D229" s="14" t="s">
        <v>410</v>
      </c>
      <c r="E229" s="14" t="s">
        <v>215</v>
      </c>
      <c r="F229" s="15" t="s">
        <v>22</v>
      </c>
      <c r="G229" s="14"/>
      <c r="H229" s="58"/>
      <c r="I229" s="19"/>
      <c r="J229" s="14" t="s">
        <v>23</v>
      </c>
      <c r="K229" s="15"/>
      <c r="L229" s="15"/>
      <c r="M229" s="14" t="s">
        <v>27</v>
      </c>
      <c r="N229" s="25" t="s">
        <v>37</v>
      </c>
      <c r="O229" s="22" t="s">
        <v>179</v>
      </c>
      <c r="P229" s="22"/>
      <c r="Q229" s="22"/>
      <c r="R229" s="17">
        <v>43633</v>
      </c>
      <c r="S229" s="2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WR229" s="3"/>
      <c r="WS229" s="3"/>
      <c r="WT229" s="3"/>
      <c r="WU229" s="3"/>
      <c r="WV229" s="3"/>
      <c r="WW229" s="3"/>
      <c r="WX229" s="3"/>
      <c r="WY229" s="3"/>
      <c r="WZ229" s="3"/>
      <c r="XA229" s="3"/>
      <c r="XB229" s="3"/>
      <c r="XC229" s="3"/>
      <c r="XD229" s="3"/>
      <c r="XE229" s="3"/>
      <c r="XF229" s="3"/>
      <c r="XG229" s="3"/>
      <c r="XH229" s="3"/>
      <c r="XI229" s="3"/>
      <c r="XJ229" s="3"/>
      <c r="XK229" s="3"/>
      <c r="XL229" s="3"/>
      <c r="XM229" s="3"/>
      <c r="XN229" s="3"/>
      <c r="XO229" s="3"/>
      <c r="XP229" s="3"/>
      <c r="XQ229" s="3"/>
      <c r="XR229" s="3"/>
      <c r="XS229" s="3"/>
      <c r="XT229" s="3"/>
      <c r="XU229" s="3"/>
      <c r="XV229" s="3"/>
      <c r="XW229" s="3"/>
      <c r="XX229" s="3"/>
      <c r="XY229" s="3"/>
      <c r="XZ229" s="3"/>
      <c r="YA229" s="3"/>
      <c r="YB229" s="3"/>
      <c r="YC229" s="3"/>
      <c r="YD229" s="3"/>
      <c r="YE229" s="3"/>
      <c r="YF229" s="3"/>
      <c r="YG229" s="3"/>
      <c r="YH229" s="3"/>
      <c r="YI229" s="3"/>
      <c r="YJ229" s="3"/>
      <c r="YK229" s="3"/>
      <c r="YL229" s="3"/>
      <c r="YM229" s="3"/>
      <c r="YN229" s="3"/>
      <c r="YO229" s="3"/>
      <c r="YP229" s="3"/>
      <c r="YQ229" s="3"/>
      <c r="YR229" s="3"/>
      <c r="YS229" s="3"/>
      <c r="YT229" s="3"/>
      <c r="YU229" s="3"/>
      <c r="YV229" s="3"/>
      <c r="YW229" s="3"/>
      <c r="YX229" s="3"/>
      <c r="YY229" s="3"/>
      <c r="YZ229" s="3"/>
      <c r="ZA229" s="3"/>
      <c r="ZB229" s="3"/>
      <c r="ZC229" s="3"/>
      <c r="ZD229" s="3"/>
      <c r="ZE229" s="3"/>
      <c r="ZF229" s="3"/>
      <c r="ZG229" s="3"/>
      <c r="ZH229" s="3"/>
      <c r="ZI229" s="3"/>
      <c r="ZJ229" s="3"/>
      <c r="ZK229" s="3"/>
      <c r="ZL229" s="3"/>
      <c r="ZM229" s="3"/>
      <c r="ZN229" s="3"/>
      <c r="ZO229" s="3"/>
      <c r="ZP229" s="3"/>
      <c r="ZQ229" s="3"/>
      <c r="ZR229" s="3"/>
      <c r="ZS229" s="3"/>
      <c r="ZT229" s="3"/>
      <c r="ZU229" s="3"/>
      <c r="ZV229" s="3"/>
      <c r="ZW229" s="3"/>
      <c r="ZX229" s="3"/>
      <c r="ZY229" s="3"/>
      <c r="ZZ229" s="3"/>
      <c r="AAA229" s="3"/>
      <c r="AAB229" s="3"/>
      <c r="AAC229" s="3"/>
      <c r="AAD229" s="3"/>
      <c r="AAE229" s="3"/>
      <c r="AAF229" s="3"/>
      <c r="AAG229" s="3"/>
      <c r="AAH229" s="3"/>
      <c r="AAI229" s="3"/>
      <c r="AAJ229" s="3"/>
      <c r="AAK229" s="3"/>
      <c r="AAL229" s="3"/>
      <c r="AAM229" s="3"/>
      <c r="AAN229" s="3"/>
      <c r="AAO229" s="3"/>
      <c r="AAP229" s="3"/>
      <c r="AAQ229" s="3"/>
      <c r="AAR229" s="3"/>
      <c r="AAS229" s="3"/>
      <c r="AAT229" s="3"/>
      <c r="AAU229" s="3"/>
      <c r="AAV229" s="3"/>
      <c r="AAW229" s="3"/>
      <c r="AAX229" s="3"/>
      <c r="AAY229" s="3"/>
      <c r="AAZ229" s="3"/>
      <c r="ABA229" s="3"/>
      <c r="ABB229" s="3"/>
      <c r="ABC229" s="3"/>
      <c r="ABD229" s="3"/>
      <c r="ABE229" s="3"/>
      <c r="ABF229" s="3"/>
      <c r="ABG229" s="3"/>
      <c r="ABH229" s="3"/>
      <c r="ABI229" s="3"/>
      <c r="ABJ229" s="3"/>
      <c r="ABK229" s="3"/>
      <c r="ABL229" s="3"/>
      <c r="ABM229" s="3"/>
      <c r="ABN229" s="3"/>
      <c r="ABO229" s="3"/>
      <c r="ABP229" s="3"/>
      <c r="ABQ229" s="3"/>
      <c r="ABR229" s="3"/>
      <c r="ABS229" s="3"/>
      <c r="ABT229" s="3"/>
      <c r="ABU229" s="3"/>
      <c r="ABV229" s="3"/>
      <c r="ABW229" s="3"/>
      <c r="ABX229" s="3"/>
      <c r="ABY229" s="3"/>
      <c r="ABZ229" s="3"/>
      <c r="ACA229" s="3"/>
      <c r="ACB229" s="3"/>
      <c r="ACC229" s="3"/>
      <c r="ACD229" s="3"/>
      <c r="ACE229" s="3"/>
      <c r="ACF229" s="3"/>
      <c r="ACG229" s="3"/>
      <c r="ACH229" s="3"/>
      <c r="ACI229" s="3"/>
      <c r="ACJ229" s="3"/>
      <c r="ACK229" s="3"/>
      <c r="ACL229" s="3"/>
      <c r="ACM229" s="3"/>
      <c r="ACN229" s="3"/>
      <c r="ACO229" s="3"/>
      <c r="ACP229" s="3"/>
      <c r="ACQ229" s="3"/>
      <c r="ACR229" s="3"/>
      <c r="ACS229" s="3"/>
      <c r="ACT229" s="3"/>
      <c r="ACU229" s="3"/>
      <c r="ACV229" s="3"/>
      <c r="ACW229" s="3"/>
      <c r="ACX229" s="3"/>
      <c r="ACY229" s="3"/>
      <c r="ACZ229" s="3"/>
      <c r="ADA229" s="3"/>
      <c r="ADB229" s="3"/>
      <c r="ADC229" s="3"/>
      <c r="ADD229" s="3"/>
      <c r="ADE229" s="3"/>
      <c r="ADF229" s="3"/>
      <c r="ADG229" s="3"/>
      <c r="ADH229" s="3"/>
      <c r="ADI229" s="3"/>
      <c r="ADJ229" s="3"/>
      <c r="ADK229" s="3"/>
      <c r="ADL229" s="3"/>
      <c r="ADM229" s="3"/>
      <c r="ADN229" s="3"/>
      <c r="ADO229" s="3"/>
      <c r="ADP229" s="3"/>
      <c r="ADQ229" s="3"/>
      <c r="ADR229" s="3"/>
      <c r="ADS229" s="3"/>
      <c r="ADT229" s="3"/>
      <c r="ADU229" s="3"/>
      <c r="ADV229" s="3"/>
      <c r="ADW229" s="3"/>
      <c r="ADX229" s="3"/>
      <c r="ADY229" s="3"/>
      <c r="ADZ229" s="3"/>
      <c r="AEA229" s="3"/>
      <c r="AEB229" s="3"/>
      <c r="AEC229" s="3"/>
      <c r="AED229" s="3"/>
      <c r="AEE229" s="3"/>
      <c r="AEF229" s="3"/>
      <c r="AEG229" s="3"/>
      <c r="AEH229" s="3"/>
      <c r="AEI229" s="3"/>
      <c r="AEJ229" s="3"/>
      <c r="AEK229" s="3"/>
      <c r="AEL229" s="3"/>
      <c r="AEM229" s="3"/>
      <c r="AEN229" s="3"/>
      <c r="AEO229" s="3"/>
      <c r="AEP229" s="3"/>
      <c r="AEQ229" s="3"/>
      <c r="AER229" s="3"/>
      <c r="AES229" s="3"/>
      <c r="AET229" s="3"/>
      <c r="AEU229" s="3"/>
      <c r="AEV229" s="3"/>
      <c r="AEW229" s="3"/>
      <c r="AEX229" s="3"/>
      <c r="AEY229" s="3"/>
      <c r="AEZ229" s="3"/>
      <c r="AFA229" s="3"/>
      <c r="AFB229" s="3"/>
      <c r="AFC229" s="3"/>
      <c r="AFD229" s="3"/>
      <c r="AFE229" s="3"/>
      <c r="AFF229" s="3"/>
      <c r="AFG229" s="3"/>
      <c r="AFH229" s="3"/>
      <c r="AFI229" s="3"/>
      <c r="AFJ229" s="3"/>
      <c r="AFK229" s="3"/>
      <c r="AFL229" s="3"/>
      <c r="AFM229" s="3"/>
      <c r="AFN229" s="3"/>
      <c r="AFO229" s="3"/>
      <c r="AFP229" s="3"/>
      <c r="AFQ229" s="3"/>
      <c r="AFR229" s="3"/>
      <c r="AFS229" s="3"/>
      <c r="AFT229" s="3"/>
      <c r="AFU229" s="3"/>
      <c r="AFV229" s="3"/>
      <c r="AFW229" s="3"/>
      <c r="AFX229" s="3"/>
      <c r="AFY229" s="3"/>
      <c r="AFZ229" s="3"/>
      <c r="AGA229" s="3"/>
      <c r="AGB229" s="3"/>
      <c r="AGC229" s="3"/>
      <c r="AGD229" s="3"/>
      <c r="AGE229" s="3"/>
      <c r="AGF229" s="3"/>
      <c r="AGG229" s="3"/>
      <c r="AGH229" s="3"/>
      <c r="AGI229" s="3"/>
      <c r="AGJ229" s="3"/>
      <c r="AGK229" s="3"/>
      <c r="AGL229" s="3"/>
      <c r="AGM229" s="3"/>
      <c r="AGN229" s="3"/>
      <c r="AGO229" s="3"/>
      <c r="AGP229" s="3"/>
      <c r="AGQ229" s="3"/>
      <c r="AGR229" s="3"/>
      <c r="AGS229" s="3"/>
      <c r="AGT229" s="3"/>
      <c r="AGU229" s="3"/>
      <c r="AGV229" s="3"/>
      <c r="AGW229" s="3"/>
      <c r="AGX229" s="3"/>
      <c r="AGY229" s="3"/>
      <c r="AGZ229" s="3"/>
      <c r="AHA229" s="3"/>
      <c r="AHB229" s="3"/>
      <c r="AHC229" s="3"/>
      <c r="AHD229" s="3"/>
      <c r="AHE229" s="3"/>
      <c r="AHF229" s="3"/>
      <c r="AHG229" s="3"/>
      <c r="AHH229" s="3"/>
      <c r="AHI229" s="3"/>
      <c r="AHJ229" s="3"/>
      <c r="AHK229" s="3"/>
      <c r="AHL229" s="3"/>
      <c r="AHM229" s="3"/>
      <c r="AHN229" s="3"/>
      <c r="AHO229" s="3"/>
      <c r="AHP229" s="3"/>
      <c r="AHQ229" s="3"/>
      <c r="AHR229" s="3"/>
      <c r="AHS229" s="3"/>
      <c r="AHT229" s="3"/>
      <c r="AHU229" s="3"/>
      <c r="AHV229" s="3"/>
      <c r="AHW229" s="3"/>
      <c r="AHX229" s="3"/>
      <c r="AHY229" s="3"/>
      <c r="AHZ229" s="3"/>
      <c r="AIA229" s="3"/>
      <c r="AIB229" s="3"/>
      <c r="AIC229" s="3"/>
      <c r="AID229" s="3"/>
      <c r="AIE229" s="3"/>
      <c r="AIF229" s="3"/>
      <c r="AIG229" s="3"/>
      <c r="AIH229" s="3"/>
      <c r="AII229" s="3"/>
      <c r="AIJ229" s="3"/>
      <c r="AIK229" s="3"/>
      <c r="AIL229" s="3"/>
      <c r="AIM229" s="3"/>
      <c r="AIN229" s="3"/>
      <c r="AIO229" s="3"/>
      <c r="AIP229" s="3"/>
      <c r="AIQ229" s="3"/>
      <c r="AIR229" s="3"/>
      <c r="AIS229" s="3"/>
      <c r="AIT229" s="3"/>
      <c r="AIU229" s="3"/>
      <c r="AIV229" s="3"/>
      <c r="AIW229" s="3"/>
      <c r="AIX229" s="3"/>
      <c r="AIY229" s="3"/>
      <c r="AIZ229" s="3"/>
      <c r="AJA229" s="3"/>
      <c r="AJB229" s="3"/>
      <c r="AJC229" s="3"/>
      <c r="AJD229" s="3"/>
      <c r="AJE229" s="3"/>
      <c r="AJF229" s="3"/>
      <c r="AJG229" s="3"/>
      <c r="AJH229" s="3"/>
      <c r="AJI229" s="3"/>
      <c r="AJJ229" s="3"/>
      <c r="AJK229" s="3"/>
      <c r="AJL229" s="3"/>
      <c r="AJM229" s="3"/>
      <c r="AJN229" s="3"/>
      <c r="AJO229" s="3"/>
      <c r="AJP229" s="3"/>
      <c r="AJQ229" s="3"/>
      <c r="AJR229" s="3"/>
      <c r="AJS229" s="3"/>
      <c r="AJT229" s="3"/>
      <c r="AJU229" s="3"/>
      <c r="AJV229" s="3"/>
      <c r="AJW229" s="3"/>
      <c r="AJX229" s="3"/>
      <c r="AJY229" s="3"/>
      <c r="AJZ229" s="3"/>
      <c r="AKA229" s="3"/>
      <c r="AKB229" s="3"/>
      <c r="AKC229" s="3"/>
      <c r="AKD229" s="3"/>
      <c r="AKE229" s="3"/>
      <c r="AKF229" s="3"/>
      <c r="AKG229" s="3"/>
      <c r="AKH229" s="3"/>
      <c r="AKI229" s="3"/>
      <c r="AKJ229" s="3"/>
      <c r="AKK229" s="3"/>
      <c r="AKL229" s="3"/>
      <c r="AKM229" s="3"/>
      <c r="AKN229" s="3"/>
      <c r="AKO229" s="3"/>
      <c r="AKP229" s="3"/>
      <c r="AKQ229" s="3"/>
      <c r="AKR229" s="3"/>
      <c r="AKS229" s="3"/>
      <c r="AKT229" s="3"/>
      <c r="AKU229" s="3"/>
      <c r="AKV229" s="3"/>
      <c r="AKW229" s="3"/>
      <c r="AKX229" s="3"/>
      <c r="AKY229" s="3"/>
      <c r="AKZ229" s="3"/>
      <c r="ALA229" s="3"/>
      <c r="ALB229" s="3"/>
      <c r="ALC229" s="3"/>
      <c r="ALD229" s="3"/>
      <c r="ALE229" s="3"/>
      <c r="ALF229" s="3"/>
      <c r="ALG229" s="3"/>
      <c r="ALH229" s="3"/>
      <c r="ALI229" s="3"/>
      <c r="ALJ229" s="3"/>
      <c r="ALK229" s="3"/>
      <c r="ALL229" s="3"/>
      <c r="ALM229" s="3"/>
      <c r="ALN229" s="3"/>
      <c r="ALO229" s="3"/>
      <c r="ALP229" s="3"/>
      <c r="ALQ229" s="3"/>
      <c r="ALR229" s="3"/>
      <c r="ALS229" s="3"/>
      <c r="ALT229" s="3"/>
      <c r="ALU229" s="3"/>
      <c r="ALV229" s="3"/>
      <c r="ALW229" s="3"/>
      <c r="ALX229" s="3"/>
      <c r="ALY229" s="3"/>
      <c r="ALZ229" s="3"/>
      <c r="AMA229" s="3"/>
      <c r="AMB229" s="3"/>
      <c r="AMC229" s="3"/>
      <c r="AMD229" s="3"/>
      <c r="AME229" s="3"/>
      <c r="AMF229" s="3"/>
      <c r="AMG229" s="3"/>
      <c r="AMH229" s="3"/>
      <c r="AMI229" s="3"/>
      <c r="AMJ229" s="3"/>
      <c r="AMK229" s="3"/>
      <c r="AML229" s="3"/>
      <c r="AMM229" s="3"/>
    </row>
    <row r="230" spans="1:1027" ht="15" customHeight="1">
      <c r="A230" s="12">
        <v>889</v>
      </c>
      <c r="B230" s="13" t="s">
        <v>411</v>
      </c>
      <c r="C230" s="14"/>
      <c r="D230" s="14" t="s">
        <v>410</v>
      </c>
      <c r="E230" s="14" t="s">
        <v>215</v>
      </c>
      <c r="F230" s="15" t="s">
        <v>22</v>
      </c>
      <c r="G230" s="21"/>
      <c r="H230" s="58">
        <v>2</v>
      </c>
      <c r="I230" s="14"/>
      <c r="J230" s="14" t="s">
        <v>23</v>
      </c>
      <c r="K230" s="14"/>
      <c r="L230" s="14"/>
      <c r="M230" s="14" t="s">
        <v>29</v>
      </c>
      <c r="N230" s="25" t="s">
        <v>37</v>
      </c>
      <c r="O230" s="14" t="s">
        <v>412</v>
      </c>
      <c r="P230" s="14"/>
      <c r="Q230" s="14"/>
      <c r="R230" s="14" t="s">
        <v>158</v>
      </c>
    </row>
    <row r="231" spans="1:1027" ht="15" customHeight="1">
      <c r="A231" s="12">
        <v>1678</v>
      </c>
      <c r="B231" s="13" t="s">
        <v>413</v>
      </c>
      <c r="C231" s="14"/>
      <c r="D231" s="14" t="s">
        <v>410</v>
      </c>
      <c r="E231" s="14" t="s">
        <v>215</v>
      </c>
      <c r="F231" s="15" t="s">
        <v>22</v>
      </c>
      <c r="G231" s="14"/>
      <c r="H231" s="58">
        <v>3</v>
      </c>
      <c r="I231" s="14"/>
      <c r="J231" s="14" t="s">
        <v>23</v>
      </c>
      <c r="K231" s="14"/>
      <c r="L231" s="14"/>
      <c r="M231" s="14" t="s">
        <v>32</v>
      </c>
      <c r="N231" s="25" t="s">
        <v>37</v>
      </c>
      <c r="O231" s="14" t="s">
        <v>45</v>
      </c>
      <c r="P231" s="14"/>
      <c r="Q231" s="14"/>
      <c r="R231" s="14" t="s">
        <v>308</v>
      </c>
    </row>
    <row r="232" spans="1:1027" ht="15" customHeight="1">
      <c r="A232" s="12">
        <v>113</v>
      </c>
      <c r="B232" s="13" t="s">
        <v>414</v>
      </c>
      <c r="C232" s="14"/>
      <c r="D232" s="14" t="s">
        <v>415</v>
      </c>
      <c r="E232" s="14" t="s">
        <v>21</v>
      </c>
      <c r="F232" s="15" t="s">
        <v>22</v>
      </c>
      <c r="G232" s="14"/>
      <c r="H232" s="58"/>
      <c r="I232" s="19"/>
      <c r="J232" s="14" t="s">
        <v>23</v>
      </c>
      <c r="K232" s="15"/>
      <c r="L232" s="15"/>
      <c r="M232" s="14" t="s">
        <v>27</v>
      </c>
      <c r="N232" s="14" t="s">
        <v>25</v>
      </c>
      <c r="O232" s="22"/>
      <c r="P232" s="22"/>
      <c r="Q232" s="22"/>
      <c r="R232" s="17">
        <v>43633</v>
      </c>
      <c r="S232" s="2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WZ232" s="3"/>
      <c r="XA232" s="3"/>
      <c r="XB232" s="3"/>
      <c r="XC232" s="3"/>
      <c r="XD232" s="3"/>
      <c r="XE232" s="3"/>
      <c r="XF232" s="3"/>
      <c r="XG232" s="3"/>
      <c r="XH232" s="3"/>
      <c r="XI232" s="3"/>
      <c r="XJ232" s="3"/>
      <c r="XK232" s="3"/>
      <c r="XL232" s="3"/>
      <c r="XM232" s="3"/>
      <c r="XN232" s="3"/>
      <c r="XO232" s="3"/>
      <c r="XP232" s="3"/>
      <c r="XQ232" s="3"/>
      <c r="XR232" s="3"/>
      <c r="XS232" s="3"/>
      <c r="XT232" s="3"/>
      <c r="XU232" s="3"/>
      <c r="XV232" s="3"/>
      <c r="XW232" s="3"/>
      <c r="XX232" s="3"/>
      <c r="XY232" s="3"/>
      <c r="XZ232" s="3"/>
      <c r="YA232" s="3"/>
      <c r="YB232" s="3"/>
      <c r="YC232" s="3"/>
      <c r="YD232" s="3"/>
      <c r="YE232" s="3"/>
      <c r="YF232" s="3"/>
      <c r="YG232" s="3"/>
      <c r="YH232" s="3"/>
      <c r="YI232" s="3"/>
      <c r="YJ232" s="3"/>
      <c r="YK232" s="3"/>
      <c r="YL232" s="3"/>
      <c r="YM232" s="3"/>
      <c r="YN232" s="3"/>
      <c r="YO232" s="3"/>
      <c r="YP232" s="3"/>
      <c r="YQ232" s="3"/>
      <c r="YR232" s="3"/>
      <c r="YS232" s="3"/>
      <c r="YT232" s="3"/>
      <c r="YU232" s="3"/>
      <c r="YV232" s="3"/>
      <c r="YW232" s="3"/>
      <c r="YX232" s="3"/>
      <c r="YY232" s="3"/>
      <c r="YZ232" s="3"/>
      <c r="ZA232" s="3"/>
      <c r="ZB232" s="3"/>
      <c r="ZC232" s="3"/>
      <c r="ZD232" s="3"/>
      <c r="ZE232" s="3"/>
      <c r="ZF232" s="3"/>
      <c r="ZG232" s="3"/>
      <c r="ZH232" s="3"/>
      <c r="ZI232" s="3"/>
      <c r="ZJ232" s="3"/>
      <c r="ZK232" s="3"/>
      <c r="ZL232" s="3"/>
      <c r="ZM232" s="3"/>
      <c r="ZN232" s="3"/>
      <c r="ZO232" s="3"/>
      <c r="ZP232" s="3"/>
      <c r="ZQ232" s="3"/>
      <c r="ZR232" s="3"/>
      <c r="ZS232" s="3"/>
      <c r="ZT232" s="3"/>
      <c r="ZU232" s="3"/>
      <c r="ZV232" s="3"/>
      <c r="ZW232" s="3"/>
      <c r="ZX232" s="3"/>
      <c r="ZY232" s="3"/>
      <c r="ZZ232" s="3"/>
      <c r="AAA232" s="3"/>
      <c r="AAB232" s="3"/>
      <c r="AAC232" s="3"/>
      <c r="AAD232" s="3"/>
      <c r="AAE232" s="3"/>
      <c r="AAF232" s="3"/>
      <c r="AAG232" s="3"/>
      <c r="AAH232" s="3"/>
      <c r="AAI232" s="3"/>
      <c r="AAJ232" s="3"/>
      <c r="AAK232" s="3"/>
      <c r="AAL232" s="3"/>
      <c r="AAM232" s="3"/>
      <c r="AAN232" s="3"/>
      <c r="AAO232" s="3"/>
      <c r="AAP232" s="3"/>
      <c r="AAQ232" s="3"/>
      <c r="AAR232" s="3"/>
      <c r="AAS232" s="3"/>
      <c r="AAT232" s="3"/>
      <c r="AAU232" s="3"/>
      <c r="AAV232" s="3"/>
      <c r="AAW232" s="3"/>
      <c r="AAX232" s="3"/>
      <c r="AAY232" s="3"/>
      <c r="AAZ232" s="3"/>
      <c r="ABA232" s="3"/>
      <c r="ABB232" s="3"/>
      <c r="ABC232" s="3"/>
      <c r="ABD232" s="3"/>
      <c r="ABE232" s="3"/>
      <c r="ABF232" s="3"/>
      <c r="ABG232" s="3"/>
      <c r="ABH232" s="3"/>
      <c r="ABI232" s="3"/>
      <c r="ABJ232" s="3"/>
      <c r="ABK232" s="3"/>
      <c r="ABL232" s="3"/>
      <c r="ABM232" s="3"/>
      <c r="ABN232" s="3"/>
      <c r="ABO232" s="3"/>
      <c r="ABP232" s="3"/>
      <c r="ABQ232" s="3"/>
      <c r="ABR232" s="3"/>
      <c r="ABS232" s="3"/>
      <c r="ABT232" s="3"/>
      <c r="ABU232" s="3"/>
      <c r="ABV232" s="3"/>
      <c r="ABW232" s="3"/>
      <c r="ABX232" s="3"/>
      <c r="ABY232" s="3"/>
      <c r="ABZ232" s="3"/>
      <c r="ACA232" s="3"/>
      <c r="ACB232" s="3"/>
      <c r="ACC232" s="3"/>
      <c r="ACD232" s="3"/>
      <c r="ACE232" s="3"/>
      <c r="ACF232" s="3"/>
      <c r="ACG232" s="3"/>
      <c r="ACH232" s="3"/>
      <c r="ACI232" s="3"/>
      <c r="ACJ232" s="3"/>
      <c r="ACK232" s="3"/>
      <c r="ACL232" s="3"/>
      <c r="ACM232" s="3"/>
      <c r="ACN232" s="3"/>
      <c r="ACO232" s="3"/>
      <c r="ACP232" s="3"/>
      <c r="ACQ232" s="3"/>
      <c r="ACR232" s="3"/>
      <c r="ACS232" s="3"/>
      <c r="ACT232" s="3"/>
      <c r="ACU232" s="3"/>
      <c r="ACV232" s="3"/>
      <c r="ACW232" s="3"/>
      <c r="ACX232" s="3"/>
      <c r="ACY232" s="3"/>
      <c r="ACZ232" s="3"/>
      <c r="ADA232" s="3"/>
      <c r="ADB232" s="3"/>
      <c r="ADC232" s="3"/>
      <c r="ADD232" s="3"/>
      <c r="ADE232" s="3"/>
      <c r="ADF232" s="3"/>
      <c r="ADG232" s="3"/>
      <c r="ADH232" s="3"/>
      <c r="ADI232" s="3"/>
      <c r="ADJ232" s="3"/>
      <c r="ADK232" s="3"/>
      <c r="ADL232" s="3"/>
      <c r="ADM232" s="3"/>
      <c r="ADN232" s="3"/>
      <c r="ADO232" s="3"/>
      <c r="ADP232" s="3"/>
      <c r="ADQ232" s="3"/>
      <c r="ADR232" s="3"/>
      <c r="ADS232" s="3"/>
      <c r="ADT232" s="3"/>
      <c r="ADU232" s="3"/>
      <c r="ADV232" s="3"/>
      <c r="ADW232" s="3"/>
      <c r="ADX232" s="3"/>
      <c r="ADY232" s="3"/>
      <c r="ADZ232" s="3"/>
      <c r="AEA232" s="3"/>
      <c r="AEB232" s="3"/>
      <c r="AEC232" s="3"/>
      <c r="AED232" s="3"/>
      <c r="AEE232" s="3"/>
      <c r="AEF232" s="3"/>
      <c r="AEG232" s="3"/>
      <c r="AEH232" s="3"/>
      <c r="AEI232" s="3"/>
      <c r="AEJ232" s="3"/>
      <c r="AEK232" s="3"/>
      <c r="AEL232" s="3"/>
      <c r="AEM232" s="3"/>
      <c r="AEN232" s="3"/>
      <c r="AEO232" s="3"/>
      <c r="AEP232" s="3"/>
      <c r="AEQ232" s="3"/>
      <c r="AER232" s="3"/>
      <c r="AES232" s="3"/>
      <c r="AET232" s="3"/>
      <c r="AEU232" s="3"/>
      <c r="AEV232" s="3"/>
      <c r="AEW232" s="3"/>
      <c r="AEX232" s="3"/>
      <c r="AEY232" s="3"/>
      <c r="AEZ232" s="3"/>
      <c r="AFA232" s="3"/>
      <c r="AFB232" s="3"/>
      <c r="AFC232" s="3"/>
      <c r="AFD232" s="3"/>
      <c r="AFE232" s="3"/>
      <c r="AFF232" s="3"/>
      <c r="AFG232" s="3"/>
      <c r="AFH232" s="3"/>
      <c r="AFI232" s="3"/>
      <c r="AFJ232" s="3"/>
      <c r="AFK232" s="3"/>
      <c r="AFL232" s="3"/>
      <c r="AFM232" s="3"/>
      <c r="AFN232" s="3"/>
      <c r="AFO232" s="3"/>
      <c r="AFP232" s="3"/>
      <c r="AFQ232" s="3"/>
      <c r="AFR232" s="3"/>
      <c r="AFS232" s="3"/>
      <c r="AFT232" s="3"/>
      <c r="AFU232" s="3"/>
      <c r="AFV232" s="3"/>
      <c r="AFW232" s="3"/>
      <c r="AFX232" s="3"/>
      <c r="AFY232" s="3"/>
      <c r="AFZ232" s="3"/>
      <c r="AGA232" s="3"/>
      <c r="AGB232" s="3"/>
      <c r="AGC232" s="3"/>
      <c r="AGD232" s="3"/>
      <c r="AGE232" s="3"/>
      <c r="AGF232" s="3"/>
      <c r="AGG232" s="3"/>
      <c r="AGH232" s="3"/>
      <c r="AGI232" s="3"/>
      <c r="AGJ232" s="3"/>
      <c r="AGK232" s="3"/>
      <c r="AGL232" s="3"/>
      <c r="AGM232" s="3"/>
      <c r="AGN232" s="3"/>
      <c r="AGO232" s="3"/>
      <c r="AGP232" s="3"/>
      <c r="AGQ232" s="3"/>
      <c r="AGR232" s="3"/>
      <c r="AGS232" s="3"/>
      <c r="AGT232" s="3"/>
      <c r="AGU232" s="3"/>
      <c r="AGV232" s="3"/>
      <c r="AGW232" s="3"/>
      <c r="AGX232" s="3"/>
      <c r="AGY232" s="3"/>
      <c r="AGZ232" s="3"/>
      <c r="AHA232" s="3"/>
      <c r="AHB232" s="3"/>
      <c r="AHC232" s="3"/>
      <c r="AHD232" s="3"/>
      <c r="AHE232" s="3"/>
      <c r="AHF232" s="3"/>
      <c r="AHG232" s="3"/>
      <c r="AHH232" s="3"/>
      <c r="AHI232" s="3"/>
      <c r="AHJ232" s="3"/>
      <c r="AHK232" s="3"/>
      <c r="AHL232" s="3"/>
      <c r="AHM232" s="3"/>
      <c r="AHN232" s="3"/>
      <c r="AHO232" s="3"/>
      <c r="AHP232" s="3"/>
      <c r="AHQ232" s="3"/>
      <c r="AHR232" s="3"/>
      <c r="AHS232" s="3"/>
      <c r="AHT232" s="3"/>
      <c r="AHU232" s="3"/>
      <c r="AHV232" s="3"/>
      <c r="AHW232" s="3"/>
      <c r="AHX232" s="3"/>
      <c r="AHY232" s="3"/>
      <c r="AHZ232" s="3"/>
      <c r="AIA232" s="3"/>
      <c r="AIB232" s="3"/>
      <c r="AIC232" s="3"/>
      <c r="AID232" s="3"/>
      <c r="AIE232" s="3"/>
      <c r="AIF232" s="3"/>
      <c r="AIG232" s="3"/>
      <c r="AIH232" s="3"/>
      <c r="AII232" s="3"/>
      <c r="AIJ232" s="3"/>
      <c r="AIK232" s="3"/>
      <c r="AIL232" s="3"/>
      <c r="AIM232" s="3"/>
      <c r="AIN232" s="3"/>
      <c r="AIO232" s="3"/>
      <c r="AIP232" s="3"/>
      <c r="AIQ232" s="3"/>
      <c r="AIR232" s="3"/>
      <c r="AIS232" s="3"/>
      <c r="AIT232" s="3"/>
      <c r="AIU232" s="3"/>
      <c r="AIV232" s="3"/>
      <c r="AIW232" s="3"/>
      <c r="AIX232" s="3"/>
      <c r="AIY232" s="3"/>
      <c r="AIZ232" s="3"/>
      <c r="AJA232" s="3"/>
      <c r="AJB232" s="3"/>
      <c r="AJC232" s="3"/>
      <c r="AJD232" s="3"/>
      <c r="AJE232" s="3"/>
      <c r="AJF232" s="3"/>
      <c r="AJG232" s="3"/>
      <c r="AJH232" s="3"/>
      <c r="AJI232" s="3"/>
      <c r="AJJ232" s="3"/>
      <c r="AJK232" s="3"/>
      <c r="AJL232" s="3"/>
      <c r="AJM232" s="3"/>
      <c r="AJN232" s="3"/>
      <c r="AJO232" s="3"/>
      <c r="AJP232" s="3"/>
      <c r="AJQ232" s="3"/>
      <c r="AJR232" s="3"/>
      <c r="AJS232" s="3"/>
      <c r="AJT232" s="3"/>
      <c r="AJU232" s="3"/>
      <c r="AJV232" s="3"/>
      <c r="AJW232" s="3"/>
      <c r="AJX232" s="3"/>
      <c r="AJY232" s="3"/>
      <c r="AJZ232" s="3"/>
      <c r="AKA232" s="3"/>
      <c r="AKB232" s="3"/>
      <c r="AKC232" s="3"/>
      <c r="AKD232" s="3"/>
      <c r="AKE232" s="3"/>
      <c r="AKF232" s="3"/>
      <c r="AKG232" s="3"/>
      <c r="AKH232" s="3"/>
      <c r="AKI232" s="3"/>
      <c r="AKJ232" s="3"/>
      <c r="AKK232" s="3"/>
      <c r="AKL232" s="3"/>
      <c r="AKM232" s="3"/>
      <c r="AKN232" s="3"/>
      <c r="AKO232" s="3"/>
      <c r="AKP232" s="3"/>
      <c r="AKQ232" s="3"/>
      <c r="AKR232" s="3"/>
      <c r="AKS232" s="3"/>
      <c r="AKT232" s="3"/>
      <c r="AKU232" s="3"/>
      <c r="AKV232" s="3"/>
      <c r="AKW232" s="3"/>
      <c r="AKX232" s="3"/>
      <c r="AKY232" s="3"/>
      <c r="AKZ232" s="3"/>
      <c r="ALA232" s="3"/>
      <c r="ALB232" s="3"/>
      <c r="ALC232" s="3"/>
      <c r="ALD232" s="3"/>
      <c r="ALE232" s="3"/>
      <c r="ALF232" s="3"/>
      <c r="ALG232" s="3"/>
      <c r="ALH232" s="3"/>
      <c r="ALI232" s="3"/>
      <c r="ALJ232" s="3"/>
      <c r="ALK232" s="3"/>
      <c r="ALL232" s="3"/>
      <c r="ALM232" s="3"/>
      <c r="ALN232" s="3"/>
      <c r="ALO232" s="3"/>
      <c r="ALP232" s="3"/>
      <c r="ALQ232" s="3"/>
      <c r="ALR232" s="3"/>
      <c r="ALS232" s="3"/>
      <c r="ALT232" s="3"/>
      <c r="ALU232" s="3"/>
      <c r="ALV232" s="3"/>
      <c r="ALW232" s="3"/>
      <c r="ALX232" s="3"/>
      <c r="ALY232" s="3"/>
      <c r="ALZ232" s="3"/>
      <c r="AMA232" s="3"/>
      <c r="AMB232" s="3"/>
      <c r="AMC232" s="3"/>
      <c r="AMD232" s="3"/>
      <c r="AME232" s="3"/>
      <c r="AMF232" s="3"/>
      <c r="AMG232" s="3"/>
      <c r="AMH232" s="3"/>
      <c r="AMI232" s="3"/>
      <c r="AMJ232" s="3"/>
      <c r="AMK232" s="3"/>
      <c r="AML232" s="3"/>
      <c r="AMM232" s="3"/>
    </row>
    <row r="233" spans="1:1027" ht="15" customHeight="1">
      <c r="A233" s="12">
        <v>890</v>
      </c>
      <c r="B233" s="13" t="s">
        <v>416</v>
      </c>
      <c r="C233" s="14"/>
      <c r="D233" s="14" t="s">
        <v>415</v>
      </c>
      <c r="E233" s="14" t="s">
        <v>417</v>
      </c>
      <c r="F233" s="15" t="s">
        <v>22</v>
      </c>
      <c r="G233" s="21"/>
      <c r="H233" s="58">
        <v>1</v>
      </c>
      <c r="I233" s="14"/>
      <c r="J233" s="14" t="s">
        <v>23</v>
      </c>
      <c r="K233" s="14"/>
      <c r="L233" s="14"/>
      <c r="M233" s="14" t="s">
        <v>29</v>
      </c>
      <c r="N233" s="14" t="s">
        <v>25</v>
      </c>
      <c r="O233" s="14"/>
      <c r="P233" s="14"/>
      <c r="Q233" s="14"/>
      <c r="R233" s="14" t="s">
        <v>158</v>
      </c>
    </row>
    <row r="234" spans="1:1027" ht="15" customHeight="1">
      <c r="A234" s="12">
        <v>1679</v>
      </c>
      <c r="B234" s="13" t="s">
        <v>418</v>
      </c>
      <c r="C234" s="14"/>
      <c r="D234" s="14" t="s">
        <v>415</v>
      </c>
      <c r="E234" s="14" t="s">
        <v>21</v>
      </c>
      <c r="F234" s="15" t="s">
        <v>22</v>
      </c>
      <c r="G234" s="14"/>
      <c r="H234" s="58">
        <v>0</v>
      </c>
      <c r="I234" s="14"/>
      <c r="J234" s="14" t="s">
        <v>23</v>
      </c>
      <c r="K234" s="14"/>
      <c r="L234" s="14"/>
      <c r="M234" s="14" t="s">
        <v>32</v>
      </c>
      <c r="N234" s="14" t="s">
        <v>25</v>
      </c>
      <c r="O234" s="14"/>
      <c r="P234" s="14"/>
      <c r="Q234" s="14"/>
      <c r="R234" s="14" t="s">
        <v>308</v>
      </c>
    </row>
    <row r="235" spans="1:1027" ht="15" customHeight="1">
      <c r="A235" s="12">
        <v>114</v>
      </c>
      <c r="B235" s="13" t="s">
        <v>419</v>
      </c>
      <c r="C235" s="14"/>
      <c r="D235" s="14" t="s">
        <v>420</v>
      </c>
      <c r="E235" s="14" t="s">
        <v>36</v>
      </c>
      <c r="F235" s="15" t="s">
        <v>22</v>
      </c>
      <c r="G235" s="14"/>
      <c r="H235" s="58"/>
      <c r="I235" s="19"/>
      <c r="J235" s="14" t="s">
        <v>23</v>
      </c>
      <c r="K235" s="15"/>
      <c r="L235" s="15"/>
      <c r="M235" s="14" t="s">
        <v>27</v>
      </c>
      <c r="N235" s="25" t="s">
        <v>194</v>
      </c>
      <c r="O235" s="22" t="s">
        <v>189</v>
      </c>
      <c r="P235" s="22"/>
      <c r="Q235" s="22"/>
      <c r="R235" s="17">
        <v>43633</v>
      </c>
      <c r="S235" s="2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  <c r="XX235" s="3"/>
      <c r="XY235" s="3"/>
      <c r="XZ235" s="3"/>
      <c r="YA235" s="3"/>
      <c r="YB235" s="3"/>
      <c r="YC235" s="3"/>
      <c r="YD235" s="3"/>
      <c r="YE235" s="3"/>
      <c r="YF235" s="3"/>
      <c r="YG235" s="3"/>
      <c r="YH235" s="3"/>
      <c r="YI235" s="3"/>
      <c r="YJ235" s="3"/>
      <c r="YK235" s="3"/>
      <c r="YL235" s="3"/>
      <c r="YM235" s="3"/>
      <c r="YN235" s="3"/>
      <c r="YO235" s="3"/>
      <c r="YP235" s="3"/>
      <c r="YQ235" s="3"/>
      <c r="YR235" s="3"/>
      <c r="YS235" s="3"/>
      <c r="YT235" s="3"/>
      <c r="YU235" s="3"/>
      <c r="YV235" s="3"/>
      <c r="YW235" s="3"/>
      <c r="YX235" s="3"/>
      <c r="YY235" s="3"/>
      <c r="YZ235" s="3"/>
      <c r="ZA235" s="3"/>
      <c r="ZB235" s="3"/>
      <c r="ZC235" s="3"/>
      <c r="ZD235" s="3"/>
      <c r="ZE235" s="3"/>
      <c r="ZF235" s="3"/>
      <c r="ZG235" s="3"/>
      <c r="ZH235" s="3"/>
      <c r="ZI235" s="3"/>
      <c r="ZJ235" s="3"/>
      <c r="ZK235" s="3"/>
      <c r="ZL235" s="3"/>
      <c r="ZM235" s="3"/>
      <c r="ZN235" s="3"/>
      <c r="ZO235" s="3"/>
      <c r="ZP235" s="3"/>
      <c r="ZQ235" s="3"/>
      <c r="ZR235" s="3"/>
      <c r="ZS235" s="3"/>
      <c r="ZT235" s="3"/>
      <c r="ZU235" s="3"/>
      <c r="ZV235" s="3"/>
      <c r="ZW235" s="3"/>
      <c r="ZX235" s="3"/>
      <c r="ZY235" s="3"/>
      <c r="ZZ235" s="3"/>
      <c r="AAA235" s="3"/>
      <c r="AAB235" s="3"/>
      <c r="AAC235" s="3"/>
      <c r="AAD235" s="3"/>
      <c r="AAE235" s="3"/>
      <c r="AAF235" s="3"/>
      <c r="AAG235" s="3"/>
      <c r="AAH235" s="3"/>
      <c r="AAI235" s="3"/>
      <c r="AAJ235" s="3"/>
      <c r="AAK235" s="3"/>
      <c r="AAL235" s="3"/>
      <c r="AAM235" s="3"/>
      <c r="AAN235" s="3"/>
      <c r="AAO235" s="3"/>
      <c r="AAP235" s="3"/>
      <c r="AAQ235" s="3"/>
      <c r="AAR235" s="3"/>
      <c r="AAS235" s="3"/>
      <c r="AAT235" s="3"/>
      <c r="AAU235" s="3"/>
      <c r="AAV235" s="3"/>
      <c r="AAW235" s="3"/>
      <c r="AAX235" s="3"/>
      <c r="AAY235" s="3"/>
      <c r="AAZ235" s="3"/>
      <c r="ABA235" s="3"/>
      <c r="ABB235" s="3"/>
      <c r="ABC235" s="3"/>
      <c r="ABD235" s="3"/>
      <c r="ABE235" s="3"/>
      <c r="ABF235" s="3"/>
      <c r="ABG235" s="3"/>
      <c r="ABH235" s="3"/>
      <c r="ABI235" s="3"/>
      <c r="ABJ235" s="3"/>
      <c r="ABK235" s="3"/>
      <c r="ABL235" s="3"/>
      <c r="ABM235" s="3"/>
      <c r="ABN235" s="3"/>
      <c r="ABO235" s="3"/>
      <c r="ABP235" s="3"/>
      <c r="ABQ235" s="3"/>
      <c r="ABR235" s="3"/>
      <c r="ABS235" s="3"/>
      <c r="ABT235" s="3"/>
      <c r="ABU235" s="3"/>
      <c r="ABV235" s="3"/>
      <c r="ABW235" s="3"/>
      <c r="ABX235" s="3"/>
      <c r="ABY235" s="3"/>
      <c r="ABZ235" s="3"/>
      <c r="ACA235" s="3"/>
      <c r="ACB235" s="3"/>
      <c r="ACC235" s="3"/>
      <c r="ACD235" s="3"/>
      <c r="ACE235" s="3"/>
      <c r="ACF235" s="3"/>
      <c r="ACG235" s="3"/>
      <c r="ACH235" s="3"/>
      <c r="ACI235" s="3"/>
      <c r="ACJ235" s="3"/>
      <c r="ACK235" s="3"/>
      <c r="ACL235" s="3"/>
      <c r="ACM235" s="3"/>
      <c r="ACN235" s="3"/>
      <c r="ACO235" s="3"/>
      <c r="ACP235" s="3"/>
      <c r="ACQ235" s="3"/>
      <c r="ACR235" s="3"/>
      <c r="ACS235" s="3"/>
      <c r="ACT235" s="3"/>
      <c r="ACU235" s="3"/>
      <c r="ACV235" s="3"/>
      <c r="ACW235" s="3"/>
      <c r="ACX235" s="3"/>
      <c r="ACY235" s="3"/>
      <c r="ACZ235" s="3"/>
      <c r="ADA235" s="3"/>
      <c r="ADB235" s="3"/>
      <c r="ADC235" s="3"/>
      <c r="ADD235" s="3"/>
      <c r="ADE235" s="3"/>
      <c r="ADF235" s="3"/>
      <c r="ADG235" s="3"/>
      <c r="ADH235" s="3"/>
      <c r="ADI235" s="3"/>
      <c r="ADJ235" s="3"/>
      <c r="ADK235" s="3"/>
      <c r="ADL235" s="3"/>
      <c r="ADM235" s="3"/>
      <c r="ADN235" s="3"/>
      <c r="ADO235" s="3"/>
      <c r="ADP235" s="3"/>
      <c r="ADQ235" s="3"/>
      <c r="ADR235" s="3"/>
      <c r="ADS235" s="3"/>
      <c r="ADT235" s="3"/>
      <c r="ADU235" s="3"/>
      <c r="ADV235" s="3"/>
      <c r="ADW235" s="3"/>
      <c r="ADX235" s="3"/>
      <c r="ADY235" s="3"/>
      <c r="ADZ235" s="3"/>
      <c r="AEA235" s="3"/>
      <c r="AEB235" s="3"/>
      <c r="AEC235" s="3"/>
      <c r="AED235" s="3"/>
      <c r="AEE235" s="3"/>
      <c r="AEF235" s="3"/>
      <c r="AEG235" s="3"/>
      <c r="AEH235" s="3"/>
      <c r="AEI235" s="3"/>
      <c r="AEJ235" s="3"/>
      <c r="AEK235" s="3"/>
      <c r="AEL235" s="3"/>
      <c r="AEM235" s="3"/>
      <c r="AEN235" s="3"/>
      <c r="AEO235" s="3"/>
      <c r="AEP235" s="3"/>
      <c r="AEQ235" s="3"/>
      <c r="AER235" s="3"/>
      <c r="AES235" s="3"/>
      <c r="AET235" s="3"/>
      <c r="AEU235" s="3"/>
      <c r="AEV235" s="3"/>
      <c r="AEW235" s="3"/>
      <c r="AEX235" s="3"/>
      <c r="AEY235" s="3"/>
      <c r="AEZ235" s="3"/>
      <c r="AFA235" s="3"/>
      <c r="AFB235" s="3"/>
      <c r="AFC235" s="3"/>
      <c r="AFD235" s="3"/>
      <c r="AFE235" s="3"/>
      <c r="AFF235" s="3"/>
      <c r="AFG235" s="3"/>
      <c r="AFH235" s="3"/>
      <c r="AFI235" s="3"/>
      <c r="AFJ235" s="3"/>
      <c r="AFK235" s="3"/>
      <c r="AFL235" s="3"/>
      <c r="AFM235" s="3"/>
      <c r="AFN235" s="3"/>
      <c r="AFO235" s="3"/>
      <c r="AFP235" s="3"/>
      <c r="AFQ235" s="3"/>
      <c r="AFR235" s="3"/>
      <c r="AFS235" s="3"/>
      <c r="AFT235" s="3"/>
      <c r="AFU235" s="3"/>
      <c r="AFV235" s="3"/>
      <c r="AFW235" s="3"/>
      <c r="AFX235" s="3"/>
      <c r="AFY235" s="3"/>
      <c r="AFZ235" s="3"/>
      <c r="AGA235" s="3"/>
      <c r="AGB235" s="3"/>
      <c r="AGC235" s="3"/>
      <c r="AGD235" s="3"/>
      <c r="AGE235" s="3"/>
      <c r="AGF235" s="3"/>
      <c r="AGG235" s="3"/>
      <c r="AGH235" s="3"/>
      <c r="AGI235" s="3"/>
      <c r="AGJ235" s="3"/>
      <c r="AGK235" s="3"/>
      <c r="AGL235" s="3"/>
      <c r="AGM235" s="3"/>
      <c r="AGN235" s="3"/>
      <c r="AGO235" s="3"/>
      <c r="AGP235" s="3"/>
      <c r="AGQ235" s="3"/>
      <c r="AGR235" s="3"/>
      <c r="AGS235" s="3"/>
      <c r="AGT235" s="3"/>
      <c r="AGU235" s="3"/>
      <c r="AGV235" s="3"/>
      <c r="AGW235" s="3"/>
      <c r="AGX235" s="3"/>
      <c r="AGY235" s="3"/>
      <c r="AGZ235" s="3"/>
      <c r="AHA235" s="3"/>
      <c r="AHB235" s="3"/>
      <c r="AHC235" s="3"/>
      <c r="AHD235" s="3"/>
      <c r="AHE235" s="3"/>
      <c r="AHF235" s="3"/>
      <c r="AHG235" s="3"/>
      <c r="AHH235" s="3"/>
      <c r="AHI235" s="3"/>
      <c r="AHJ235" s="3"/>
      <c r="AHK235" s="3"/>
      <c r="AHL235" s="3"/>
      <c r="AHM235" s="3"/>
      <c r="AHN235" s="3"/>
      <c r="AHO235" s="3"/>
      <c r="AHP235" s="3"/>
      <c r="AHQ235" s="3"/>
      <c r="AHR235" s="3"/>
      <c r="AHS235" s="3"/>
      <c r="AHT235" s="3"/>
      <c r="AHU235" s="3"/>
      <c r="AHV235" s="3"/>
      <c r="AHW235" s="3"/>
      <c r="AHX235" s="3"/>
      <c r="AHY235" s="3"/>
      <c r="AHZ235" s="3"/>
      <c r="AIA235" s="3"/>
      <c r="AIB235" s="3"/>
      <c r="AIC235" s="3"/>
      <c r="AID235" s="3"/>
      <c r="AIE235" s="3"/>
      <c r="AIF235" s="3"/>
      <c r="AIG235" s="3"/>
      <c r="AIH235" s="3"/>
      <c r="AII235" s="3"/>
      <c r="AIJ235" s="3"/>
      <c r="AIK235" s="3"/>
      <c r="AIL235" s="3"/>
      <c r="AIM235" s="3"/>
      <c r="AIN235" s="3"/>
      <c r="AIO235" s="3"/>
      <c r="AIP235" s="3"/>
      <c r="AIQ235" s="3"/>
      <c r="AIR235" s="3"/>
      <c r="AIS235" s="3"/>
      <c r="AIT235" s="3"/>
      <c r="AIU235" s="3"/>
      <c r="AIV235" s="3"/>
      <c r="AIW235" s="3"/>
      <c r="AIX235" s="3"/>
      <c r="AIY235" s="3"/>
      <c r="AIZ235" s="3"/>
      <c r="AJA235" s="3"/>
      <c r="AJB235" s="3"/>
      <c r="AJC235" s="3"/>
      <c r="AJD235" s="3"/>
      <c r="AJE235" s="3"/>
      <c r="AJF235" s="3"/>
      <c r="AJG235" s="3"/>
      <c r="AJH235" s="3"/>
      <c r="AJI235" s="3"/>
      <c r="AJJ235" s="3"/>
      <c r="AJK235" s="3"/>
      <c r="AJL235" s="3"/>
      <c r="AJM235" s="3"/>
      <c r="AJN235" s="3"/>
      <c r="AJO235" s="3"/>
      <c r="AJP235" s="3"/>
      <c r="AJQ235" s="3"/>
      <c r="AJR235" s="3"/>
      <c r="AJS235" s="3"/>
      <c r="AJT235" s="3"/>
      <c r="AJU235" s="3"/>
      <c r="AJV235" s="3"/>
      <c r="AJW235" s="3"/>
      <c r="AJX235" s="3"/>
      <c r="AJY235" s="3"/>
      <c r="AJZ235" s="3"/>
      <c r="AKA235" s="3"/>
      <c r="AKB235" s="3"/>
      <c r="AKC235" s="3"/>
      <c r="AKD235" s="3"/>
      <c r="AKE235" s="3"/>
      <c r="AKF235" s="3"/>
      <c r="AKG235" s="3"/>
      <c r="AKH235" s="3"/>
      <c r="AKI235" s="3"/>
      <c r="AKJ235" s="3"/>
      <c r="AKK235" s="3"/>
      <c r="AKL235" s="3"/>
      <c r="AKM235" s="3"/>
      <c r="AKN235" s="3"/>
      <c r="AKO235" s="3"/>
      <c r="AKP235" s="3"/>
      <c r="AKQ235" s="3"/>
      <c r="AKR235" s="3"/>
      <c r="AKS235" s="3"/>
      <c r="AKT235" s="3"/>
      <c r="AKU235" s="3"/>
      <c r="AKV235" s="3"/>
      <c r="AKW235" s="3"/>
      <c r="AKX235" s="3"/>
      <c r="AKY235" s="3"/>
      <c r="AKZ235" s="3"/>
      <c r="ALA235" s="3"/>
      <c r="ALB235" s="3"/>
      <c r="ALC235" s="3"/>
      <c r="ALD235" s="3"/>
      <c r="ALE235" s="3"/>
      <c r="ALF235" s="3"/>
      <c r="ALG235" s="3"/>
      <c r="ALH235" s="3"/>
      <c r="ALI235" s="3"/>
      <c r="ALJ235" s="3"/>
      <c r="ALK235" s="3"/>
      <c r="ALL235" s="3"/>
      <c r="ALM235" s="3"/>
      <c r="ALN235" s="3"/>
      <c r="ALO235" s="3"/>
      <c r="ALP235" s="3"/>
      <c r="ALQ235" s="3"/>
      <c r="ALR235" s="3"/>
      <c r="ALS235" s="3"/>
      <c r="ALT235" s="3"/>
      <c r="ALU235" s="3"/>
      <c r="ALV235" s="3"/>
      <c r="ALW235" s="3"/>
      <c r="ALX235" s="3"/>
      <c r="ALY235" s="3"/>
      <c r="ALZ235" s="3"/>
      <c r="AMA235" s="3"/>
      <c r="AMB235" s="3"/>
      <c r="AMC235" s="3"/>
      <c r="AMD235" s="3"/>
      <c r="AME235" s="3"/>
      <c r="AMF235" s="3"/>
      <c r="AMG235" s="3"/>
      <c r="AMH235" s="3"/>
      <c r="AMI235" s="3"/>
      <c r="AMJ235" s="3"/>
      <c r="AMK235" s="3"/>
      <c r="AML235" s="3"/>
      <c r="AMM235" s="3"/>
    </row>
    <row r="236" spans="1:1027" ht="15" customHeight="1">
      <c r="A236" s="12">
        <v>891</v>
      </c>
      <c r="B236" s="13" t="s">
        <v>421</v>
      </c>
      <c r="C236" s="14"/>
      <c r="D236" s="14" t="s">
        <v>420</v>
      </c>
      <c r="E236" s="14" t="s">
        <v>36</v>
      </c>
      <c r="F236" s="15" t="s">
        <v>22</v>
      </c>
      <c r="G236" s="21"/>
      <c r="H236" s="58">
        <v>2</v>
      </c>
      <c r="I236" s="14"/>
      <c r="J236" s="14" t="s">
        <v>23</v>
      </c>
      <c r="K236" s="14"/>
      <c r="L236" s="14"/>
      <c r="M236" s="14" t="s">
        <v>29</v>
      </c>
      <c r="N236" s="25" t="s">
        <v>37</v>
      </c>
      <c r="O236" s="14" t="s">
        <v>422</v>
      </c>
      <c r="P236" s="14"/>
      <c r="Q236" s="14"/>
      <c r="R236" s="14" t="s">
        <v>158</v>
      </c>
    </row>
    <row r="237" spans="1:1027" ht="15" customHeight="1">
      <c r="A237" s="12">
        <v>1680</v>
      </c>
      <c r="B237" s="13" t="s">
        <v>423</v>
      </c>
      <c r="C237" s="14"/>
      <c r="D237" s="14" t="s">
        <v>420</v>
      </c>
      <c r="E237" s="14" t="s">
        <v>36</v>
      </c>
      <c r="F237" s="15" t="s">
        <v>22</v>
      </c>
      <c r="G237" s="14"/>
      <c r="H237" s="58">
        <v>2</v>
      </c>
      <c r="I237" s="14"/>
      <c r="J237" s="14" t="s">
        <v>23</v>
      </c>
      <c r="K237" s="14"/>
      <c r="L237" s="14"/>
      <c r="M237" s="14" t="s">
        <v>32</v>
      </c>
      <c r="N237" s="25" t="s">
        <v>37</v>
      </c>
      <c r="O237" s="14" t="s">
        <v>424</v>
      </c>
      <c r="P237" s="14"/>
      <c r="Q237" s="14"/>
      <c r="R237" s="14" t="s">
        <v>308</v>
      </c>
    </row>
    <row r="238" spans="1:1027" ht="15" customHeight="1">
      <c r="A238" s="12">
        <v>115</v>
      </c>
      <c r="B238" s="13" t="s">
        <v>425</v>
      </c>
      <c r="C238" s="14"/>
      <c r="D238" s="14" t="s">
        <v>426</v>
      </c>
      <c r="E238" s="14" t="s">
        <v>92</v>
      </c>
      <c r="F238" s="15" t="s">
        <v>22</v>
      </c>
      <c r="G238" s="14"/>
      <c r="H238" s="58"/>
      <c r="I238" s="19"/>
      <c r="J238" s="14" t="s">
        <v>23</v>
      </c>
      <c r="K238" s="15"/>
      <c r="L238" s="15"/>
      <c r="M238" s="14" t="s">
        <v>27</v>
      </c>
      <c r="N238" s="25" t="s">
        <v>37</v>
      </c>
      <c r="O238" s="22" t="s">
        <v>80</v>
      </c>
      <c r="P238" s="22"/>
      <c r="Q238" s="22"/>
      <c r="R238" s="17">
        <v>43633</v>
      </c>
      <c r="S238" s="2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  <c r="XX238" s="3"/>
      <c r="XY238" s="3"/>
      <c r="XZ238" s="3"/>
      <c r="YA238" s="3"/>
      <c r="YB238" s="3"/>
      <c r="YC238" s="3"/>
      <c r="YD238" s="3"/>
      <c r="YE238" s="3"/>
      <c r="YF238" s="3"/>
      <c r="YG238" s="3"/>
      <c r="YH238" s="3"/>
      <c r="YI238" s="3"/>
      <c r="YJ238" s="3"/>
      <c r="YK238" s="3"/>
      <c r="YL238" s="3"/>
      <c r="YM238" s="3"/>
      <c r="YN238" s="3"/>
      <c r="YO238" s="3"/>
      <c r="YP238" s="3"/>
      <c r="YQ238" s="3"/>
      <c r="YR238" s="3"/>
      <c r="YS238" s="3"/>
      <c r="YT238" s="3"/>
      <c r="YU238" s="3"/>
      <c r="YV238" s="3"/>
      <c r="YW238" s="3"/>
      <c r="YX238" s="3"/>
      <c r="YY238" s="3"/>
      <c r="YZ238" s="3"/>
      <c r="ZA238" s="3"/>
      <c r="ZB238" s="3"/>
      <c r="ZC238" s="3"/>
      <c r="ZD238" s="3"/>
      <c r="ZE238" s="3"/>
      <c r="ZF238" s="3"/>
      <c r="ZG238" s="3"/>
      <c r="ZH238" s="3"/>
      <c r="ZI238" s="3"/>
      <c r="ZJ238" s="3"/>
      <c r="ZK238" s="3"/>
      <c r="ZL238" s="3"/>
      <c r="ZM238" s="3"/>
      <c r="ZN238" s="3"/>
      <c r="ZO238" s="3"/>
      <c r="ZP238" s="3"/>
      <c r="ZQ238" s="3"/>
      <c r="ZR238" s="3"/>
      <c r="ZS238" s="3"/>
      <c r="ZT238" s="3"/>
      <c r="ZU238" s="3"/>
      <c r="ZV238" s="3"/>
      <c r="ZW238" s="3"/>
      <c r="ZX238" s="3"/>
      <c r="ZY238" s="3"/>
      <c r="ZZ238" s="3"/>
      <c r="AAA238" s="3"/>
      <c r="AAB238" s="3"/>
      <c r="AAC238" s="3"/>
      <c r="AAD238" s="3"/>
      <c r="AAE238" s="3"/>
      <c r="AAF238" s="3"/>
      <c r="AAG238" s="3"/>
      <c r="AAH238" s="3"/>
      <c r="AAI238" s="3"/>
      <c r="AAJ238" s="3"/>
      <c r="AAK238" s="3"/>
      <c r="AAL238" s="3"/>
      <c r="AAM238" s="3"/>
      <c r="AAN238" s="3"/>
      <c r="AAO238" s="3"/>
      <c r="AAP238" s="3"/>
      <c r="AAQ238" s="3"/>
      <c r="AAR238" s="3"/>
      <c r="AAS238" s="3"/>
      <c r="AAT238" s="3"/>
      <c r="AAU238" s="3"/>
      <c r="AAV238" s="3"/>
      <c r="AAW238" s="3"/>
      <c r="AAX238" s="3"/>
      <c r="AAY238" s="3"/>
      <c r="AAZ238" s="3"/>
      <c r="ABA238" s="3"/>
      <c r="ABB238" s="3"/>
      <c r="ABC238" s="3"/>
      <c r="ABD238" s="3"/>
      <c r="ABE238" s="3"/>
      <c r="ABF238" s="3"/>
      <c r="ABG238" s="3"/>
      <c r="ABH238" s="3"/>
      <c r="ABI238" s="3"/>
      <c r="ABJ238" s="3"/>
      <c r="ABK238" s="3"/>
      <c r="ABL238" s="3"/>
      <c r="ABM238" s="3"/>
      <c r="ABN238" s="3"/>
      <c r="ABO238" s="3"/>
      <c r="ABP238" s="3"/>
      <c r="ABQ238" s="3"/>
      <c r="ABR238" s="3"/>
      <c r="ABS238" s="3"/>
      <c r="ABT238" s="3"/>
      <c r="ABU238" s="3"/>
      <c r="ABV238" s="3"/>
      <c r="ABW238" s="3"/>
      <c r="ABX238" s="3"/>
      <c r="ABY238" s="3"/>
      <c r="ABZ238" s="3"/>
      <c r="ACA238" s="3"/>
      <c r="ACB238" s="3"/>
      <c r="ACC238" s="3"/>
      <c r="ACD238" s="3"/>
      <c r="ACE238" s="3"/>
      <c r="ACF238" s="3"/>
      <c r="ACG238" s="3"/>
      <c r="ACH238" s="3"/>
      <c r="ACI238" s="3"/>
      <c r="ACJ238" s="3"/>
      <c r="ACK238" s="3"/>
      <c r="ACL238" s="3"/>
      <c r="ACM238" s="3"/>
      <c r="ACN238" s="3"/>
      <c r="ACO238" s="3"/>
      <c r="ACP238" s="3"/>
      <c r="ACQ238" s="3"/>
      <c r="ACR238" s="3"/>
      <c r="ACS238" s="3"/>
      <c r="ACT238" s="3"/>
      <c r="ACU238" s="3"/>
      <c r="ACV238" s="3"/>
      <c r="ACW238" s="3"/>
      <c r="ACX238" s="3"/>
      <c r="ACY238" s="3"/>
      <c r="ACZ238" s="3"/>
      <c r="ADA238" s="3"/>
      <c r="ADB238" s="3"/>
      <c r="ADC238" s="3"/>
      <c r="ADD238" s="3"/>
      <c r="ADE238" s="3"/>
      <c r="ADF238" s="3"/>
      <c r="ADG238" s="3"/>
      <c r="ADH238" s="3"/>
      <c r="ADI238" s="3"/>
      <c r="ADJ238" s="3"/>
      <c r="ADK238" s="3"/>
      <c r="ADL238" s="3"/>
      <c r="ADM238" s="3"/>
      <c r="ADN238" s="3"/>
      <c r="ADO238" s="3"/>
      <c r="ADP238" s="3"/>
      <c r="ADQ238" s="3"/>
      <c r="ADR238" s="3"/>
      <c r="ADS238" s="3"/>
      <c r="ADT238" s="3"/>
      <c r="ADU238" s="3"/>
      <c r="ADV238" s="3"/>
      <c r="ADW238" s="3"/>
      <c r="ADX238" s="3"/>
      <c r="ADY238" s="3"/>
      <c r="ADZ238" s="3"/>
      <c r="AEA238" s="3"/>
      <c r="AEB238" s="3"/>
      <c r="AEC238" s="3"/>
      <c r="AED238" s="3"/>
      <c r="AEE238" s="3"/>
      <c r="AEF238" s="3"/>
      <c r="AEG238" s="3"/>
      <c r="AEH238" s="3"/>
      <c r="AEI238" s="3"/>
      <c r="AEJ238" s="3"/>
      <c r="AEK238" s="3"/>
      <c r="AEL238" s="3"/>
      <c r="AEM238" s="3"/>
      <c r="AEN238" s="3"/>
      <c r="AEO238" s="3"/>
      <c r="AEP238" s="3"/>
      <c r="AEQ238" s="3"/>
      <c r="AER238" s="3"/>
      <c r="AES238" s="3"/>
      <c r="AET238" s="3"/>
      <c r="AEU238" s="3"/>
      <c r="AEV238" s="3"/>
      <c r="AEW238" s="3"/>
      <c r="AEX238" s="3"/>
      <c r="AEY238" s="3"/>
      <c r="AEZ238" s="3"/>
      <c r="AFA238" s="3"/>
      <c r="AFB238" s="3"/>
      <c r="AFC238" s="3"/>
      <c r="AFD238" s="3"/>
      <c r="AFE238" s="3"/>
      <c r="AFF238" s="3"/>
      <c r="AFG238" s="3"/>
      <c r="AFH238" s="3"/>
      <c r="AFI238" s="3"/>
      <c r="AFJ238" s="3"/>
      <c r="AFK238" s="3"/>
      <c r="AFL238" s="3"/>
      <c r="AFM238" s="3"/>
      <c r="AFN238" s="3"/>
      <c r="AFO238" s="3"/>
      <c r="AFP238" s="3"/>
      <c r="AFQ238" s="3"/>
      <c r="AFR238" s="3"/>
      <c r="AFS238" s="3"/>
      <c r="AFT238" s="3"/>
      <c r="AFU238" s="3"/>
      <c r="AFV238" s="3"/>
      <c r="AFW238" s="3"/>
      <c r="AFX238" s="3"/>
      <c r="AFY238" s="3"/>
      <c r="AFZ238" s="3"/>
      <c r="AGA238" s="3"/>
      <c r="AGB238" s="3"/>
      <c r="AGC238" s="3"/>
      <c r="AGD238" s="3"/>
      <c r="AGE238" s="3"/>
      <c r="AGF238" s="3"/>
      <c r="AGG238" s="3"/>
      <c r="AGH238" s="3"/>
      <c r="AGI238" s="3"/>
      <c r="AGJ238" s="3"/>
      <c r="AGK238" s="3"/>
      <c r="AGL238" s="3"/>
      <c r="AGM238" s="3"/>
      <c r="AGN238" s="3"/>
      <c r="AGO238" s="3"/>
      <c r="AGP238" s="3"/>
      <c r="AGQ238" s="3"/>
      <c r="AGR238" s="3"/>
      <c r="AGS238" s="3"/>
      <c r="AGT238" s="3"/>
      <c r="AGU238" s="3"/>
      <c r="AGV238" s="3"/>
      <c r="AGW238" s="3"/>
      <c r="AGX238" s="3"/>
      <c r="AGY238" s="3"/>
      <c r="AGZ238" s="3"/>
      <c r="AHA238" s="3"/>
      <c r="AHB238" s="3"/>
      <c r="AHC238" s="3"/>
      <c r="AHD238" s="3"/>
      <c r="AHE238" s="3"/>
      <c r="AHF238" s="3"/>
      <c r="AHG238" s="3"/>
      <c r="AHH238" s="3"/>
      <c r="AHI238" s="3"/>
      <c r="AHJ238" s="3"/>
      <c r="AHK238" s="3"/>
      <c r="AHL238" s="3"/>
      <c r="AHM238" s="3"/>
      <c r="AHN238" s="3"/>
      <c r="AHO238" s="3"/>
      <c r="AHP238" s="3"/>
      <c r="AHQ238" s="3"/>
      <c r="AHR238" s="3"/>
      <c r="AHS238" s="3"/>
      <c r="AHT238" s="3"/>
      <c r="AHU238" s="3"/>
      <c r="AHV238" s="3"/>
      <c r="AHW238" s="3"/>
      <c r="AHX238" s="3"/>
      <c r="AHY238" s="3"/>
      <c r="AHZ238" s="3"/>
      <c r="AIA238" s="3"/>
      <c r="AIB238" s="3"/>
      <c r="AIC238" s="3"/>
      <c r="AID238" s="3"/>
      <c r="AIE238" s="3"/>
      <c r="AIF238" s="3"/>
      <c r="AIG238" s="3"/>
      <c r="AIH238" s="3"/>
      <c r="AII238" s="3"/>
      <c r="AIJ238" s="3"/>
      <c r="AIK238" s="3"/>
      <c r="AIL238" s="3"/>
      <c r="AIM238" s="3"/>
      <c r="AIN238" s="3"/>
      <c r="AIO238" s="3"/>
      <c r="AIP238" s="3"/>
      <c r="AIQ238" s="3"/>
      <c r="AIR238" s="3"/>
      <c r="AIS238" s="3"/>
      <c r="AIT238" s="3"/>
      <c r="AIU238" s="3"/>
      <c r="AIV238" s="3"/>
      <c r="AIW238" s="3"/>
      <c r="AIX238" s="3"/>
      <c r="AIY238" s="3"/>
      <c r="AIZ238" s="3"/>
      <c r="AJA238" s="3"/>
      <c r="AJB238" s="3"/>
      <c r="AJC238" s="3"/>
      <c r="AJD238" s="3"/>
      <c r="AJE238" s="3"/>
      <c r="AJF238" s="3"/>
      <c r="AJG238" s="3"/>
      <c r="AJH238" s="3"/>
      <c r="AJI238" s="3"/>
      <c r="AJJ238" s="3"/>
      <c r="AJK238" s="3"/>
      <c r="AJL238" s="3"/>
      <c r="AJM238" s="3"/>
      <c r="AJN238" s="3"/>
      <c r="AJO238" s="3"/>
      <c r="AJP238" s="3"/>
      <c r="AJQ238" s="3"/>
      <c r="AJR238" s="3"/>
      <c r="AJS238" s="3"/>
      <c r="AJT238" s="3"/>
      <c r="AJU238" s="3"/>
      <c r="AJV238" s="3"/>
      <c r="AJW238" s="3"/>
      <c r="AJX238" s="3"/>
      <c r="AJY238" s="3"/>
      <c r="AJZ238" s="3"/>
      <c r="AKA238" s="3"/>
      <c r="AKB238" s="3"/>
      <c r="AKC238" s="3"/>
      <c r="AKD238" s="3"/>
      <c r="AKE238" s="3"/>
      <c r="AKF238" s="3"/>
      <c r="AKG238" s="3"/>
      <c r="AKH238" s="3"/>
      <c r="AKI238" s="3"/>
      <c r="AKJ238" s="3"/>
      <c r="AKK238" s="3"/>
      <c r="AKL238" s="3"/>
      <c r="AKM238" s="3"/>
      <c r="AKN238" s="3"/>
      <c r="AKO238" s="3"/>
      <c r="AKP238" s="3"/>
      <c r="AKQ238" s="3"/>
      <c r="AKR238" s="3"/>
      <c r="AKS238" s="3"/>
      <c r="AKT238" s="3"/>
      <c r="AKU238" s="3"/>
      <c r="AKV238" s="3"/>
      <c r="AKW238" s="3"/>
      <c r="AKX238" s="3"/>
      <c r="AKY238" s="3"/>
      <c r="AKZ238" s="3"/>
      <c r="ALA238" s="3"/>
      <c r="ALB238" s="3"/>
      <c r="ALC238" s="3"/>
      <c r="ALD238" s="3"/>
      <c r="ALE238" s="3"/>
      <c r="ALF238" s="3"/>
      <c r="ALG238" s="3"/>
      <c r="ALH238" s="3"/>
      <c r="ALI238" s="3"/>
      <c r="ALJ238" s="3"/>
      <c r="ALK238" s="3"/>
      <c r="ALL238" s="3"/>
      <c r="ALM238" s="3"/>
      <c r="ALN238" s="3"/>
      <c r="ALO238" s="3"/>
      <c r="ALP238" s="3"/>
      <c r="ALQ238" s="3"/>
      <c r="ALR238" s="3"/>
      <c r="ALS238" s="3"/>
      <c r="ALT238" s="3"/>
      <c r="ALU238" s="3"/>
      <c r="ALV238" s="3"/>
      <c r="ALW238" s="3"/>
      <c r="ALX238" s="3"/>
      <c r="ALY238" s="3"/>
      <c r="ALZ238" s="3"/>
      <c r="AMA238" s="3"/>
      <c r="AMB238" s="3"/>
      <c r="AMC238" s="3"/>
      <c r="AMD238" s="3"/>
      <c r="AME238" s="3"/>
      <c r="AMF238" s="3"/>
      <c r="AMG238" s="3"/>
      <c r="AMH238" s="3"/>
      <c r="AMI238" s="3"/>
      <c r="AMJ238" s="3"/>
      <c r="AMK238" s="3"/>
      <c r="AML238" s="3"/>
      <c r="AMM238" s="3"/>
    </row>
    <row r="239" spans="1:1027" ht="15" customHeight="1">
      <c r="A239" s="12">
        <v>892</v>
      </c>
      <c r="B239" s="13" t="s">
        <v>427</v>
      </c>
      <c r="C239" s="14"/>
      <c r="D239" s="14" t="s">
        <v>426</v>
      </c>
      <c r="E239" s="14" t="s">
        <v>92</v>
      </c>
      <c r="F239" s="15" t="s">
        <v>22</v>
      </c>
      <c r="G239" s="21"/>
      <c r="H239" s="58">
        <v>1</v>
      </c>
      <c r="I239" s="14"/>
      <c r="J239" s="14" t="s">
        <v>23</v>
      </c>
      <c r="K239" s="14"/>
      <c r="L239" s="14"/>
      <c r="M239" s="14" t="s">
        <v>29</v>
      </c>
      <c r="N239" s="25" t="s">
        <v>37</v>
      </c>
      <c r="O239" s="14" t="s">
        <v>428</v>
      </c>
      <c r="P239" s="14"/>
      <c r="Q239" s="14"/>
      <c r="R239" s="14" t="s">
        <v>158</v>
      </c>
    </row>
    <row r="240" spans="1:1027" ht="15" customHeight="1">
      <c r="A240" s="12">
        <v>1681</v>
      </c>
      <c r="B240" s="13" t="s">
        <v>429</v>
      </c>
      <c r="C240" s="14"/>
      <c r="D240" s="14" t="s">
        <v>426</v>
      </c>
      <c r="E240" s="14" t="s">
        <v>92</v>
      </c>
      <c r="F240" s="15" t="s">
        <v>22</v>
      </c>
      <c r="G240" s="14"/>
      <c r="H240" s="58">
        <v>2</v>
      </c>
      <c r="I240" s="14"/>
      <c r="J240" s="14" t="s">
        <v>23</v>
      </c>
      <c r="K240" s="14"/>
      <c r="L240" s="14"/>
      <c r="M240" s="14" t="s">
        <v>32</v>
      </c>
      <c r="N240" s="25" t="s">
        <v>37</v>
      </c>
      <c r="O240" s="14" t="s">
        <v>430</v>
      </c>
      <c r="P240" s="14"/>
      <c r="Q240" s="14"/>
      <c r="R240" s="14" t="s">
        <v>308</v>
      </c>
    </row>
    <row r="241" spans="1:1027" ht="15" customHeight="1">
      <c r="A241" s="12">
        <v>116</v>
      </c>
      <c r="B241" s="13" t="s">
        <v>431</v>
      </c>
      <c r="C241" s="14"/>
      <c r="D241" s="14" t="s">
        <v>432</v>
      </c>
      <c r="E241" s="14" t="s">
        <v>36</v>
      </c>
      <c r="F241" s="15" t="s">
        <v>22</v>
      </c>
      <c r="G241" s="14"/>
      <c r="H241" s="58"/>
      <c r="I241" s="19"/>
      <c r="J241" s="14" t="s">
        <v>23</v>
      </c>
      <c r="K241" s="15"/>
      <c r="L241" s="15"/>
      <c r="M241" s="14" t="s">
        <v>27</v>
      </c>
      <c r="N241" s="25" t="s">
        <v>37</v>
      </c>
      <c r="O241" s="22" t="s">
        <v>45</v>
      </c>
      <c r="P241" s="22"/>
      <c r="Q241" s="22"/>
      <c r="R241" s="17">
        <v>43633</v>
      </c>
      <c r="S241" s="2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WR241" s="3"/>
      <c r="WS241" s="3"/>
      <c r="WT241" s="3"/>
      <c r="WU241" s="3"/>
      <c r="WV241" s="3"/>
      <c r="WW241" s="3"/>
      <c r="WX241" s="3"/>
      <c r="WY241" s="3"/>
      <c r="WZ241" s="3"/>
      <c r="XA241" s="3"/>
      <c r="XB241" s="3"/>
      <c r="XC241" s="3"/>
      <c r="XD241" s="3"/>
      <c r="XE241" s="3"/>
      <c r="XF241" s="3"/>
      <c r="XG241" s="3"/>
      <c r="XH241" s="3"/>
      <c r="XI241" s="3"/>
      <c r="XJ241" s="3"/>
      <c r="XK241" s="3"/>
      <c r="XL241" s="3"/>
      <c r="XM241" s="3"/>
      <c r="XN241" s="3"/>
      <c r="XO241" s="3"/>
      <c r="XP241" s="3"/>
      <c r="XQ241" s="3"/>
      <c r="XR241" s="3"/>
      <c r="XS241" s="3"/>
      <c r="XT241" s="3"/>
      <c r="XU241" s="3"/>
      <c r="XV241" s="3"/>
      <c r="XW241" s="3"/>
      <c r="XX241" s="3"/>
      <c r="XY241" s="3"/>
      <c r="XZ241" s="3"/>
      <c r="YA241" s="3"/>
      <c r="YB241" s="3"/>
      <c r="YC241" s="3"/>
      <c r="YD241" s="3"/>
      <c r="YE241" s="3"/>
      <c r="YF241" s="3"/>
      <c r="YG241" s="3"/>
      <c r="YH241" s="3"/>
      <c r="YI241" s="3"/>
      <c r="YJ241" s="3"/>
      <c r="YK241" s="3"/>
      <c r="YL241" s="3"/>
      <c r="YM241" s="3"/>
      <c r="YN241" s="3"/>
      <c r="YO241" s="3"/>
      <c r="YP241" s="3"/>
      <c r="YQ241" s="3"/>
      <c r="YR241" s="3"/>
      <c r="YS241" s="3"/>
      <c r="YT241" s="3"/>
      <c r="YU241" s="3"/>
      <c r="YV241" s="3"/>
      <c r="YW241" s="3"/>
      <c r="YX241" s="3"/>
      <c r="YY241" s="3"/>
      <c r="YZ241" s="3"/>
      <c r="ZA241" s="3"/>
      <c r="ZB241" s="3"/>
      <c r="ZC241" s="3"/>
      <c r="ZD241" s="3"/>
      <c r="ZE241" s="3"/>
      <c r="ZF241" s="3"/>
      <c r="ZG241" s="3"/>
      <c r="ZH241" s="3"/>
      <c r="ZI241" s="3"/>
      <c r="ZJ241" s="3"/>
      <c r="ZK241" s="3"/>
      <c r="ZL241" s="3"/>
      <c r="ZM241" s="3"/>
      <c r="ZN241" s="3"/>
      <c r="ZO241" s="3"/>
      <c r="ZP241" s="3"/>
      <c r="ZQ241" s="3"/>
      <c r="ZR241" s="3"/>
      <c r="ZS241" s="3"/>
      <c r="ZT241" s="3"/>
      <c r="ZU241" s="3"/>
      <c r="ZV241" s="3"/>
      <c r="ZW241" s="3"/>
      <c r="ZX241" s="3"/>
      <c r="ZY241" s="3"/>
      <c r="ZZ241" s="3"/>
      <c r="AAA241" s="3"/>
      <c r="AAB241" s="3"/>
      <c r="AAC241" s="3"/>
      <c r="AAD241" s="3"/>
      <c r="AAE241" s="3"/>
      <c r="AAF241" s="3"/>
      <c r="AAG241" s="3"/>
      <c r="AAH241" s="3"/>
      <c r="AAI241" s="3"/>
      <c r="AAJ241" s="3"/>
      <c r="AAK241" s="3"/>
      <c r="AAL241" s="3"/>
      <c r="AAM241" s="3"/>
      <c r="AAN241" s="3"/>
      <c r="AAO241" s="3"/>
      <c r="AAP241" s="3"/>
      <c r="AAQ241" s="3"/>
      <c r="AAR241" s="3"/>
      <c r="AAS241" s="3"/>
      <c r="AAT241" s="3"/>
      <c r="AAU241" s="3"/>
      <c r="AAV241" s="3"/>
      <c r="AAW241" s="3"/>
      <c r="AAX241" s="3"/>
      <c r="AAY241" s="3"/>
      <c r="AAZ241" s="3"/>
      <c r="ABA241" s="3"/>
      <c r="ABB241" s="3"/>
      <c r="ABC241" s="3"/>
      <c r="ABD241" s="3"/>
      <c r="ABE241" s="3"/>
      <c r="ABF241" s="3"/>
      <c r="ABG241" s="3"/>
      <c r="ABH241" s="3"/>
      <c r="ABI241" s="3"/>
      <c r="ABJ241" s="3"/>
      <c r="ABK241" s="3"/>
      <c r="ABL241" s="3"/>
      <c r="ABM241" s="3"/>
      <c r="ABN241" s="3"/>
      <c r="ABO241" s="3"/>
      <c r="ABP241" s="3"/>
      <c r="ABQ241" s="3"/>
      <c r="ABR241" s="3"/>
      <c r="ABS241" s="3"/>
      <c r="ABT241" s="3"/>
      <c r="ABU241" s="3"/>
      <c r="ABV241" s="3"/>
      <c r="ABW241" s="3"/>
      <c r="ABX241" s="3"/>
      <c r="ABY241" s="3"/>
      <c r="ABZ241" s="3"/>
      <c r="ACA241" s="3"/>
      <c r="ACB241" s="3"/>
      <c r="ACC241" s="3"/>
      <c r="ACD241" s="3"/>
      <c r="ACE241" s="3"/>
      <c r="ACF241" s="3"/>
      <c r="ACG241" s="3"/>
      <c r="ACH241" s="3"/>
      <c r="ACI241" s="3"/>
      <c r="ACJ241" s="3"/>
      <c r="ACK241" s="3"/>
      <c r="ACL241" s="3"/>
      <c r="ACM241" s="3"/>
      <c r="ACN241" s="3"/>
      <c r="ACO241" s="3"/>
      <c r="ACP241" s="3"/>
      <c r="ACQ241" s="3"/>
      <c r="ACR241" s="3"/>
      <c r="ACS241" s="3"/>
      <c r="ACT241" s="3"/>
      <c r="ACU241" s="3"/>
      <c r="ACV241" s="3"/>
      <c r="ACW241" s="3"/>
      <c r="ACX241" s="3"/>
      <c r="ACY241" s="3"/>
      <c r="ACZ241" s="3"/>
      <c r="ADA241" s="3"/>
      <c r="ADB241" s="3"/>
      <c r="ADC241" s="3"/>
      <c r="ADD241" s="3"/>
      <c r="ADE241" s="3"/>
      <c r="ADF241" s="3"/>
      <c r="ADG241" s="3"/>
      <c r="ADH241" s="3"/>
      <c r="ADI241" s="3"/>
      <c r="ADJ241" s="3"/>
      <c r="ADK241" s="3"/>
      <c r="ADL241" s="3"/>
      <c r="ADM241" s="3"/>
      <c r="ADN241" s="3"/>
      <c r="ADO241" s="3"/>
      <c r="ADP241" s="3"/>
      <c r="ADQ241" s="3"/>
      <c r="ADR241" s="3"/>
      <c r="ADS241" s="3"/>
      <c r="ADT241" s="3"/>
      <c r="ADU241" s="3"/>
      <c r="ADV241" s="3"/>
      <c r="ADW241" s="3"/>
      <c r="ADX241" s="3"/>
      <c r="ADY241" s="3"/>
      <c r="ADZ241" s="3"/>
      <c r="AEA241" s="3"/>
      <c r="AEB241" s="3"/>
      <c r="AEC241" s="3"/>
      <c r="AED241" s="3"/>
      <c r="AEE241" s="3"/>
      <c r="AEF241" s="3"/>
      <c r="AEG241" s="3"/>
      <c r="AEH241" s="3"/>
      <c r="AEI241" s="3"/>
      <c r="AEJ241" s="3"/>
      <c r="AEK241" s="3"/>
      <c r="AEL241" s="3"/>
      <c r="AEM241" s="3"/>
      <c r="AEN241" s="3"/>
      <c r="AEO241" s="3"/>
      <c r="AEP241" s="3"/>
      <c r="AEQ241" s="3"/>
      <c r="AER241" s="3"/>
      <c r="AES241" s="3"/>
      <c r="AET241" s="3"/>
      <c r="AEU241" s="3"/>
      <c r="AEV241" s="3"/>
      <c r="AEW241" s="3"/>
      <c r="AEX241" s="3"/>
      <c r="AEY241" s="3"/>
      <c r="AEZ241" s="3"/>
      <c r="AFA241" s="3"/>
      <c r="AFB241" s="3"/>
      <c r="AFC241" s="3"/>
      <c r="AFD241" s="3"/>
      <c r="AFE241" s="3"/>
      <c r="AFF241" s="3"/>
      <c r="AFG241" s="3"/>
      <c r="AFH241" s="3"/>
      <c r="AFI241" s="3"/>
      <c r="AFJ241" s="3"/>
      <c r="AFK241" s="3"/>
      <c r="AFL241" s="3"/>
      <c r="AFM241" s="3"/>
      <c r="AFN241" s="3"/>
      <c r="AFO241" s="3"/>
      <c r="AFP241" s="3"/>
      <c r="AFQ241" s="3"/>
      <c r="AFR241" s="3"/>
      <c r="AFS241" s="3"/>
      <c r="AFT241" s="3"/>
      <c r="AFU241" s="3"/>
      <c r="AFV241" s="3"/>
      <c r="AFW241" s="3"/>
      <c r="AFX241" s="3"/>
      <c r="AFY241" s="3"/>
      <c r="AFZ241" s="3"/>
      <c r="AGA241" s="3"/>
      <c r="AGB241" s="3"/>
      <c r="AGC241" s="3"/>
      <c r="AGD241" s="3"/>
      <c r="AGE241" s="3"/>
      <c r="AGF241" s="3"/>
      <c r="AGG241" s="3"/>
      <c r="AGH241" s="3"/>
      <c r="AGI241" s="3"/>
      <c r="AGJ241" s="3"/>
      <c r="AGK241" s="3"/>
      <c r="AGL241" s="3"/>
      <c r="AGM241" s="3"/>
      <c r="AGN241" s="3"/>
      <c r="AGO241" s="3"/>
      <c r="AGP241" s="3"/>
      <c r="AGQ241" s="3"/>
      <c r="AGR241" s="3"/>
      <c r="AGS241" s="3"/>
      <c r="AGT241" s="3"/>
      <c r="AGU241" s="3"/>
      <c r="AGV241" s="3"/>
      <c r="AGW241" s="3"/>
      <c r="AGX241" s="3"/>
      <c r="AGY241" s="3"/>
      <c r="AGZ241" s="3"/>
      <c r="AHA241" s="3"/>
      <c r="AHB241" s="3"/>
      <c r="AHC241" s="3"/>
      <c r="AHD241" s="3"/>
      <c r="AHE241" s="3"/>
      <c r="AHF241" s="3"/>
      <c r="AHG241" s="3"/>
      <c r="AHH241" s="3"/>
      <c r="AHI241" s="3"/>
      <c r="AHJ241" s="3"/>
      <c r="AHK241" s="3"/>
      <c r="AHL241" s="3"/>
      <c r="AHM241" s="3"/>
      <c r="AHN241" s="3"/>
      <c r="AHO241" s="3"/>
      <c r="AHP241" s="3"/>
      <c r="AHQ241" s="3"/>
      <c r="AHR241" s="3"/>
      <c r="AHS241" s="3"/>
      <c r="AHT241" s="3"/>
      <c r="AHU241" s="3"/>
      <c r="AHV241" s="3"/>
      <c r="AHW241" s="3"/>
      <c r="AHX241" s="3"/>
      <c r="AHY241" s="3"/>
      <c r="AHZ241" s="3"/>
      <c r="AIA241" s="3"/>
      <c r="AIB241" s="3"/>
      <c r="AIC241" s="3"/>
      <c r="AID241" s="3"/>
      <c r="AIE241" s="3"/>
      <c r="AIF241" s="3"/>
      <c r="AIG241" s="3"/>
      <c r="AIH241" s="3"/>
      <c r="AII241" s="3"/>
      <c r="AIJ241" s="3"/>
      <c r="AIK241" s="3"/>
      <c r="AIL241" s="3"/>
      <c r="AIM241" s="3"/>
      <c r="AIN241" s="3"/>
      <c r="AIO241" s="3"/>
      <c r="AIP241" s="3"/>
      <c r="AIQ241" s="3"/>
      <c r="AIR241" s="3"/>
      <c r="AIS241" s="3"/>
      <c r="AIT241" s="3"/>
      <c r="AIU241" s="3"/>
      <c r="AIV241" s="3"/>
      <c r="AIW241" s="3"/>
      <c r="AIX241" s="3"/>
      <c r="AIY241" s="3"/>
      <c r="AIZ241" s="3"/>
      <c r="AJA241" s="3"/>
      <c r="AJB241" s="3"/>
      <c r="AJC241" s="3"/>
      <c r="AJD241" s="3"/>
      <c r="AJE241" s="3"/>
      <c r="AJF241" s="3"/>
      <c r="AJG241" s="3"/>
      <c r="AJH241" s="3"/>
      <c r="AJI241" s="3"/>
      <c r="AJJ241" s="3"/>
      <c r="AJK241" s="3"/>
      <c r="AJL241" s="3"/>
      <c r="AJM241" s="3"/>
      <c r="AJN241" s="3"/>
      <c r="AJO241" s="3"/>
      <c r="AJP241" s="3"/>
      <c r="AJQ241" s="3"/>
      <c r="AJR241" s="3"/>
      <c r="AJS241" s="3"/>
      <c r="AJT241" s="3"/>
      <c r="AJU241" s="3"/>
      <c r="AJV241" s="3"/>
      <c r="AJW241" s="3"/>
      <c r="AJX241" s="3"/>
      <c r="AJY241" s="3"/>
      <c r="AJZ241" s="3"/>
      <c r="AKA241" s="3"/>
      <c r="AKB241" s="3"/>
      <c r="AKC241" s="3"/>
      <c r="AKD241" s="3"/>
      <c r="AKE241" s="3"/>
      <c r="AKF241" s="3"/>
      <c r="AKG241" s="3"/>
      <c r="AKH241" s="3"/>
      <c r="AKI241" s="3"/>
      <c r="AKJ241" s="3"/>
      <c r="AKK241" s="3"/>
      <c r="AKL241" s="3"/>
      <c r="AKM241" s="3"/>
      <c r="AKN241" s="3"/>
      <c r="AKO241" s="3"/>
      <c r="AKP241" s="3"/>
      <c r="AKQ241" s="3"/>
      <c r="AKR241" s="3"/>
      <c r="AKS241" s="3"/>
      <c r="AKT241" s="3"/>
      <c r="AKU241" s="3"/>
      <c r="AKV241" s="3"/>
      <c r="AKW241" s="3"/>
      <c r="AKX241" s="3"/>
      <c r="AKY241" s="3"/>
      <c r="AKZ241" s="3"/>
      <c r="ALA241" s="3"/>
      <c r="ALB241" s="3"/>
      <c r="ALC241" s="3"/>
      <c r="ALD241" s="3"/>
      <c r="ALE241" s="3"/>
      <c r="ALF241" s="3"/>
      <c r="ALG241" s="3"/>
      <c r="ALH241" s="3"/>
      <c r="ALI241" s="3"/>
      <c r="ALJ241" s="3"/>
      <c r="ALK241" s="3"/>
      <c r="ALL241" s="3"/>
      <c r="ALM241" s="3"/>
      <c r="ALN241" s="3"/>
      <c r="ALO241" s="3"/>
      <c r="ALP241" s="3"/>
      <c r="ALQ241" s="3"/>
      <c r="ALR241" s="3"/>
      <c r="ALS241" s="3"/>
      <c r="ALT241" s="3"/>
      <c r="ALU241" s="3"/>
      <c r="ALV241" s="3"/>
      <c r="ALW241" s="3"/>
      <c r="ALX241" s="3"/>
      <c r="ALY241" s="3"/>
      <c r="ALZ241" s="3"/>
      <c r="AMA241" s="3"/>
      <c r="AMB241" s="3"/>
      <c r="AMC241" s="3"/>
      <c r="AMD241" s="3"/>
      <c r="AME241" s="3"/>
      <c r="AMF241" s="3"/>
      <c r="AMG241" s="3"/>
      <c r="AMH241" s="3"/>
      <c r="AMI241" s="3"/>
      <c r="AMJ241" s="3"/>
      <c r="AMK241" s="3"/>
      <c r="AML241" s="3"/>
      <c r="AMM241" s="3"/>
    </row>
    <row r="242" spans="1:1027" ht="15" customHeight="1">
      <c r="A242" s="12">
        <v>893</v>
      </c>
      <c r="B242" s="13" t="s">
        <v>433</v>
      </c>
      <c r="C242" s="14"/>
      <c r="D242" s="14" t="s">
        <v>432</v>
      </c>
      <c r="E242" s="14" t="s">
        <v>36</v>
      </c>
      <c r="F242" s="15" t="s">
        <v>22</v>
      </c>
      <c r="G242" s="21"/>
      <c r="H242" s="58">
        <v>1</v>
      </c>
      <c r="I242" s="14"/>
      <c r="J242" s="14" t="s">
        <v>23</v>
      </c>
      <c r="K242" s="14"/>
      <c r="L242" s="14"/>
      <c r="M242" s="14" t="s">
        <v>29</v>
      </c>
      <c r="N242" s="25" t="s">
        <v>37</v>
      </c>
      <c r="O242" s="14" t="s">
        <v>434</v>
      </c>
      <c r="P242" s="14"/>
      <c r="Q242" s="14"/>
      <c r="R242" s="14" t="s">
        <v>158</v>
      </c>
    </row>
    <row r="243" spans="1:1027" ht="15" customHeight="1">
      <c r="A243" s="12">
        <v>1682</v>
      </c>
      <c r="B243" s="13" t="s">
        <v>435</v>
      </c>
      <c r="C243" s="14"/>
      <c r="D243" s="14" t="s">
        <v>432</v>
      </c>
      <c r="E243" s="14" t="s">
        <v>36</v>
      </c>
      <c r="F243" s="15" t="s">
        <v>22</v>
      </c>
      <c r="G243" s="14"/>
      <c r="H243" s="58">
        <v>3</v>
      </c>
      <c r="I243" s="14"/>
      <c r="J243" s="14" t="s">
        <v>23</v>
      </c>
      <c r="K243" s="14"/>
      <c r="L243" s="14"/>
      <c r="M243" s="14" t="s">
        <v>32</v>
      </c>
      <c r="N243" s="25" t="s">
        <v>37</v>
      </c>
      <c r="O243" s="14" t="s">
        <v>436</v>
      </c>
      <c r="P243" s="14"/>
      <c r="Q243" s="14"/>
      <c r="R243" s="14" t="s">
        <v>308</v>
      </c>
    </row>
    <row r="244" spans="1:1027" ht="15" customHeight="1">
      <c r="A244" s="12">
        <v>117</v>
      </c>
      <c r="B244" s="13" t="s">
        <v>437</v>
      </c>
      <c r="C244" s="14"/>
      <c r="D244" s="14" t="s">
        <v>438</v>
      </c>
      <c r="E244" s="14" t="s">
        <v>21</v>
      </c>
      <c r="F244" s="15" t="s">
        <v>22</v>
      </c>
      <c r="G244" s="14"/>
      <c r="H244" s="58"/>
      <c r="I244" s="19"/>
      <c r="J244" s="14" t="s">
        <v>23</v>
      </c>
      <c r="K244" s="15"/>
      <c r="L244" s="15"/>
      <c r="M244" s="14" t="s">
        <v>27</v>
      </c>
      <c r="N244" s="14" t="s">
        <v>25</v>
      </c>
      <c r="O244" s="22"/>
      <c r="P244" s="22"/>
      <c r="Q244" s="22"/>
      <c r="R244" s="17">
        <v>43633</v>
      </c>
      <c r="S244" s="2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  <c r="WQ244" s="3"/>
      <c r="WR244" s="3"/>
      <c r="WS244" s="3"/>
      <c r="WT244" s="3"/>
      <c r="WU244" s="3"/>
      <c r="WV244" s="3"/>
      <c r="WW244" s="3"/>
      <c r="WX244" s="3"/>
      <c r="WY244" s="3"/>
      <c r="WZ244" s="3"/>
      <c r="XA244" s="3"/>
      <c r="XB244" s="3"/>
      <c r="XC244" s="3"/>
      <c r="XD244" s="3"/>
      <c r="XE244" s="3"/>
      <c r="XF244" s="3"/>
      <c r="XG244" s="3"/>
      <c r="XH244" s="3"/>
      <c r="XI244" s="3"/>
      <c r="XJ244" s="3"/>
      <c r="XK244" s="3"/>
      <c r="XL244" s="3"/>
      <c r="XM244" s="3"/>
      <c r="XN244" s="3"/>
      <c r="XO244" s="3"/>
      <c r="XP244" s="3"/>
      <c r="XQ244" s="3"/>
      <c r="XR244" s="3"/>
      <c r="XS244" s="3"/>
      <c r="XT244" s="3"/>
      <c r="XU244" s="3"/>
      <c r="XV244" s="3"/>
      <c r="XW244" s="3"/>
      <c r="XX244" s="3"/>
      <c r="XY244" s="3"/>
      <c r="XZ244" s="3"/>
      <c r="YA244" s="3"/>
      <c r="YB244" s="3"/>
      <c r="YC244" s="3"/>
      <c r="YD244" s="3"/>
      <c r="YE244" s="3"/>
      <c r="YF244" s="3"/>
      <c r="YG244" s="3"/>
      <c r="YH244" s="3"/>
      <c r="YI244" s="3"/>
      <c r="YJ244" s="3"/>
      <c r="YK244" s="3"/>
      <c r="YL244" s="3"/>
      <c r="YM244" s="3"/>
      <c r="YN244" s="3"/>
      <c r="YO244" s="3"/>
      <c r="YP244" s="3"/>
      <c r="YQ244" s="3"/>
      <c r="YR244" s="3"/>
      <c r="YS244" s="3"/>
      <c r="YT244" s="3"/>
      <c r="YU244" s="3"/>
      <c r="YV244" s="3"/>
      <c r="YW244" s="3"/>
      <c r="YX244" s="3"/>
      <c r="YY244" s="3"/>
      <c r="YZ244" s="3"/>
      <c r="ZA244" s="3"/>
      <c r="ZB244" s="3"/>
      <c r="ZC244" s="3"/>
      <c r="ZD244" s="3"/>
      <c r="ZE244" s="3"/>
      <c r="ZF244" s="3"/>
      <c r="ZG244" s="3"/>
      <c r="ZH244" s="3"/>
      <c r="ZI244" s="3"/>
      <c r="ZJ244" s="3"/>
      <c r="ZK244" s="3"/>
      <c r="ZL244" s="3"/>
      <c r="ZM244" s="3"/>
      <c r="ZN244" s="3"/>
      <c r="ZO244" s="3"/>
      <c r="ZP244" s="3"/>
      <c r="ZQ244" s="3"/>
      <c r="ZR244" s="3"/>
      <c r="ZS244" s="3"/>
      <c r="ZT244" s="3"/>
      <c r="ZU244" s="3"/>
      <c r="ZV244" s="3"/>
      <c r="ZW244" s="3"/>
      <c r="ZX244" s="3"/>
      <c r="ZY244" s="3"/>
      <c r="ZZ244" s="3"/>
      <c r="AAA244" s="3"/>
      <c r="AAB244" s="3"/>
      <c r="AAC244" s="3"/>
      <c r="AAD244" s="3"/>
      <c r="AAE244" s="3"/>
      <c r="AAF244" s="3"/>
      <c r="AAG244" s="3"/>
      <c r="AAH244" s="3"/>
      <c r="AAI244" s="3"/>
      <c r="AAJ244" s="3"/>
      <c r="AAK244" s="3"/>
      <c r="AAL244" s="3"/>
      <c r="AAM244" s="3"/>
      <c r="AAN244" s="3"/>
      <c r="AAO244" s="3"/>
      <c r="AAP244" s="3"/>
      <c r="AAQ244" s="3"/>
      <c r="AAR244" s="3"/>
      <c r="AAS244" s="3"/>
      <c r="AAT244" s="3"/>
      <c r="AAU244" s="3"/>
      <c r="AAV244" s="3"/>
      <c r="AAW244" s="3"/>
      <c r="AAX244" s="3"/>
      <c r="AAY244" s="3"/>
      <c r="AAZ244" s="3"/>
      <c r="ABA244" s="3"/>
      <c r="ABB244" s="3"/>
      <c r="ABC244" s="3"/>
      <c r="ABD244" s="3"/>
      <c r="ABE244" s="3"/>
      <c r="ABF244" s="3"/>
      <c r="ABG244" s="3"/>
      <c r="ABH244" s="3"/>
      <c r="ABI244" s="3"/>
      <c r="ABJ244" s="3"/>
      <c r="ABK244" s="3"/>
      <c r="ABL244" s="3"/>
      <c r="ABM244" s="3"/>
      <c r="ABN244" s="3"/>
      <c r="ABO244" s="3"/>
      <c r="ABP244" s="3"/>
      <c r="ABQ244" s="3"/>
      <c r="ABR244" s="3"/>
      <c r="ABS244" s="3"/>
      <c r="ABT244" s="3"/>
      <c r="ABU244" s="3"/>
      <c r="ABV244" s="3"/>
      <c r="ABW244" s="3"/>
      <c r="ABX244" s="3"/>
      <c r="ABY244" s="3"/>
      <c r="ABZ244" s="3"/>
      <c r="ACA244" s="3"/>
      <c r="ACB244" s="3"/>
      <c r="ACC244" s="3"/>
      <c r="ACD244" s="3"/>
      <c r="ACE244" s="3"/>
      <c r="ACF244" s="3"/>
      <c r="ACG244" s="3"/>
      <c r="ACH244" s="3"/>
      <c r="ACI244" s="3"/>
      <c r="ACJ244" s="3"/>
      <c r="ACK244" s="3"/>
      <c r="ACL244" s="3"/>
      <c r="ACM244" s="3"/>
      <c r="ACN244" s="3"/>
      <c r="ACO244" s="3"/>
      <c r="ACP244" s="3"/>
      <c r="ACQ244" s="3"/>
      <c r="ACR244" s="3"/>
      <c r="ACS244" s="3"/>
      <c r="ACT244" s="3"/>
      <c r="ACU244" s="3"/>
      <c r="ACV244" s="3"/>
      <c r="ACW244" s="3"/>
      <c r="ACX244" s="3"/>
      <c r="ACY244" s="3"/>
      <c r="ACZ244" s="3"/>
      <c r="ADA244" s="3"/>
      <c r="ADB244" s="3"/>
      <c r="ADC244" s="3"/>
      <c r="ADD244" s="3"/>
      <c r="ADE244" s="3"/>
      <c r="ADF244" s="3"/>
      <c r="ADG244" s="3"/>
      <c r="ADH244" s="3"/>
      <c r="ADI244" s="3"/>
      <c r="ADJ244" s="3"/>
      <c r="ADK244" s="3"/>
      <c r="ADL244" s="3"/>
      <c r="ADM244" s="3"/>
      <c r="ADN244" s="3"/>
      <c r="ADO244" s="3"/>
      <c r="ADP244" s="3"/>
      <c r="ADQ244" s="3"/>
      <c r="ADR244" s="3"/>
      <c r="ADS244" s="3"/>
      <c r="ADT244" s="3"/>
      <c r="ADU244" s="3"/>
      <c r="ADV244" s="3"/>
      <c r="ADW244" s="3"/>
      <c r="ADX244" s="3"/>
      <c r="ADY244" s="3"/>
      <c r="ADZ244" s="3"/>
      <c r="AEA244" s="3"/>
      <c r="AEB244" s="3"/>
      <c r="AEC244" s="3"/>
      <c r="AED244" s="3"/>
      <c r="AEE244" s="3"/>
      <c r="AEF244" s="3"/>
      <c r="AEG244" s="3"/>
      <c r="AEH244" s="3"/>
      <c r="AEI244" s="3"/>
      <c r="AEJ244" s="3"/>
      <c r="AEK244" s="3"/>
      <c r="AEL244" s="3"/>
      <c r="AEM244" s="3"/>
      <c r="AEN244" s="3"/>
      <c r="AEO244" s="3"/>
      <c r="AEP244" s="3"/>
      <c r="AEQ244" s="3"/>
      <c r="AER244" s="3"/>
      <c r="AES244" s="3"/>
      <c r="AET244" s="3"/>
      <c r="AEU244" s="3"/>
      <c r="AEV244" s="3"/>
      <c r="AEW244" s="3"/>
      <c r="AEX244" s="3"/>
      <c r="AEY244" s="3"/>
      <c r="AEZ244" s="3"/>
      <c r="AFA244" s="3"/>
      <c r="AFB244" s="3"/>
      <c r="AFC244" s="3"/>
      <c r="AFD244" s="3"/>
      <c r="AFE244" s="3"/>
      <c r="AFF244" s="3"/>
      <c r="AFG244" s="3"/>
      <c r="AFH244" s="3"/>
      <c r="AFI244" s="3"/>
      <c r="AFJ244" s="3"/>
      <c r="AFK244" s="3"/>
      <c r="AFL244" s="3"/>
      <c r="AFM244" s="3"/>
      <c r="AFN244" s="3"/>
      <c r="AFO244" s="3"/>
      <c r="AFP244" s="3"/>
      <c r="AFQ244" s="3"/>
      <c r="AFR244" s="3"/>
      <c r="AFS244" s="3"/>
      <c r="AFT244" s="3"/>
      <c r="AFU244" s="3"/>
      <c r="AFV244" s="3"/>
      <c r="AFW244" s="3"/>
      <c r="AFX244" s="3"/>
      <c r="AFY244" s="3"/>
      <c r="AFZ244" s="3"/>
      <c r="AGA244" s="3"/>
      <c r="AGB244" s="3"/>
      <c r="AGC244" s="3"/>
      <c r="AGD244" s="3"/>
      <c r="AGE244" s="3"/>
      <c r="AGF244" s="3"/>
      <c r="AGG244" s="3"/>
      <c r="AGH244" s="3"/>
      <c r="AGI244" s="3"/>
      <c r="AGJ244" s="3"/>
      <c r="AGK244" s="3"/>
      <c r="AGL244" s="3"/>
      <c r="AGM244" s="3"/>
      <c r="AGN244" s="3"/>
      <c r="AGO244" s="3"/>
      <c r="AGP244" s="3"/>
      <c r="AGQ244" s="3"/>
      <c r="AGR244" s="3"/>
      <c r="AGS244" s="3"/>
      <c r="AGT244" s="3"/>
      <c r="AGU244" s="3"/>
      <c r="AGV244" s="3"/>
      <c r="AGW244" s="3"/>
      <c r="AGX244" s="3"/>
      <c r="AGY244" s="3"/>
      <c r="AGZ244" s="3"/>
      <c r="AHA244" s="3"/>
      <c r="AHB244" s="3"/>
      <c r="AHC244" s="3"/>
      <c r="AHD244" s="3"/>
      <c r="AHE244" s="3"/>
      <c r="AHF244" s="3"/>
      <c r="AHG244" s="3"/>
      <c r="AHH244" s="3"/>
      <c r="AHI244" s="3"/>
      <c r="AHJ244" s="3"/>
      <c r="AHK244" s="3"/>
      <c r="AHL244" s="3"/>
      <c r="AHM244" s="3"/>
      <c r="AHN244" s="3"/>
      <c r="AHO244" s="3"/>
      <c r="AHP244" s="3"/>
      <c r="AHQ244" s="3"/>
      <c r="AHR244" s="3"/>
      <c r="AHS244" s="3"/>
      <c r="AHT244" s="3"/>
      <c r="AHU244" s="3"/>
      <c r="AHV244" s="3"/>
      <c r="AHW244" s="3"/>
      <c r="AHX244" s="3"/>
      <c r="AHY244" s="3"/>
      <c r="AHZ244" s="3"/>
      <c r="AIA244" s="3"/>
      <c r="AIB244" s="3"/>
      <c r="AIC244" s="3"/>
      <c r="AID244" s="3"/>
      <c r="AIE244" s="3"/>
      <c r="AIF244" s="3"/>
      <c r="AIG244" s="3"/>
      <c r="AIH244" s="3"/>
      <c r="AII244" s="3"/>
      <c r="AIJ244" s="3"/>
      <c r="AIK244" s="3"/>
      <c r="AIL244" s="3"/>
      <c r="AIM244" s="3"/>
      <c r="AIN244" s="3"/>
      <c r="AIO244" s="3"/>
      <c r="AIP244" s="3"/>
      <c r="AIQ244" s="3"/>
      <c r="AIR244" s="3"/>
      <c r="AIS244" s="3"/>
      <c r="AIT244" s="3"/>
      <c r="AIU244" s="3"/>
      <c r="AIV244" s="3"/>
      <c r="AIW244" s="3"/>
      <c r="AIX244" s="3"/>
      <c r="AIY244" s="3"/>
      <c r="AIZ244" s="3"/>
      <c r="AJA244" s="3"/>
      <c r="AJB244" s="3"/>
      <c r="AJC244" s="3"/>
      <c r="AJD244" s="3"/>
      <c r="AJE244" s="3"/>
      <c r="AJF244" s="3"/>
      <c r="AJG244" s="3"/>
      <c r="AJH244" s="3"/>
      <c r="AJI244" s="3"/>
      <c r="AJJ244" s="3"/>
      <c r="AJK244" s="3"/>
      <c r="AJL244" s="3"/>
      <c r="AJM244" s="3"/>
      <c r="AJN244" s="3"/>
      <c r="AJO244" s="3"/>
      <c r="AJP244" s="3"/>
      <c r="AJQ244" s="3"/>
      <c r="AJR244" s="3"/>
      <c r="AJS244" s="3"/>
      <c r="AJT244" s="3"/>
      <c r="AJU244" s="3"/>
      <c r="AJV244" s="3"/>
      <c r="AJW244" s="3"/>
      <c r="AJX244" s="3"/>
      <c r="AJY244" s="3"/>
      <c r="AJZ244" s="3"/>
      <c r="AKA244" s="3"/>
      <c r="AKB244" s="3"/>
      <c r="AKC244" s="3"/>
      <c r="AKD244" s="3"/>
      <c r="AKE244" s="3"/>
      <c r="AKF244" s="3"/>
      <c r="AKG244" s="3"/>
      <c r="AKH244" s="3"/>
      <c r="AKI244" s="3"/>
      <c r="AKJ244" s="3"/>
      <c r="AKK244" s="3"/>
      <c r="AKL244" s="3"/>
      <c r="AKM244" s="3"/>
      <c r="AKN244" s="3"/>
      <c r="AKO244" s="3"/>
      <c r="AKP244" s="3"/>
      <c r="AKQ244" s="3"/>
      <c r="AKR244" s="3"/>
      <c r="AKS244" s="3"/>
      <c r="AKT244" s="3"/>
      <c r="AKU244" s="3"/>
      <c r="AKV244" s="3"/>
      <c r="AKW244" s="3"/>
      <c r="AKX244" s="3"/>
      <c r="AKY244" s="3"/>
      <c r="AKZ244" s="3"/>
      <c r="ALA244" s="3"/>
      <c r="ALB244" s="3"/>
      <c r="ALC244" s="3"/>
      <c r="ALD244" s="3"/>
      <c r="ALE244" s="3"/>
      <c r="ALF244" s="3"/>
      <c r="ALG244" s="3"/>
      <c r="ALH244" s="3"/>
      <c r="ALI244" s="3"/>
      <c r="ALJ244" s="3"/>
      <c r="ALK244" s="3"/>
      <c r="ALL244" s="3"/>
      <c r="ALM244" s="3"/>
      <c r="ALN244" s="3"/>
      <c r="ALO244" s="3"/>
      <c r="ALP244" s="3"/>
      <c r="ALQ244" s="3"/>
      <c r="ALR244" s="3"/>
      <c r="ALS244" s="3"/>
      <c r="ALT244" s="3"/>
      <c r="ALU244" s="3"/>
      <c r="ALV244" s="3"/>
      <c r="ALW244" s="3"/>
      <c r="ALX244" s="3"/>
      <c r="ALY244" s="3"/>
      <c r="ALZ244" s="3"/>
      <c r="AMA244" s="3"/>
      <c r="AMB244" s="3"/>
      <c r="AMC244" s="3"/>
      <c r="AMD244" s="3"/>
      <c r="AME244" s="3"/>
      <c r="AMF244" s="3"/>
      <c r="AMG244" s="3"/>
      <c r="AMH244" s="3"/>
      <c r="AMI244" s="3"/>
      <c r="AMJ244" s="3"/>
      <c r="AMK244" s="3"/>
      <c r="AML244" s="3"/>
      <c r="AMM244" s="3"/>
    </row>
    <row r="245" spans="1:1027" ht="15" customHeight="1">
      <c r="A245" s="12">
        <v>894</v>
      </c>
      <c r="B245" s="13" t="s">
        <v>439</v>
      </c>
      <c r="C245" s="14"/>
      <c r="D245" s="14" t="s">
        <v>438</v>
      </c>
      <c r="E245" s="14" t="s">
        <v>21</v>
      </c>
      <c r="F245" s="15" t="s">
        <v>22</v>
      </c>
      <c r="G245" s="21"/>
      <c r="H245" s="58"/>
      <c r="I245" s="14"/>
      <c r="J245" s="14" t="s">
        <v>23</v>
      </c>
      <c r="K245" s="14"/>
      <c r="L245" s="14"/>
      <c r="M245" s="14" t="s">
        <v>29</v>
      </c>
      <c r="N245" s="14" t="s">
        <v>25</v>
      </c>
      <c r="O245" s="14"/>
      <c r="P245" s="14"/>
      <c r="Q245" s="14"/>
      <c r="R245" s="14" t="s">
        <v>158</v>
      </c>
    </row>
    <row r="246" spans="1:1027" ht="15" customHeight="1">
      <c r="A246" s="12">
        <v>1683</v>
      </c>
      <c r="B246" s="13" t="s">
        <v>440</v>
      </c>
      <c r="C246" s="14"/>
      <c r="D246" s="14" t="s">
        <v>438</v>
      </c>
      <c r="E246" s="14" t="s">
        <v>21</v>
      </c>
      <c r="F246" s="15" t="s">
        <v>22</v>
      </c>
      <c r="G246" s="14"/>
      <c r="H246" s="58">
        <v>1</v>
      </c>
      <c r="I246" s="14"/>
      <c r="J246" s="14" t="s">
        <v>23</v>
      </c>
      <c r="K246" s="14"/>
      <c r="L246" s="14"/>
      <c r="M246" s="14" t="s">
        <v>32</v>
      </c>
      <c r="N246" s="14" t="s">
        <v>25</v>
      </c>
      <c r="O246" s="14"/>
      <c r="P246" s="14"/>
      <c r="Q246" s="14"/>
      <c r="R246" s="14" t="s">
        <v>308</v>
      </c>
    </row>
    <row r="247" spans="1:1027" ht="15" customHeight="1">
      <c r="A247" s="12">
        <v>118</v>
      </c>
      <c r="B247" s="13" t="s">
        <v>441</v>
      </c>
      <c r="C247" s="14"/>
      <c r="D247" s="14" t="s">
        <v>442</v>
      </c>
      <c r="E247" s="14" t="s">
        <v>215</v>
      </c>
      <c r="F247" s="15" t="s">
        <v>22</v>
      </c>
      <c r="G247" s="14"/>
      <c r="H247" s="58"/>
      <c r="I247" s="19"/>
      <c r="J247" s="14" t="s">
        <v>23</v>
      </c>
      <c r="K247" s="15"/>
      <c r="L247" s="15"/>
      <c r="M247" s="14" t="s">
        <v>27</v>
      </c>
      <c r="N247" s="25" t="s">
        <v>194</v>
      </c>
      <c r="O247" s="22" t="s">
        <v>45</v>
      </c>
      <c r="P247" s="22"/>
      <c r="Q247" s="22"/>
      <c r="R247" s="17">
        <v>43633</v>
      </c>
      <c r="S247" s="2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WZ247" s="3"/>
      <c r="XA247" s="3"/>
      <c r="XB247" s="3"/>
      <c r="XC247" s="3"/>
      <c r="XD247" s="3"/>
      <c r="XE247" s="3"/>
      <c r="XF247" s="3"/>
      <c r="XG247" s="3"/>
      <c r="XH247" s="3"/>
      <c r="XI247" s="3"/>
      <c r="XJ247" s="3"/>
      <c r="XK247" s="3"/>
      <c r="XL247" s="3"/>
      <c r="XM247" s="3"/>
      <c r="XN247" s="3"/>
      <c r="XO247" s="3"/>
      <c r="XP247" s="3"/>
      <c r="XQ247" s="3"/>
      <c r="XR247" s="3"/>
      <c r="XS247" s="3"/>
      <c r="XT247" s="3"/>
      <c r="XU247" s="3"/>
      <c r="XV247" s="3"/>
      <c r="XW247" s="3"/>
      <c r="XX247" s="3"/>
      <c r="XY247" s="3"/>
      <c r="XZ247" s="3"/>
      <c r="YA247" s="3"/>
      <c r="YB247" s="3"/>
      <c r="YC247" s="3"/>
      <c r="YD247" s="3"/>
      <c r="YE247" s="3"/>
      <c r="YF247" s="3"/>
      <c r="YG247" s="3"/>
      <c r="YH247" s="3"/>
      <c r="YI247" s="3"/>
      <c r="YJ247" s="3"/>
      <c r="YK247" s="3"/>
      <c r="YL247" s="3"/>
      <c r="YM247" s="3"/>
      <c r="YN247" s="3"/>
      <c r="YO247" s="3"/>
      <c r="YP247" s="3"/>
      <c r="YQ247" s="3"/>
      <c r="YR247" s="3"/>
      <c r="YS247" s="3"/>
      <c r="YT247" s="3"/>
      <c r="YU247" s="3"/>
      <c r="YV247" s="3"/>
      <c r="YW247" s="3"/>
      <c r="YX247" s="3"/>
      <c r="YY247" s="3"/>
      <c r="YZ247" s="3"/>
      <c r="ZA247" s="3"/>
      <c r="ZB247" s="3"/>
      <c r="ZC247" s="3"/>
      <c r="ZD247" s="3"/>
      <c r="ZE247" s="3"/>
      <c r="ZF247" s="3"/>
      <c r="ZG247" s="3"/>
      <c r="ZH247" s="3"/>
      <c r="ZI247" s="3"/>
      <c r="ZJ247" s="3"/>
      <c r="ZK247" s="3"/>
      <c r="ZL247" s="3"/>
      <c r="ZM247" s="3"/>
      <c r="ZN247" s="3"/>
      <c r="ZO247" s="3"/>
      <c r="ZP247" s="3"/>
      <c r="ZQ247" s="3"/>
      <c r="ZR247" s="3"/>
      <c r="ZS247" s="3"/>
      <c r="ZT247" s="3"/>
      <c r="ZU247" s="3"/>
      <c r="ZV247" s="3"/>
      <c r="ZW247" s="3"/>
      <c r="ZX247" s="3"/>
      <c r="ZY247" s="3"/>
      <c r="ZZ247" s="3"/>
      <c r="AAA247" s="3"/>
      <c r="AAB247" s="3"/>
      <c r="AAC247" s="3"/>
      <c r="AAD247" s="3"/>
      <c r="AAE247" s="3"/>
      <c r="AAF247" s="3"/>
      <c r="AAG247" s="3"/>
      <c r="AAH247" s="3"/>
      <c r="AAI247" s="3"/>
      <c r="AAJ247" s="3"/>
      <c r="AAK247" s="3"/>
      <c r="AAL247" s="3"/>
      <c r="AAM247" s="3"/>
      <c r="AAN247" s="3"/>
      <c r="AAO247" s="3"/>
      <c r="AAP247" s="3"/>
      <c r="AAQ247" s="3"/>
      <c r="AAR247" s="3"/>
      <c r="AAS247" s="3"/>
      <c r="AAT247" s="3"/>
      <c r="AAU247" s="3"/>
      <c r="AAV247" s="3"/>
      <c r="AAW247" s="3"/>
      <c r="AAX247" s="3"/>
      <c r="AAY247" s="3"/>
      <c r="AAZ247" s="3"/>
      <c r="ABA247" s="3"/>
      <c r="ABB247" s="3"/>
      <c r="ABC247" s="3"/>
      <c r="ABD247" s="3"/>
      <c r="ABE247" s="3"/>
      <c r="ABF247" s="3"/>
      <c r="ABG247" s="3"/>
      <c r="ABH247" s="3"/>
      <c r="ABI247" s="3"/>
      <c r="ABJ247" s="3"/>
      <c r="ABK247" s="3"/>
      <c r="ABL247" s="3"/>
      <c r="ABM247" s="3"/>
      <c r="ABN247" s="3"/>
      <c r="ABO247" s="3"/>
      <c r="ABP247" s="3"/>
      <c r="ABQ247" s="3"/>
      <c r="ABR247" s="3"/>
      <c r="ABS247" s="3"/>
      <c r="ABT247" s="3"/>
      <c r="ABU247" s="3"/>
      <c r="ABV247" s="3"/>
      <c r="ABW247" s="3"/>
      <c r="ABX247" s="3"/>
      <c r="ABY247" s="3"/>
      <c r="ABZ247" s="3"/>
      <c r="ACA247" s="3"/>
      <c r="ACB247" s="3"/>
      <c r="ACC247" s="3"/>
      <c r="ACD247" s="3"/>
      <c r="ACE247" s="3"/>
      <c r="ACF247" s="3"/>
      <c r="ACG247" s="3"/>
      <c r="ACH247" s="3"/>
      <c r="ACI247" s="3"/>
      <c r="ACJ247" s="3"/>
      <c r="ACK247" s="3"/>
      <c r="ACL247" s="3"/>
      <c r="ACM247" s="3"/>
      <c r="ACN247" s="3"/>
      <c r="ACO247" s="3"/>
      <c r="ACP247" s="3"/>
      <c r="ACQ247" s="3"/>
      <c r="ACR247" s="3"/>
      <c r="ACS247" s="3"/>
      <c r="ACT247" s="3"/>
      <c r="ACU247" s="3"/>
      <c r="ACV247" s="3"/>
      <c r="ACW247" s="3"/>
      <c r="ACX247" s="3"/>
      <c r="ACY247" s="3"/>
      <c r="ACZ247" s="3"/>
      <c r="ADA247" s="3"/>
      <c r="ADB247" s="3"/>
      <c r="ADC247" s="3"/>
      <c r="ADD247" s="3"/>
      <c r="ADE247" s="3"/>
      <c r="ADF247" s="3"/>
      <c r="ADG247" s="3"/>
      <c r="ADH247" s="3"/>
      <c r="ADI247" s="3"/>
      <c r="ADJ247" s="3"/>
      <c r="ADK247" s="3"/>
      <c r="ADL247" s="3"/>
      <c r="ADM247" s="3"/>
      <c r="ADN247" s="3"/>
      <c r="ADO247" s="3"/>
      <c r="ADP247" s="3"/>
      <c r="ADQ247" s="3"/>
      <c r="ADR247" s="3"/>
      <c r="ADS247" s="3"/>
      <c r="ADT247" s="3"/>
      <c r="ADU247" s="3"/>
      <c r="ADV247" s="3"/>
      <c r="ADW247" s="3"/>
      <c r="ADX247" s="3"/>
      <c r="ADY247" s="3"/>
      <c r="ADZ247" s="3"/>
      <c r="AEA247" s="3"/>
      <c r="AEB247" s="3"/>
      <c r="AEC247" s="3"/>
      <c r="AED247" s="3"/>
      <c r="AEE247" s="3"/>
      <c r="AEF247" s="3"/>
      <c r="AEG247" s="3"/>
      <c r="AEH247" s="3"/>
      <c r="AEI247" s="3"/>
      <c r="AEJ247" s="3"/>
      <c r="AEK247" s="3"/>
      <c r="AEL247" s="3"/>
      <c r="AEM247" s="3"/>
      <c r="AEN247" s="3"/>
      <c r="AEO247" s="3"/>
      <c r="AEP247" s="3"/>
      <c r="AEQ247" s="3"/>
      <c r="AER247" s="3"/>
      <c r="AES247" s="3"/>
      <c r="AET247" s="3"/>
      <c r="AEU247" s="3"/>
      <c r="AEV247" s="3"/>
      <c r="AEW247" s="3"/>
      <c r="AEX247" s="3"/>
      <c r="AEY247" s="3"/>
      <c r="AEZ247" s="3"/>
      <c r="AFA247" s="3"/>
      <c r="AFB247" s="3"/>
      <c r="AFC247" s="3"/>
      <c r="AFD247" s="3"/>
      <c r="AFE247" s="3"/>
      <c r="AFF247" s="3"/>
      <c r="AFG247" s="3"/>
      <c r="AFH247" s="3"/>
      <c r="AFI247" s="3"/>
      <c r="AFJ247" s="3"/>
      <c r="AFK247" s="3"/>
      <c r="AFL247" s="3"/>
      <c r="AFM247" s="3"/>
      <c r="AFN247" s="3"/>
      <c r="AFO247" s="3"/>
      <c r="AFP247" s="3"/>
      <c r="AFQ247" s="3"/>
      <c r="AFR247" s="3"/>
      <c r="AFS247" s="3"/>
      <c r="AFT247" s="3"/>
      <c r="AFU247" s="3"/>
      <c r="AFV247" s="3"/>
      <c r="AFW247" s="3"/>
      <c r="AFX247" s="3"/>
      <c r="AFY247" s="3"/>
      <c r="AFZ247" s="3"/>
      <c r="AGA247" s="3"/>
      <c r="AGB247" s="3"/>
      <c r="AGC247" s="3"/>
      <c r="AGD247" s="3"/>
      <c r="AGE247" s="3"/>
      <c r="AGF247" s="3"/>
      <c r="AGG247" s="3"/>
      <c r="AGH247" s="3"/>
      <c r="AGI247" s="3"/>
      <c r="AGJ247" s="3"/>
      <c r="AGK247" s="3"/>
      <c r="AGL247" s="3"/>
      <c r="AGM247" s="3"/>
      <c r="AGN247" s="3"/>
      <c r="AGO247" s="3"/>
      <c r="AGP247" s="3"/>
      <c r="AGQ247" s="3"/>
      <c r="AGR247" s="3"/>
      <c r="AGS247" s="3"/>
      <c r="AGT247" s="3"/>
      <c r="AGU247" s="3"/>
      <c r="AGV247" s="3"/>
      <c r="AGW247" s="3"/>
      <c r="AGX247" s="3"/>
      <c r="AGY247" s="3"/>
      <c r="AGZ247" s="3"/>
      <c r="AHA247" s="3"/>
      <c r="AHB247" s="3"/>
      <c r="AHC247" s="3"/>
      <c r="AHD247" s="3"/>
      <c r="AHE247" s="3"/>
      <c r="AHF247" s="3"/>
      <c r="AHG247" s="3"/>
      <c r="AHH247" s="3"/>
      <c r="AHI247" s="3"/>
      <c r="AHJ247" s="3"/>
      <c r="AHK247" s="3"/>
      <c r="AHL247" s="3"/>
      <c r="AHM247" s="3"/>
      <c r="AHN247" s="3"/>
      <c r="AHO247" s="3"/>
      <c r="AHP247" s="3"/>
      <c r="AHQ247" s="3"/>
      <c r="AHR247" s="3"/>
      <c r="AHS247" s="3"/>
      <c r="AHT247" s="3"/>
      <c r="AHU247" s="3"/>
      <c r="AHV247" s="3"/>
      <c r="AHW247" s="3"/>
      <c r="AHX247" s="3"/>
      <c r="AHY247" s="3"/>
      <c r="AHZ247" s="3"/>
      <c r="AIA247" s="3"/>
      <c r="AIB247" s="3"/>
      <c r="AIC247" s="3"/>
      <c r="AID247" s="3"/>
      <c r="AIE247" s="3"/>
      <c r="AIF247" s="3"/>
      <c r="AIG247" s="3"/>
      <c r="AIH247" s="3"/>
      <c r="AII247" s="3"/>
      <c r="AIJ247" s="3"/>
      <c r="AIK247" s="3"/>
      <c r="AIL247" s="3"/>
      <c r="AIM247" s="3"/>
      <c r="AIN247" s="3"/>
      <c r="AIO247" s="3"/>
      <c r="AIP247" s="3"/>
      <c r="AIQ247" s="3"/>
      <c r="AIR247" s="3"/>
      <c r="AIS247" s="3"/>
      <c r="AIT247" s="3"/>
      <c r="AIU247" s="3"/>
      <c r="AIV247" s="3"/>
      <c r="AIW247" s="3"/>
      <c r="AIX247" s="3"/>
      <c r="AIY247" s="3"/>
      <c r="AIZ247" s="3"/>
      <c r="AJA247" s="3"/>
      <c r="AJB247" s="3"/>
      <c r="AJC247" s="3"/>
      <c r="AJD247" s="3"/>
      <c r="AJE247" s="3"/>
      <c r="AJF247" s="3"/>
      <c r="AJG247" s="3"/>
      <c r="AJH247" s="3"/>
      <c r="AJI247" s="3"/>
      <c r="AJJ247" s="3"/>
      <c r="AJK247" s="3"/>
      <c r="AJL247" s="3"/>
      <c r="AJM247" s="3"/>
      <c r="AJN247" s="3"/>
      <c r="AJO247" s="3"/>
      <c r="AJP247" s="3"/>
      <c r="AJQ247" s="3"/>
      <c r="AJR247" s="3"/>
      <c r="AJS247" s="3"/>
      <c r="AJT247" s="3"/>
      <c r="AJU247" s="3"/>
      <c r="AJV247" s="3"/>
      <c r="AJW247" s="3"/>
      <c r="AJX247" s="3"/>
      <c r="AJY247" s="3"/>
      <c r="AJZ247" s="3"/>
      <c r="AKA247" s="3"/>
      <c r="AKB247" s="3"/>
      <c r="AKC247" s="3"/>
      <c r="AKD247" s="3"/>
      <c r="AKE247" s="3"/>
      <c r="AKF247" s="3"/>
      <c r="AKG247" s="3"/>
      <c r="AKH247" s="3"/>
      <c r="AKI247" s="3"/>
      <c r="AKJ247" s="3"/>
      <c r="AKK247" s="3"/>
      <c r="AKL247" s="3"/>
      <c r="AKM247" s="3"/>
      <c r="AKN247" s="3"/>
      <c r="AKO247" s="3"/>
      <c r="AKP247" s="3"/>
      <c r="AKQ247" s="3"/>
      <c r="AKR247" s="3"/>
      <c r="AKS247" s="3"/>
      <c r="AKT247" s="3"/>
      <c r="AKU247" s="3"/>
      <c r="AKV247" s="3"/>
      <c r="AKW247" s="3"/>
      <c r="AKX247" s="3"/>
      <c r="AKY247" s="3"/>
      <c r="AKZ247" s="3"/>
      <c r="ALA247" s="3"/>
      <c r="ALB247" s="3"/>
      <c r="ALC247" s="3"/>
      <c r="ALD247" s="3"/>
      <c r="ALE247" s="3"/>
      <c r="ALF247" s="3"/>
      <c r="ALG247" s="3"/>
      <c r="ALH247" s="3"/>
      <c r="ALI247" s="3"/>
      <c r="ALJ247" s="3"/>
      <c r="ALK247" s="3"/>
      <c r="ALL247" s="3"/>
      <c r="ALM247" s="3"/>
      <c r="ALN247" s="3"/>
      <c r="ALO247" s="3"/>
      <c r="ALP247" s="3"/>
      <c r="ALQ247" s="3"/>
      <c r="ALR247" s="3"/>
      <c r="ALS247" s="3"/>
      <c r="ALT247" s="3"/>
      <c r="ALU247" s="3"/>
      <c r="ALV247" s="3"/>
      <c r="ALW247" s="3"/>
      <c r="ALX247" s="3"/>
      <c r="ALY247" s="3"/>
      <c r="ALZ247" s="3"/>
      <c r="AMA247" s="3"/>
      <c r="AMB247" s="3"/>
      <c r="AMC247" s="3"/>
      <c r="AMD247" s="3"/>
      <c r="AME247" s="3"/>
      <c r="AMF247" s="3"/>
      <c r="AMG247" s="3"/>
      <c r="AMH247" s="3"/>
      <c r="AMI247" s="3"/>
      <c r="AMJ247" s="3"/>
      <c r="AMK247" s="3"/>
      <c r="AML247" s="3"/>
      <c r="AMM247" s="3"/>
    </row>
    <row r="248" spans="1:1027" ht="15" customHeight="1">
      <c r="A248" s="12">
        <v>895</v>
      </c>
      <c r="B248" s="13" t="s">
        <v>443</v>
      </c>
      <c r="C248" s="14"/>
      <c r="D248" s="14" t="s">
        <v>442</v>
      </c>
      <c r="E248" s="14" t="s">
        <v>215</v>
      </c>
      <c r="F248" s="15" t="s">
        <v>22</v>
      </c>
      <c r="G248" s="21"/>
      <c r="H248" s="58">
        <v>1</v>
      </c>
      <c r="I248" s="14"/>
      <c r="J248" s="14" t="s">
        <v>23</v>
      </c>
      <c r="K248" s="14"/>
      <c r="L248" s="14"/>
      <c r="M248" s="14" t="s">
        <v>29</v>
      </c>
      <c r="N248" s="25" t="s">
        <v>37</v>
      </c>
      <c r="O248" s="14" t="s">
        <v>444</v>
      </c>
      <c r="P248" s="14"/>
      <c r="Q248" s="14"/>
      <c r="R248" s="14" t="s">
        <v>158</v>
      </c>
    </row>
    <row r="249" spans="1:1027" ht="15" customHeight="1">
      <c r="A249" s="12">
        <v>1684</v>
      </c>
      <c r="B249" s="13" t="s">
        <v>445</v>
      </c>
      <c r="C249" s="14"/>
      <c r="D249" s="14" t="s">
        <v>442</v>
      </c>
      <c r="E249" s="14" t="s">
        <v>215</v>
      </c>
      <c r="F249" s="15" t="s">
        <v>22</v>
      </c>
      <c r="G249" s="14"/>
      <c r="H249" s="58">
        <v>3</v>
      </c>
      <c r="I249" s="14"/>
      <c r="J249" s="14" t="s">
        <v>23</v>
      </c>
      <c r="K249" s="14"/>
      <c r="L249" s="14"/>
      <c r="M249" s="14" t="s">
        <v>32</v>
      </c>
      <c r="N249" s="25" t="s">
        <v>37</v>
      </c>
      <c r="O249" s="14" t="s">
        <v>446</v>
      </c>
      <c r="P249" s="14"/>
      <c r="Q249" s="14"/>
      <c r="R249" s="14" t="s">
        <v>308</v>
      </c>
    </row>
    <row r="250" spans="1:1027" ht="15" customHeight="1">
      <c r="A250" s="12">
        <v>119</v>
      </c>
      <c r="B250" s="13" t="s">
        <v>447</v>
      </c>
      <c r="C250" s="14"/>
      <c r="D250" s="14" t="s">
        <v>448</v>
      </c>
      <c r="E250" s="14" t="s">
        <v>44</v>
      </c>
      <c r="F250" s="15" t="s">
        <v>22</v>
      </c>
      <c r="G250" s="14"/>
      <c r="H250" s="58"/>
      <c r="I250" s="19"/>
      <c r="J250" s="14" t="s">
        <v>23</v>
      </c>
      <c r="K250" s="15"/>
      <c r="L250" s="15"/>
      <c r="M250" s="14" t="s">
        <v>27</v>
      </c>
      <c r="N250" s="25" t="s">
        <v>37</v>
      </c>
      <c r="O250" s="22" t="s">
        <v>45</v>
      </c>
      <c r="P250" s="22"/>
      <c r="Q250" s="22"/>
      <c r="R250" s="17">
        <v>43633</v>
      </c>
      <c r="S250" s="2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  <c r="WQ250" s="3"/>
      <c r="WR250" s="3"/>
      <c r="WS250" s="3"/>
      <c r="WT250" s="3"/>
      <c r="WU250" s="3"/>
      <c r="WV250" s="3"/>
      <c r="WW250" s="3"/>
      <c r="WX250" s="3"/>
      <c r="WY250" s="3"/>
      <c r="WZ250" s="3"/>
      <c r="XA250" s="3"/>
      <c r="XB250" s="3"/>
      <c r="XC250" s="3"/>
      <c r="XD250" s="3"/>
      <c r="XE250" s="3"/>
      <c r="XF250" s="3"/>
      <c r="XG250" s="3"/>
      <c r="XH250" s="3"/>
      <c r="XI250" s="3"/>
      <c r="XJ250" s="3"/>
      <c r="XK250" s="3"/>
      <c r="XL250" s="3"/>
      <c r="XM250" s="3"/>
      <c r="XN250" s="3"/>
      <c r="XO250" s="3"/>
      <c r="XP250" s="3"/>
      <c r="XQ250" s="3"/>
      <c r="XR250" s="3"/>
      <c r="XS250" s="3"/>
      <c r="XT250" s="3"/>
      <c r="XU250" s="3"/>
      <c r="XV250" s="3"/>
      <c r="XW250" s="3"/>
      <c r="XX250" s="3"/>
      <c r="XY250" s="3"/>
      <c r="XZ250" s="3"/>
      <c r="YA250" s="3"/>
      <c r="YB250" s="3"/>
      <c r="YC250" s="3"/>
      <c r="YD250" s="3"/>
      <c r="YE250" s="3"/>
      <c r="YF250" s="3"/>
      <c r="YG250" s="3"/>
      <c r="YH250" s="3"/>
      <c r="YI250" s="3"/>
      <c r="YJ250" s="3"/>
      <c r="YK250" s="3"/>
      <c r="YL250" s="3"/>
      <c r="YM250" s="3"/>
      <c r="YN250" s="3"/>
      <c r="YO250" s="3"/>
      <c r="YP250" s="3"/>
      <c r="YQ250" s="3"/>
      <c r="YR250" s="3"/>
      <c r="YS250" s="3"/>
      <c r="YT250" s="3"/>
      <c r="YU250" s="3"/>
      <c r="YV250" s="3"/>
      <c r="YW250" s="3"/>
      <c r="YX250" s="3"/>
      <c r="YY250" s="3"/>
      <c r="YZ250" s="3"/>
      <c r="ZA250" s="3"/>
      <c r="ZB250" s="3"/>
      <c r="ZC250" s="3"/>
      <c r="ZD250" s="3"/>
      <c r="ZE250" s="3"/>
      <c r="ZF250" s="3"/>
      <c r="ZG250" s="3"/>
      <c r="ZH250" s="3"/>
      <c r="ZI250" s="3"/>
      <c r="ZJ250" s="3"/>
      <c r="ZK250" s="3"/>
      <c r="ZL250" s="3"/>
      <c r="ZM250" s="3"/>
      <c r="ZN250" s="3"/>
      <c r="ZO250" s="3"/>
      <c r="ZP250" s="3"/>
      <c r="ZQ250" s="3"/>
      <c r="ZR250" s="3"/>
      <c r="ZS250" s="3"/>
      <c r="ZT250" s="3"/>
      <c r="ZU250" s="3"/>
      <c r="ZV250" s="3"/>
      <c r="ZW250" s="3"/>
      <c r="ZX250" s="3"/>
      <c r="ZY250" s="3"/>
      <c r="ZZ250" s="3"/>
      <c r="AAA250" s="3"/>
      <c r="AAB250" s="3"/>
      <c r="AAC250" s="3"/>
      <c r="AAD250" s="3"/>
      <c r="AAE250" s="3"/>
      <c r="AAF250" s="3"/>
      <c r="AAG250" s="3"/>
      <c r="AAH250" s="3"/>
      <c r="AAI250" s="3"/>
      <c r="AAJ250" s="3"/>
      <c r="AAK250" s="3"/>
      <c r="AAL250" s="3"/>
      <c r="AAM250" s="3"/>
      <c r="AAN250" s="3"/>
      <c r="AAO250" s="3"/>
      <c r="AAP250" s="3"/>
      <c r="AAQ250" s="3"/>
      <c r="AAR250" s="3"/>
      <c r="AAS250" s="3"/>
      <c r="AAT250" s="3"/>
      <c r="AAU250" s="3"/>
      <c r="AAV250" s="3"/>
      <c r="AAW250" s="3"/>
      <c r="AAX250" s="3"/>
      <c r="AAY250" s="3"/>
      <c r="AAZ250" s="3"/>
      <c r="ABA250" s="3"/>
      <c r="ABB250" s="3"/>
      <c r="ABC250" s="3"/>
      <c r="ABD250" s="3"/>
      <c r="ABE250" s="3"/>
      <c r="ABF250" s="3"/>
      <c r="ABG250" s="3"/>
      <c r="ABH250" s="3"/>
      <c r="ABI250" s="3"/>
      <c r="ABJ250" s="3"/>
      <c r="ABK250" s="3"/>
      <c r="ABL250" s="3"/>
      <c r="ABM250" s="3"/>
      <c r="ABN250" s="3"/>
      <c r="ABO250" s="3"/>
      <c r="ABP250" s="3"/>
      <c r="ABQ250" s="3"/>
      <c r="ABR250" s="3"/>
      <c r="ABS250" s="3"/>
      <c r="ABT250" s="3"/>
      <c r="ABU250" s="3"/>
      <c r="ABV250" s="3"/>
      <c r="ABW250" s="3"/>
      <c r="ABX250" s="3"/>
      <c r="ABY250" s="3"/>
      <c r="ABZ250" s="3"/>
      <c r="ACA250" s="3"/>
      <c r="ACB250" s="3"/>
      <c r="ACC250" s="3"/>
      <c r="ACD250" s="3"/>
      <c r="ACE250" s="3"/>
      <c r="ACF250" s="3"/>
      <c r="ACG250" s="3"/>
      <c r="ACH250" s="3"/>
      <c r="ACI250" s="3"/>
      <c r="ACJ250" s="3"/>
      <c r="ACK250" s="3"/>
      <c r="ACL250" s="3"/>
      <c r="ACM250" s="3"/>
      <c r="ACN250" s="3"/>
      <c r="ACO250" s="3"/>
      <c r="ACP250" s="3"/>
      <c r="ACQ250" s="3"/>
      <c r="ACR250" s="3"/>
      <c r="ACS250" s="3"/>
      <c r="ACT250" s="3"/>
      <c r="ACU250" s="3"/>
      <c r="ACV250" s="3"/>
      <c r="ACW250" s="3"/>
      <c r="ACX250" s="3"/>
      <c r="ACY250" s="3"/>
      <c r="ACZ250" s="3"/>
      <c r="ADA250" s="3"/>
      <c r="ADB250" s="3"/>
      <c r="ADC250" s="3"/>
      <c r="ADD250" s="3"/>
      <c r="ADE250" s="3"/>
      <c r="ADF250" s="3"/>
      <c r="ADG250" s="3"/>
      <c r="ADH250" s="3"/>
      <c r="ADI250" s="3"/>
      <c r="ADJ250" s="3"/>
      <c r="ADK250" s="3"/>
      <c r="ADL250" s="3"/>
      <c r="ADM250" s="3"/>
      <c r="ADN250" s="3"/>
      <c r="ADO250" s="3"/>
      <c r="ADP250" s="3"/>
      <c r="ADQ250" s="3"/>
      <c r="ADR250" s="3"/>
      <c r="ADS250" s="3"/>
      <c r="ADT250" s="3"/>
      <c r="ADU250" s="3"/>
      <c r="ADV250" s="3"/>
      <c r="ADW250" s="3"/>
      <c r="ADX250" s="3"/>
      <c r="ADY250" s="3"/>
      <c r="ADZ250" s="3"/>
      <c r="AEA250" s="3"/>
      <c r="AEB250" s="3"/>
      <c r="AEC250" s="3"/>
      <c r="AED250" s="3"/>
      <c r="AEE250" s="3"/>
      <c r="AEF250" s="3"/>
      <c r="AEG250" s="3"/>
      <c r="AEH250" s="3"/>
      <c r="AEI250" s="3"/>
      <c r="AEJ250" s="3"/>
      <c r="AEK250" s="3"/>
      <c r="AEL250" s="3"/>
      <c r="AEM250" s="3"/>
      <c r="AEN250" s="3"/>
      <c r="AEO250" s="3"/>
      <c r="AEP250" s="3"/>
      <c r="AEQ250" s="3"/>
      <c r="AER250" s="3"/>
      <c r="AES250" s="3"/>
      <c r="AET250" s="3"/>
      <c r="AEU250" s="3"/>
      <c r="AEV250" s="3"/>
      <c r="AEW250" s="3"/>
      <c r="AEX250" s="3"/>
      <c r="AEY250" s="3"/>
      <c r="AEZ250" s="3"/>
      <c r="AFA250" s="3"/>
      <c r="AFB250" s="3"/>
      <c r="AFC250" s="3"/>
      <c r="AFD250" s="3"/>
      <c r="AFE250" s="3"/>
      <c r="AFF250" s="3"/>
      <c r="AFG250" s="3"/>
      <c r="AFH250" s="3"/>
      <c r="AFI250" s="3"/>
      <c r="AFJ250" s="3"/>
      <c r="AFK250" s="3"/>
      <c r="AFL250" s="3"/>
      <c r="AFM250" s="3"/>
      <c r="AFN250" s="3"/>
      <c r="AFO250" s="3"/>
      <c r="AFP250" s="3"/>
      <c r="AFQ250" s="3"/>
      <c r="AFR250" s="3"/>
      <c r="AFS250" s="3"/>
      <c r="AFT250" s="3"/>
      <c r="AFU250" s="3"/>
      <c r="AFV250" s="3"/>
      <c r="AFW250" s="3"/>
      <c r="AFX250" s="3"/>
      <c r="AFY250" s="3"/>
      <c r="AFZ250" s="3"/>
      <c r="AGA250" s="3"/>
      <c r="AGB250" s="3"/>
      <c r="AGC250" s="3"/>
      <c r="AGD250" s="3"/>
      <c r="AGE250" s="3"/>
      <c r="AGF250" s="3"/>
      <c r="AGG250" s="3"/>
      <c r="AGH250" s="3"/>
      <c r="AGI250" s="3"/>
      <c r="AGJ250" s="3"/>
      <c r="AGK250" s="3"/>
      <c r="AGL250" s="3"/>
      <c r="AGM250" s="3"/>
      <c r="AGN250" s="3"/>
      <c r="AGO250" s="3"/>
      <c r="AGP250" s="3"/>
      <c r="AGQ250" s="3"/>
      <c r="AGR250" s="3"/>
      <c r="AGS250" s="3"/>
      <c r="AGT250" s="3"/>
      <c r="AGU250" s="3"/>
      <c r="AGV250" s="3"/>
      <c r="AGW250" s="3"/>
      <c r="AGX250" s="3"/>
      <c r="AGY250" s="3"/>
      <c r="AGZ250" s="3"/>
      <c r="AHA250" s="3"/>
      <c r="AHB250" s="3"/>
      <c r="AHC250" s="3"/>
      <c r="AHD250" s="3"/>
      <c r="AHE250" s="3"/>
      <c r="AHF250" s="3"/>
      <c r="AHG250" s="3"/>
      <c r="AHH250" s="3"/>
      <c r="AHI250" s="3"/>
      <c r="AHJ250" s="3"/>
      <c r="AHK250" s="3"/>
      <c r="AHL250" s="3"/>
      <c r="AHM250" s="3"/>
      <c r="AHN250" s="3"/>
      <c r="AHO250" s="3"/>
      <c r="AHP250" s="3"/>
      <c r="AHQ250" s="3"/>
      <c r="AHR250" s="3"/>
      <c r="AHS250" s="3"/>
      <c r="AHT250" s="3"/>
      <c r="AHU250" s="3"/>
      <c r="AHV250" s="3"/>
      <c r="AHW250" s="3"/>
      <c r="AHX250" s="3"/>
      <c r="AHY250" s="3"/>
      <c r="AHZ250" s="3"/>
      <c r="AIA250" s="3"/>
      <c r="AIB250" s="3"/>
      <c r="AIC250" s="3"/>
      <c r="AID250" s="3"/>
      <c r="AIE250" s="3"/>
      <c r="AIF250" s="3"/>
      <c r="AIG250" s="3"/>
      <c r="AIH250" s="3"/>
      <c r="AII250" s="3"/>
      <c r="AIJ250" s="3"/>
      <c r="AIK250" s="3"/>
      <c r="AIL250" s="3"/>
      <c r="AIM250" s="3"/>
      <c r="AIN250" s="3"/>
      <c r="AIO250" s="3"/>
      <c r="AIP250" s="3"/>
      <c r="AIQ250" s="3"/>
      <c r="AIR250" s="3"/>
      <c r="AIS250" s="3"/>
      <c r="AIT250" s="3"/>
      <c r="AIU250" s="3"/>
      <c r="AIV250" s="3"/>
      <c r="AIW250" s="3"/>
      <c r="AIX250" s="3"/>
      <c r="AIY250" s="3"/>
      <c r="AIZ250" s="3"/>
      <c r="AJA250" s="3"/>
      <c r="AJB250" s="3"/>
      <c r="AJC250" s="3"/>
      <c r="AJD250" s="3"/>
      <c r="AJE250" s="3"/>
      <c r="AJF250" s="3"/>
      <c r="AJG250" s="3"/>
      <c r="AJH250" s="3"/>
      <c r="AJI250" s="3"/>
      <c r="AJJ250" s="3"/>
      <c r="AJK250" s="3"/>
      <c r="AJL250" s="3"/>
      <c r="AJM250" s="3"/>
      <c r="AJN250" s="3"/>
      <c r="AJO250" s="3"/>
      <c r="AJP250" s="3"/>
      <c r="AJQ250" s="3"/>
      <c r="AJR250" s="3"/>
      <c r="AJS250" s="3"/>
      <c r="AJT250" s="3"/>
      <c r="AJU250" s="3"/>
      <c r="AJV250" s="3"/>
      <c r="AJW250" s="3"/>
      <c r="AJX250" s="3"/>
      <c r="AJY250" s="3"/>
      <c r="AJZ250" s="3"/>
      <c r="AKA250" s="3"/>
      <c r="AKB250" s="3"/>
      <c r="AKC250" s="3"/>
      <c r="AKD250" s="3"/>
      <c r="AKE250" s="3"/>
      <c r="AKF250" s="3"/>
      <c r="AKG250" s="3"/>
      <c r="AKH250" s="3"/>
      <c r="AKI250" s="3"/>
      <c r="AKJ250" s="3"/>
      <c r="AKK250" s="3"/>
      <c r="AKL250" s="3"/>
      <c r="AKM250" s="3"/>
      <c r="AKN250" s="3"/>
      <c r="AKO250" s="3"/>
      <c r="AKP250" s="3"/>
      <c r="AKQ250" s="3"/>
      <c r="AKR250" s="3"/>
      <c r="AKS250" s="3"/>
      <c r="AKT250" s="3"/>
      <c r="AKU250" s="3"/>
      <c r="AKV250" s="3"/>
      <c r="AKW250" s="3"/>
      <c r="AKX250" s="3"/>
      <c r="AKY250" s="3"/>
      <c r="AKZ250" s="3"/>
      <c r="ALA250" s="3"/>
      <c r="ALB250" s="3"/>
      <c r="ALC250" s="3"/>
      <c r="ALD250" s="3"/>
      <c r="ALE250" s="3"/>
      <c r="ALF250" s="3"/>
      <c r="ALG250" s="3"/>
      <c r="ALH250" s="3"/>
      <c r="ALI250" s="3"/>
      <c r="ALJ250" s="3"/>
      <c r="ALK250" s="3"/>
      <c r="ALL250" s="3"/>
      <c r="ALM250" s="3"/>
      <c r="ALN250" s="3"/>
      <c r="ALO250" s="3"/>
      <c r="ALP250" s="3"/>
      <c r="ALQ250" s="3"/>
      <c r="ALR250" s="3"/>
      <c r="ALS250" s="3"/>
      <c r="ALT250" s="3"/>
      <c r="ALU250" s="3"/>
      <c r="ALV250" s="3"/>
      <c r="ALW250" s="3"/>
      <c r="ALX250" s="3"/>
      <c r="ALY250" s="3"/>
      <c r="ALZ250" s="3"/>
      <c r="AMA250" s="3"/>
      <c r="AMB250" s="3"/>
      <c r="AMC250" s="3"/>
      <c r="AMD250" s="3"/>
      <c r="AME250" s="3"/>
      <c r="AMF250" s="3"/>
      <c r="AMG250" s="3"/>
      <c r="AMH250" s="3"/>
      <c r="AMI250" s="3"/>
      <c r="AMJ250" s="3"/>
      <c r="AMK250" s="3"/>
      <c r="AML250" s="3"/>
      <c r="AMM250" s="3"/>
    </row>
    <row r="251" spans="1:1027" ht="15" customHeight="1">
      <c r="A251" s="12">
        <v>896</v>
      </c>
      <c r="B251" s="13" t="s">
        <v>449</v>
      </c>
      <c r="C251" s="14"/>
      <c r="D251" s="14" t="s">
        <v>448</v>
      </c>
      <c r="E251" s="14" t="s">
        <v>44</v>
      </c>
      <c r="F251" s="15" t="s">
        <v>22</v>
      </c>
      <c r="G251" s="21"/>
      <c r="H251" s="58">
        <v>1</v>
      </c>
      <c r="I251" s="14"/>
      <c r="J251" s="14" t="s">
        <v>23</v>
      </c>
      <c r="K251" s="14"/>
      <c r="L251" s="14"/>
      <c r="M251" s="14" t="s">
        <v>29</v>
      </c>
      <c r="N251" s="25" t="s">
        <v>37</v>
      </c>
      <c r="O251" s="14" t="s">
        <v>450</v>
      </c>
      <c r="P251" s="14"/>
      <c r="Q251" s="14"/>
      <c r="R251" s="14" t="s">
        <v>158</v>
      </c>
    </row>
    <row r="252" spans="1:1027" ht="15" customHeight="1">
      <c r="A252" s="12">
        <v>1685</v>
      </c>
      <c r="B252" s="13" t="s">
        <v>451</v>
      </c>
      <c r="C252" s="14"/>
      <c r="D252" s="14" t="s">
        <v>448</v>
      </c>
      <c r="E252" s="14" t="s">
        <v>44</v>
      </c>
      <c r="F252" s="15" t="s">
        <v>22</v>
      </c>
      <c r="G252" s="14"/>
      <c r="H252" s="58">
        <v>4</v>
      </c>
      <c r="I252" s="14"/>
      <c r="J252" s="14" t="s">
        <v>23</v>
      </c>
      <c r="K252" s="14"/>
      <c r="L252" s="14"/>
      <c r="M252" s="14" t="s">
        <v>32</v>
      </c>
      <c r="N252" s="25" t="s">
        <v>37</v>
      </c>
      <c r="O252" s="14" t="s">
        <v>452</v>
      </c>
      <c r="P252" s="18"/>
      <c r="Q252" s="14"/>
      <c r="R252" s="14" t="s">
        <v>308</v>
      </c>
    </row>
    <row r="253" spans="1:1027" ht="15" customHeight="1">
      <c r="A253" s="12">
        <v>120</v>
      </c>
      <c r="B253" s="13" t="s">
        <v>453</v>
      </c>
      <c r="C253" s="14"/>
      <c r="D253" s="14" t="s">
        <v>454</v>
      </c>
      <c r="E253" s="14" t="s">
        <v>36</v>
      </c>
      <c r="F253" s="15" t="s">
        <v>22</v>
      </c>
      <c r="G253" s="14"/>
      <c r="H253" s="58"/>
      <c r="I253" s="19"/>
      <c r="J253" s="14" t="s">
        <v>23</v>
      </c>
      <c r="K253" s="15"/>
      <c r="L253" s="15"/>
      <c r="M253" s="14" t="s">
        <v>27</v>
      </c>
      <c r="N253" s="14" t="s">
        <v>25</v>
      </c>
      <c r="O253" s="22"/>
      <c r="P253" s="22"/>
      <c r="Q253" s="22"/>
      <c r="R253" s="17">
        <v>43633</v>
      </c>
      <c r="S253" s="2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WZ253" s="3"/>
      <c r="XA253" s="3"/>
      <c r="XB253" s="3"/>
      <c r="XC253" s="3"/>
      <c r="XD253" s="3"/>
      <c r="XE253" s="3"/>
      <c r="XF253" s="3"/>
      <c r="XG253" s="3"/>
      <c r="XH253" s="3"/>
      <c r="XI253" s="3"/>
      <c r="XJ253" s="3"/>
      <c r="XK253" s="3"/>
      <c r="XL253" s="3"/>
      <c r="XM253" s="3"/>
      <c r="XN253" s="3"/>
      <c r="XO253" s="3"/>
      <c r="XP253" s="3"/>
      <c r="XQ253" s="3"/>
      <c r="XR253" s="3"/>
      <c r="XS253" s="3"/>
      <c r="XT253" s="3"/>
      <c r="XU253" s="3"/>
      <c r="XV253" s="3"/>
      <c r="XW253" s="3"/>
      <c r="XX253" s="3"/>
      <c r="XY253" s="3"/>
      <c r="XZ253" s="3"/>
      <c r="YA253" s="3"/>
      <c r="YB253" s="3"/>
      <c r="YC253" s="3"/>
      <c r="YD253" s="3"/>
      <c r="YE253" s="3"/>
      <c r="YF253" s="3"/>
      <c r="YG253" s="3"/>
      <c r="YH253" s="3"/>
      <c r="YI253" s="3"/>
      <c r="YJ253" s="3"/>
      <c r="YK253" s="3"/>
      <c r="YL253" s="3"/>
      <c r="YM253" s="3"/>
      <c r="YN253" s="3"/>
      <c r="YO253" s="3"/>
      <c r="YP253" s="3"/>
      <c r="YQ253" s="3"/>
      <c r="YR253" s="3"/>
      <c r="YS253" s="3"/>
      <c r="YT253" s="3"/>
      <c r="YU253" s="3"/>
      <c r="YV253" s="3"/>
      <c r="YW253" s="3"/>
      <c r="YX253" s="3"/>
      <c r="YY253" s="3"/>
      <c r="YZ253" s="3"/>
      <c r="ZA253" s="3"/>
      <c r="ZB253" s="3"/>
      <c r="ZC253" s="3"/>
      <c r="ZD253" s="3"/>
      <c r="ZE253" s="3"/>
      <c r="ZF253" s="3"/>
      <c r="ZG253" s="3"/>
      <c r="ZH253" s="3"/>
      <c r="ZI253" s="3"/>
      <c r="ZJ253" s="3"/>
      <c r="ZK253" s="3"/>
      <c r="ZL253" s="3"/>
      <c r="ZM253" s="3"/>
      <c r="ZN253" s="3"/>
      <c r="ZO253" s="3"/>
      <c r="ZP253" s="3"/>
      <c r="ZQ253" s="3"/>
      <c r="ZR253" s="3"/>
      <c r="ZS253" s="3"/>
      <c r="ZT253" s="3"/>
      <c r="ZU253" s="3"/>
      <c r="ZV253" s="3"/>
      <c r="ZW253" s="3"/>
      <c r="ZX253" s="3"/>
      <c r="ZY253" s="3"/>
      <c r="ZZ253" s="3"/>
      <c r="AAA253" s="3"/>
      <c r="AAB253" s="3"/>
      <c r="AAC253" s="3"/>
      <c r="AAD253" s="3"/>
      <c r="AAE253" s="3"/>
      <c r="AAF253" s="3"/>
      <c r="AAG253" s="3"/>
      <c r="AAH253" s="3"/>
      <c r="AAI253" s="3"/>
      <c r="AAJ253" s="3"/>
      <c r="AAK253" s="3"/>
      <c r="AAL253" s="3"/>
      <c r="AAM253" s="3"/>
      <c r="AAN253" s="3"/>
      <c r="AAO253" s="3"/>
      <c r="AAP253" s="3"/>
      <c r="AAQ253" s="3"/>
      <c r="AAR253" s="3"/>
      <c r="AAS253" s="3"/>
      <c r="AAT253" s="3"/>
      <c r="AAU253" s="3"/>
      <c r="AAV253" s="3"/>
      <c r="AAW253" s="3"/>
      <c r="AAX253" s="3"/>
      <c r="AAY253" s="3"/>
      <c r="AAZ253" s="3"/>
      <c r="ABA253" s="3"/>
      <c r="ABB253" s="3"/>
      <c r="ABC253" s="3"/>
      <c r="ABD253" s="3"/>
      <c r="ABE253" s="3"/>
      <c r="ABF253" s="3"/>
      <c r="ABG253" s="3"/>
      <c r="ABH253" s="3"/>
      <c r="ABI253" s="3"/>
      <c r="ABJ253" s="3"/>
      <c r="ABK253" s="3"/>
      <c r="ABL253" s="3"/>
      <c r="ABM253" s="3"/>
      <c r="ABN253" s="3"/>
      <c r="ABO253" s="3"/>
      <c r="ABP253" s="3"/>
      <c r="ABQ253" s="3"/>
      <c r="ABR253" s="3"/>
      <c r="ABS253" s="3"/>
      <c r="ABT253" s="3"/>
      <c r="ABU253" s="3"/>
      <c r="ABV253" s="3"/>
      <c r="ABW253" s="3"/>
      <c r="ABX253" s="3"/>
      <c r="ABY253" s="3"/>
      <c r="ABZ253" s="3"/>
      <c r="ACA253" s="3"/>
      <c r="ACB253" s="3"/>
      <c r="ACC253" s="3"/>
      <c r="ACD253" s="3"/>
      <c r="ACE253" s="3"/>
      <c r="ACF253" s="3"/>
      <c r="ACG253" s="3"/>
      <c r="ACH253" s="3"/>
      <c r="ACI253" s="3"/>
      <c r="ACJ253" s="3"/>
      <c r="ACK253" s="3"/>
      <c r="ACL253" s="3"/>
      <c r="ACM253" s="3"/>
      <c r="ACN253" s="3"/>
      <c r="ACO253" s="3"/>
      <c r="ACP253" s="3"/>
      <c r="ACQ253" s="3"/>
      <c r="ACR253" s="3"/>
      <c r="ACS253" s="3"/>
      <c r="ACT253" s="3"/>
      <c r="ACU253" s="3"/>
      <c r="ACV253" s="3"/>
      <c r="ACW253" s="3"/>
      <c r="ACX253" s="3"/>
      <c r="ACY253" s="3"/>
      <c r="ACZ253" s="3"/>
      <c r="ADA253" s="3"/>
      <c r="ADB253" s="3"/>
      <c r="ADC253" s="3"/>
      <c r="ADD253" s="3"/>
      <c r="ADE253" s="3"/>
      <c r="ADF253" s="3"/>
      <c r="ADG253" s="3"/>
      <c r="ADH253" s="3"/>
      <c r="ADI253" s="3"/>
      <c r="ADJ253" s="3"/>
      <c r="ADK253" s="3"/>
      <c r="ADL253" s="3"/>
      <c r="ADM253" s="3"/>
      <c r="ADN253" s="3"/>
      <c r="ADO253" s="3"/>
      <c r="ADP253" s="3"/>
      <c r="ADQ253" s="3"/>
      <c r="ADR253" s="3"/>
      <c r="ADS253" s="3"/>
      <c r="ADT253" s="3"/>
      <c r="ADU253" s="3"/>
      <c r="ADV253" s="3"/>
      <c r="ADW253" s="3"/>
      <c r="ADX253" s="3"/>
      <c r="ADY253" s="3"/>
      <c r="ADZ253" s="3"/>
      <c r="AEA253" s="3"/>
      <c r="AEB253" s="3"/>
      <c r="AEC253" s="3"/>
      <c r="AED253" s="3"/>
      <c r="AEE253" s="3"/>
      <c r="AEF253" s="3"/>
      <c r="AEG253" s="3"/>
      <c r="AEH253" s="3"/>
      <c r="AEI253" s="3"/>
      <c r="AEJ253" s="3"/>
      <c r="AEK253" s="3"/>
      <c r="AEL253" s="3"/>
      <c r="AEM253" s="3"/>
      <c r="AEN253" s="3"/>
      <c r="AEO253" s="3"/>
      <c r="AEP253" s="3"/>
      <c r="AEQ253" s="3"/>
      <c r="AER253" s="3"/>
      <c r="AES253" s="3"/>
      <c r="AET253" s="3"/>
      <c r="AEU253" s="3"/>
      <c r="AEV253" s="3"/>
      <c r="AEW253" s="3"/>
      <c r="AEX253" s="3"/>
      <c r="AEY253" s="3"/>
      <c r="AEZ253" s="3"/>
      <c r="AFA253" s="3"/>
      <c r="AFB253" s="3"/>
      <c r="AFC253" s="3"/>
      <c r="AFD253" s="3"/>
      <c r="AFE253" s="3"/>
      <c r="AFF253" s="3"/>
      <c r="AFG253" s="3"/>
      <c r="AFH253" s="3"/>
      <c r="AFI253" s="3"/>
      <c r="AFJ253" s="3"/>
      <c r="AFK253" s="3"/>
      <c r="AFL253" s="3"/>
      <c r="AFM253" s="3"/>
      <c r="AFN253" s="3"/>
      <c r="AFO253" s="3"/>
      <c r="AFP253" s="3"/>
      <c r="AFQ253" s="3"/>
      <c r="AFR253" s="3"/>
      <c r="AFS253" s="3"/>
      <c r="AFT253" s="3"/>
      <c r="AFU253" s="3"/>
      <c r="AFV253" s="3"/>
      <c r="AFW253" s="3"/>
      <c r="AFX253" s="3"/>
      <c r="AFY253" s="3"/>
      <c r="AFZ253" s="3"/>
      <c r="AGA253" s="3"/>
      <c r="AGB253" s="3"/>
      <c r="AGC253" s="3"/>
      <c r="AGD253" s="3"/>
      <c r="AGE253" s="3"/>
      <c r="AGF253" s="3"/>
      <c r="AGG253" s="3"/>
      <c r="AGH253" s="3"/>
      <c r="AGI253" s="3"/>
      <c r="AGJ253" s="3"/>
      <c r="AGK253" s="3"/>
      <c r="AGL253" s="3"/>
      <c r="AGM253" s="3"/>
      <c r="AGN253" s="3"/>
      <c r="AGO253" s="3"/>
      <c r="AGP253" s="3"/>
      <c r="AGQ253" s="3"/>
      <c r="AGR253" s="3"/>
      <c r="AGS253" s="3"/>
      <c r="AGT253" s="3"/>
      <c r="AGU253" s="3"/>
      <c r="AGV253" s="3"/>
      <c r="AGW253" s="3"/>
      <c r="AGX253" s="3"/>
      <c r="AGY253" s="3"/>
      <c r="AGZ253" s="3"/>
      <c r="AHA253" s="3"/>
      <c r="AHB253" s="3"/>
      <c r="AHC253" s="3"/>
      <c r="AHD253" s="3"/>
      <c r="AHE253" s="3"/>
      <c r="AHF253" s="3"/>
      <c r="AHG253" s="3"/>
      <c r="AHH253" s="3"/>
      <c r="AHI253" s="3"/>
      <c r="AHJ253" s="3"/>
      <c r="AHK253" s="3"/>
      <c r="AHL253" s="3"/>
      <c r="AHM253" s="3"/>
      <c r="AHN253" s="3"/>
      <c r="AHO253" s="3"/>
      <c r="AHP253" s="3"/>
      <c r="AHQ253" s="3"/>
      <c r="AHR253" s="3"/>
      <c r="AHS253" s="3"/>
      <c r="AHT253" s="3"/>
      <c r="AHU253" s="3"/>
      <c r="AHV253" s="3"/>
      <c r="AHW253" s="3"/>
      <c r="AHX253" s="3"/>
      <c r="AHY253" s="3"/>
      <c r="AHZ253" s="3"/>
      <c r="AIA253" s="3"/>
      <c r="AIB253" s="3"/>
      <c r="AIC253" s="3"/>
      <c r="AID253" s="3"/>
      <c r="AIE253" s="3"/>
      <c r="AIF253" s="3"/>
      <c r="AIG253" s="3"/>
      <c r="AIH253" s="3"/>
      <c r="AII253" s="3"/>
      <c r="AIJ253" s="3"/>
      <c r="AIK253" s="3"/>
      <c r="AIL253" s="3"/>
      <c r="AIM253" s="3"/>
      <c r="AIN253" s="3"/>
      <c r="AIO253" s="3"/>
      <c r="AIP253" s="3"/>
      <c r="AIQ253" s="3"/>
      <c r="AIR253" s="3"/>
      <c r="AIS253" s="3"/>
      <c r="AIT253" s="3"/>
      <c r="AIU253" s="3"/>
      <c r="AIV253" s="3"/>
      <c r="AIW253" s="3"/>
      <c r="AIX253" s="3"/>
      <c r="AIY253" s="3"/>
      <c r="AIZ253" s="3"/>
      <c r="AJA253" s="3"/>
      <c r="AJB253" s="3"/>
      <c r="AJC253" s="3"/>
      <c r="AJD253" s="3"/>
      <c r="AJE253" s="3"/>
      <c r="AJF253" s="3"/>
      <c r="AJG253" s="3"/>
      <c r="AJH253" s="3"/>
      <c r="AJI253" s="3"/>
      <c r="AJJ253" s="3"/>
      <c r="AJK253" s="3"/>
      <c r="AJL253" s="3"/>
      <c r="AJM253" s="3"/>
      <c r="AJN253" s="3"/>
      <c r="AJO253" s="3"/>
      <c r="AJP253" s="3"/>
      <c r="AJQ253" s="3"/>
      <c r="AJR253" s="3"/>
      <c r="AJS253" s="3"/>
      <c r="AJT253" s="3"/>
      <c r="AJU253" s="3"/>
      <c r="AJV253" s="3"/>
      <c r="AJW253" s="3"/>
      <c r="AJX253" s="3"/>
      <c r="AJY253" s="3"/>
      <c r="AJZ253" s="3"/>
      <c r="AKA253" s="3"/>
      <c r="AKB253" s="3"/>
      <c r="AKC253" s="3"/>
      <c r="AKD253" s="3"/>
      <c r="AKE253" s="3"/>
      <c r="AKF253" s="3"/>
      <c r="AKG253" s="3"/>
      <c r="AKH253" s="3"/>
      <c r="AKI253" s="3"/>
      <c r="AKJ253" s="3"/>
      <c r="AKK253" s="3"/>
      <c r="AKL253" s="3"/>
      <c r="AKM253" s="3"/>
      <c r="AKN253" s="3"/>
      <c r="AKO253" s="3"/>
      <c r="AKP253" s="3"/>
      <c r="AKQ253" s="3"/>
      <c r="AKR253" s="3"/>
      <c r="AKS253" s="3"/>
      <c r="AKT253" s="3"/>
      <c r="AKU253" s="3"/>
      <c r="AKV253" s="3"/>
      <c r="AKW253" s="3"/>
      <c r="AKX253" s="3"/>
      <c r="AKY253" s="3"/>
      <c r="AKZ253" s="3"/>
      <c r="ALA253" s="3"/>
      <c r="ALB253" s="3"/>
      <c r="ALC253" s="3"/>
      <c r="ALD253" s="3"/>
      <c r="ALE253" s="3"/>
      <c r="ALF253" s="3"/>
      <c r="ALG253" s="3"/>
      <c r="ALH253" s="3"/>
      <c r="ALI253" s="3"/>
      <c r="ALJ253" s="3"/>
      <c r="ALK253" s="3"/>
      <c r="ALL253" s="3"/>
      <c r="ALM253" s="3"/>
      <c r="ALN253" s="3"/>
      <c r="ALO253" s="3"/>
      <c r="ALP253" s="3"/>
      <c r="ALQ253" s="3"/>
      <c r="ALR253" s="3"/>
      <c r="ALS253" s="3"/>
      <c r="ALT253" s="3"/>
      <c r="ALU253" s="3"/>
      <c r="ALV253" s="3"/>
      <c r="ALW253" s="3"/>
      <c r="ALX253" s="3"/>
      <c r="ALY253" s="3"/>
      <c r="ALZ253" s="3"/>
      <c r="AMA253" s="3"/>
      <c r="AMB253" s="3"/>
      <c r="AMC253" s="3"/>
      <c r="AMD253" s="3"/>
      <c r="AME253" s="3"/>
      <c r="AMF253" s="3"/>
      <c r="AMG253" s="3"/>
      <c r="AMH253" s="3"/>
      <c r="AMI253" s="3"/>
      <c r="AMJ253" s="3"/>
      <c r="AMK253" s="3"/>
      <c r="AML253" s="3"/>
      <c r="AMM253" s="3"/>
    </row>
    <row r="254" spans="1:1027" ht="15" customHeight="1">
      <c r="A254" s="12">
        <v>897</v>
      </c>
      <c r="B254" s="13" t="s">
        <v>455</v>
      </c>
      <c r="C254" s="14"/>
      <c r="D254" s="14" t="s">
        <v>454</v>
      </c>
      <c r="E254" s="14" t="s">
        <v>36</v>
      </c>
      <c r="F254" s="15" t="s">
        <v>22</v>
      </c>
      <c r="G254" s="21"/>
      <c r="H254" s="58">
        <v>1</v>
      </c>
      <c r="I254" s="14"/>
      <c r="J254" s="14" t="s">
        <v>23</v>
      </c>
      <c r="K254" s="14"/>
      <c r="L254" s="14"/>
      <c r="M254" s="14" t="s">
        <v>29</v>
      </c>
      <c r="N254" s="25" t="s">
        <v>37</v>
      </c>
      <c r="O254" s="14" t="s">
        <v>456</v>
      </c>
      <c r="P254" s="14"/>
      <c r="Q254" s="14"/>
      <c r="R254" s="14" t="s">
        <v>158</v>
      </c>
    </row>
    <row r="255" spans="1:1027" ht="15" customHeight="1">
      <c r="A255" s="12">
        <v>1686</v>
      </c>
      <c r="B255" s="13" t="s">
        <v>457</v>
      </c>
      <c r="C255" s="14"/>
      <c r="D255" s="14" t="s">
        <v>454</v>
      </c>
      <c r="E255" s="14" t="s">
        <v>36</v>
      </c>
      <c r="F255" s="15" t="s">
        <v>22</v>
      </c>
      <c r="G255" s="14"/>
      <c r="H255" s="58">
        <v>2</v>
      </c>
      <c r="I255" s="14"/>
      <c r="J255" s="14" t="s">
        <v>23</v>
      </c>
      <c r="K255" s="14"/>
      <c r="L255" s="14"/>
      <c r="M255" s="14" t="s">
        <v>32</v>
      </c>
      <c r="N255" s="14" t="s">
        <v>25</v>
      </c>
      <c r="O255" s="14"/>
      <c r="P255" s="18"/>
      <c r="Q255" s="14"/>
      <c r="R255" s="14" t="s">
        <v>308</v>
      </c>
    </row>
    <row r="256" spans="1:1027" ht="15" customHeight="1">
      <c r="A256" s="12">
        <v>121</v>
      </c>
      <c r="B256" s="13" t="s">
        <v>458</v>
      </c>
      <c r="C256" s="14"/>
      <c r="D256" s="14" t="s">
        <v>459</v>
      </c>
      <c r="E256" s="14" t="s">
        <v>115</v>
      </c>
      <c r="F256" s="15" t="s">
        <v>22</v>
      </c>
      <c r="G256" s="14"/>
      <c r="H256" s="58"/>
      <c r="I256" s="19"/>
      <c r="J256" s="14" t="s">
        <v>23</v>
      </c>
      <c r="K256" s="15"/>
      <c r="L256" s="15"/>
      <c r="M256" s="14" t="s">
        <v>27</v>
      </c>
      <c r="N256" s="25" t="s">
        <v>194</v>
      </c>
      <c r="O256" s="22" t="s">
        <v>189</v>
      </c>
      <c r="P256" s="22"/>
      <c r="Q256" s="22"/>
      <c r="R256" s="17">
        <v>43633</v>
      </c>
      <c r="S256" s="2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  <c r="XX256" s="3"/>
      <c r="XY256" s="3"/>
      <c r="XZ256" s="3"/>
      <c r="YA256" s="3"/>
      <c r="YB256" s="3"/>
      <c r="YC256" s="3"/>
      <c r="YD256" s="3"/>
      <c r="YE256" s="3"/>
      <c r="YF256" s="3"/>
      <c r="YG256" s="3"/>
      <c r="YH256" s="3"/>
      <c r="YI256" s="3"/>
      <c r="YJ256" s="3"/>
      <c r="YK256" s="3"/>
      <c r="YL256" s="3"/>
      <c r="YM256" s="3"/>
      <c r="YN256" s="3"/>
      <c r="YO256" s="3"/>
      <c r="YP256" s="3"/>
      <c r="YQ256" s="3"/>
      <c r="YR256" s="3"/>
      <c r="YS256" s="3"/>
      <c r="YT256" s="3"/>
      <c r="YU256" s="3"/>
      <c r="YV256" s="3"/>
      <c r="YW256" s="3"/>
      <c r="YX256" s="3"/>
      <c r="YY256" s="3"/>
      <c r="YZ256" s="3"/>
      <c r="ZA256" s="3"/>
      <c r="ZB256" s="3"/>
      <c r="ZC256" s="3"/>
      <c r="ZD256" s="3"/>
      <c r="ZE256" s="3"/>
      <c r="ZF256" s="3"/>
      <c r="ZG256" s="3"/>
      <c r="ZH256" s="3"/>
      <c r="ZI256" s="3"/>
      <c r="ZJ256" s="3"/>
      <c r="ZK256" s="3"/>
      <c r="ZL256" s="3"/>
      <c r="ZM256" s="3"/>
      <c r="ZN256" s="3"/>
      <c r="ZO256" s="3"/>
      <c r="ZP256" s="3"/>
      <c r="ZQ256" s="3"/>
      <c r="ZR256" s="3"/>
      <c r="ZS256" s="3"/>
      <c r="ZT256" s="3"/>
      <c r="ZU256" s="3"/>
      <c r="ZV256" s="3"/>
      <c r="ZW256" s="3"/>
      <c r="ZX256" s="3"/>
      <c r="ZY256" s="3"/>
      <c r="ZZ256" s="3"/>
      <c r="AAA256" s="3"/>
      <c r="AAB256" s="3"/>
      <c r="AAC256" s="3"/>
      <c r="AAD256" s="3"/>
      <c r="AAE256" s="3"/>
      <c r="AAF256" s="3"/>
      <c r="AAG256" s="3"/>
      <c r="AAH256" s="3"/>
      <c r="AAI256" s="3"/>
      <c r="AAJ256" s="3"/>
      <c r="AAK256" s="3"/>
      <c r="AAL256" s="3"/>
      <c r="AAM256" s="3"/>
      <c r="AAN256" s="3"/>
      <c r="AAO256" s="3"/>
      <c r="AAP256" s="3"/>
      <c r="AAQ256" s="3"/>
      <c r="AAR256" s="3"/>
      <c r="AAS256" s="3"/>
      <c r="AAT256" s="3"/>
      <c r="AAU256" s="3"/>
      <c r="AAV256" s="3"/>
      <c r="AAW256" s="3"/>
      <c r="AAX256" s="3"/>
      <c r="AAY256" s="3"/>
      <c r="AAZ256" s="3"/>
      <c r="ABA256" s="3"/>
      <c r="ABB256" s="3"/>
      <c r="ABC256" s="3"/>
      <c r="ABD256" s="3"/>
      <c r="ABE256" s="3"/>
      <c r="ABF256" s="3"/>
      <c r="ABG256" s="3"/>
      <c r="ABH256" s="3"/>
      <c r="ABI256" s="3"/>
      <c r="ABJ256" s="3"/>
      <c r="ABK256" s="3"/>
      <c r="ABL256" s="3"/>
      <c r="ABM256" s="3"/>
      <c r="ABN256" s="3"/>
      <c r="ABO256" s="3"/>
      <c r="ABP256" s="3"/>
      <c r="ABQ256" s="3"/>
      <c r="ABR256" s="3"/>
      <c r="ABS256" s="3"/>
      <c r="ABT256" s="3"/>
      <c r="ABU256" s="3"/>
      <c r="ABV256" s="3"/>
      <c r="ABW256" s="3"/>
      <c r="ABX256" s="3"/>
      <c r="ABY256" s="3"/>
      <c r="ABZ256" s="3"/>
      <c r="ACA256" s="3"/>
      <c r="ACB256" s="3"/>
      <c r="ACC256" s="3"/>
      <c r="ACD256" s="3"/>
      <c r="ACE256" s="3"/>
      <c r="ACF256" s="3"/>
      <c r="ACG256" s="3"/>
      <c r="ACH256" s="3"/>
      <c r="ACI256" s="3"/>
      <c r="ACJ256" s="3"/>
      <c r="ACK256" s="3"/>
      <c r="ACL256" s="3"/>
      <c r="ACM256" s="3"/>
      <c r="ACN256" s="3"/>
      <c r="ACO256" s="3"/>
      <c r="ACP256" s="3"/>
      <c r="ACQ256" s="3"/>
      <c r="ACR256" s="3"/>
      <c r="ACS256" s="3"/>
      <c r="ACT256" s="3"/>
      <c r="ACU256" s="3"/>
      <c r="ACV256" s="3"/>
      <c r="ACW256" s="3"/>
      <c r="ACX256" s="3"/>
      <c r="ACY256" s="3"/>
      <c r="ACZ256" s="3"/>
      <c r="ADA256" s="3"/>
      <c r="ADB256" s="3"/>
      <c r="ADC256" s="3"/>
      <c r="ADD256" s="3"/>
      <c r="ADE256" s="3"/>
      <c r="ADF256" s="3"/>
      <c r="ADG256" s="3"/>
      <c r="ADH256" s="3"/>
      <c r="ADI256" s="3"/>
      <c r="ADJ256" s="3"/>
      <c r="ADK256" s="3"/>
      <c r="ADL256" s="3"/>
      <c r="ADM256" s="3"/>
      <c r="ADN256" s="3"/>
      <c r="ADO256" s="3"/>
      <c r="ADP256" s="3"/>
      <c r="ADQ256" s="3"/>
      <c r="ADR256" s="3"/>
      <c r="ADS256" s="3"/>
      <c r="ADT256" s="3"/>
      <c r="ADU256" s="3"/>
      <c r="ADV256" s="3"/>
      <c r="ADW256" s="3"/>
      <c r="ADX256" s="3"/>
      <c r="ADY256" s="3"/>
      <c r="ADZ256" s="3"/>
      <c r="AEA256" s="3"/>
      <c r="AEB256" s="3"/>
      <c r="AEC256" s="3"/>
      <c r="AED256" s="3"/>
      <c r="AEE256" s="3"/>
      <c r="AEF256" s="3"/>
      <c r="AEG256" s="3"/>
      <c r="AEH256" s="3"/>
      <c r="AEI256" s="3"/>
      <c r="AEJ256" s="3"/>
      <c r="AEK256" s="3"/>
      <c r="AEL256" s="3"/>
      <c r="AEM256" s="3"/>
      <c r="AEN256" s="3"/>
      <c r="AEO256" s="3"/>
      <c r="AEP256" s="3"/>
      <c r="AEQ256" s="3"/>
      <c r="AER256" s="3"/>
      <c r="AES256" s="3"/>
      <c r="AET256" s="3"/>
      <c r="AEU256" s="3"/>
      <c r="AEV256" s="3"/>
      <c r="AEW256" s="3"/>
      <c r="AEX256" s="3"/>
      <c r="AEY256" s="3"/>
      <c r="AEZ256" s="3"/>
      <c r="AFA256" s="3"/>
      <c r="AFB256" s="3"/>
      <c r="AFC256" s="3"/>
      <c r="AFD256" s="3"/>
      <c r="AFE256" s="3"/>
      <c r="AFF256" s="3"/>
      <c r="AFG256" s="3"/>
      <c r="AFH256" s="3"/>
      <c r="AFI256" s="3"/>
      <c r="AFJ256" s="3"/>
      <c r="AFK256" s="3"/>
      <c r="AFL256" s="3"/>
      <c r="AFM256" s="3"/>
      <c r="AFN256" s="3"/>
      <c r="AFO256" s="3"/>
      <c r="AFP256" s="3"/>
      <c r="AFQ256" s="3"/>
      <c r="AFR256" s="3"/>
      <c r="AFS256" s="3"/>
      <c r="AFT256" s="3"/>
      <c r="AFU256" s="3"/>
      <c r="AFV256" s="3"/>
      <c r="AFW256" s="3"/>
      <c r="AFX256" s="3"/>
      <c r="AFY256" s="3"/>
      <c r="AFZ256" s="3"/>
      <c r="AGA256" s="3"/>
      <c r="AGB256" s="3"/>
      <c r="AGC256" s="3"/>
      <c r="AGD256" s="3"/>
      <c r="AGE256" s="3"/>
      <c r="AGF256" s="3"/>
      <c r="AGG256" s="3"/>
      <c r="AGH256" s="3"/>
      <c r="AGI256" s="3"/>
      <c r="AGJ256" s="3"/>
      <c r="AGK256" s="3"/>
      <c r="AGL256" s="3"/>
      <c r="AGM256" s="3"/>
      <c r="AGN256" s="3"/>
      <c r="AGO256" s="3"/>
      <c r="AGP256" s="3"/>
      <c r="AGQ256" s="3"/>
      <c r="AGR256" s="3"/>
      <c r="AGS256" s="3"/>
      <c r="AGT256" s="3"/>
      <c r="AGU256" s="3"/>
      <c r="AGV256" s="3"/>
      <c r="AGW256" s="3"/>
      <c r="AGX256" s="3"/>
      <c r="AGY256" s="3"/>
      <c r="AGZ256" s="3"/>
      <c r="AHA256" s="3"/>
      <c r="AHB256" s="3"/>
      <c r="AHC256" s="3"/>
      <c r="AHD256" s="3"/>
      <c r="AHE256" s="3"/>
      <c r="AHF256" s="3"/>
      <c r="AHG256" s="3"/>
      <c r="AHH256" s="3"/>
      <c r="AHI256" s="3"/>
      <c r="AHJ256" s="3"/>
      <c r="AHK256" s="3"/>
      <c r="AHL256" s="3"/>
      <c r="AHM256" s="3"/>
      <c r="AHN256" s="3"/>
      <c r="AHO256" s="3"/>
      <c r="AHP256" s="3"/>
      <c r="AHQ256" s="3"/>
      <c r="AHR256" s="3"/>
      <c r="AHS256" s="3"/>
      <c r="AHT256" s="3"/>
      <c r="AHU256" s="3"/>
      <c r="AHV256" s="3"/>
      <c r="AHW256" s="3"/>
      <c r="AHX256" s="3"/>
      <c r="AHY256" s="3"/>
      <c r="AHZ256" s="3"/>
      <c r="AIA256" s="3"/>
      <c r="AIB256" s="3"/>
      <c r="AIC256" s="3"/>
      <c r="AID256" s="3"/>
      <c r="AIE256" s="3"/>
      <c r="AIF256" s="3"/>
      <c r="AIG256" s="3"/>
      <c r="AIH256" s="3"/>
      <c r="AII256" s="3"/>
      <c r="AIJ256" s="3"/>
      <c r="AIK256" s="3"/>
      <c r="AIL256" s="3"/>
      <c r="AIM256" s="3"/>
      <c r="AIN256" s="3"/>
      <c r="AIO256" s="3"/>
      <c r="AIP256" s="3"/>
      <c r="AIQ256" s="3"/>
      <c r="AIR256" s="3"/>
      <c r="AIS256" s="3"/>
      <c r="AIT256" s="3"/>
      <c r="AIU256" s="3"/>
      <c r="AIV256" s="3"/>
      <c r="AIW256" s="3"/>
      <c r="AIX256" s="3"/>
      <c r="AIY256" s="3"/>
      <c r="AIZ256" s="3"/>
      <c r="AJA256" s="3"/>
      <c r="AJB256" s="3"/>
      <c r="AJC256" s="3"/>
      <c r="AJD256" s="3"/>
      <c r="AJE256" s="3"/>
      <c r="AJF256" s="3"/>
      <c r="AJG256" s="3"/>
      <c r="AJH256" s="3"/>
      <c r="AJI256" s="3"/>
      <c r="AJJ256" s="3"/>
      <c r="AJK256" s="3"/>
      <c r="AJL256" s="3"/>
      <c r="AJM256" s="3"/>
      <c r="AJN256" s="3"/>
      <c r="AJO256" s="3"/>
      <c r="AJP256" s="3"/>
      <c r="AJQ256" s="3"/>
      <c r="AJR256" s="3"/>
      <c r="AJS256" s="3"/>
      <c r="AJT256" s="3"/>
      <c r="AJU256" s="3"/>
      <c r="AJV256" s="3"/>
      <c r="AJW256" s="3"/>
      <c r="AJX256" s="3"/>
      <c r="AJY256" s="3"/>
      <c r="AJZ256" s="3"/>
      <c r="AKA256" s="3"/>
      <c r="AKB256" s="3"/>
      <c r="AKC256" s="3"/>
      <c r="AKD256" s="3"/>
      <c r="AKE256" s="3"/>
      <c r="AKF256" s="3"/>
      <c r="AKG256" s="3"/>
      <c r="AKH256" s="3"/>
      <c r="AKI256" s="3"/>
      <c r="AKJ256" s="3"/>
      <c r="AKK256" s="3"/>
      <c r="AKL256" s="3"/>
      <c r="AKM256" s="3"/>
      <c r="AKN256" s="3"/>
      <c r="AKO256" s="3"/>
      <c r="AKP256" s="3"/>
      <c r="AKQ256" s="3"/>
      <c r="AKR256" s="3"/>
      <c r="AKS256" s="3"/>
      <c r="AKT256" s="3"/>
      <c r="AKU256" s="3"/>
      <c r="AKV256" s="3"/>
      <c r="AKW256" s="3"/>
      <c r="AKX256" s="3"/>
      <c r="AKY256" s="3"/>
      <c r="AKZ256" s="3"/>
      <c r="ALA256" s="3"/>
      <c r="ALB256" s="3"/>
      <c r="ALC256" s="3"/>
      <c r="ALD256" s="3"/>
      <c r="ALE256" s="3"/>
      <c r="ALF256" s="3"/>
      <c r="ALG256" s="3"/>
      <c r="ALH256" s="3"/>
      <c r="ALI256" s="3"/>
      <c r="ALJ256" s="3"/>
      <c r="ALK256" s="3"/>
      <c r="ALL256" s="3"/>
      <c r="ALM256" s="3"/>
      <c r="ALN256" s="3"/>
      <c r="ALO256" s="3"/>
      <c r="ALP256" s="3"/>
      <c r="ALQ256" s="3"/>
      <c r="ALR256" s="3"/>
      <c r="ALS256" s="3"/>
      <c r="ALT256" s="3"/>
      <c r="ALU256" s="3"/>
      <c r="ALV256" s="3"/>
      <c r="ALW256" s="3"/>
      <c r="ALX256" s="3"/>
      <c r="ALY256" s="3"/>
      <c r="ALZ256" s="3"/>
      <c r="AMA256" s="3"/>
      <c r="AMB256" s="3"/>
      <c r="AMC256" s="3"/>
      <c r="AMD256" s="3"/>
      <c r="AME256" s="3"/>
      <c r="AMF256" s="3"/>
      <c r="AMG256" s="3"/>
      <c r="AMH256" s="3"/>
      <c r="AMI256" s="3"/>
      <c r="AMJ256" s="3"/>
      <c r="AMK256" s="3"/>
      <c r="AML256" s="3"/>
      <c r="AMM256" s="3"/>
    </row>
    <row r="257" spans="1:1027" ht="15" customHeight="1">
      <c r="A257" s="12">
        <v>898</v>
      </c>
      <c r="B257" s="13" t="s">
        <v>460</v>
      </c>
      <c r="C257" s="14"/>
      <c r="D257" s="14" t="s">
        <v>459</v>
      </c>
      <c r="E257" s="14" t="s">
        <v>115</v>
      </c>
      <c r="F257" s="15" t="s">
        <v>22</v>
      </c>
      <c r="G257" s="21"/>
      <c r="H257" s="58">
        <v>1</v>
      </c>
      <c r="I257" s="14"/>
      <c r="J257" s="14" t="s">
        <v>23</v>
      </c>
      <c r="K257" s="14"/>
      <c r="L257" s="14"/>
      <c r="M257" s="14" t="s">
        <v>29</v>
      </c>
      <c r="N257" s="25" t="s">
        <v>37</v>
      </c>
      <c r="O257" s="14" t="s">
        <v>89</v>
      </c>
      <c r="P257" s="14"/>
      <c r="Q257" s="14"/>
      <c r="R257" s="14" t="s">
        <v>158</v>
      </c>
    </row>
    <row r="258" spans="1:1027" ht="15" customHeight="1">
      <c r="A258" s="12">
        <v>1687</v>
      </c>
      <c r="B258" s="13" t="s">
        <v>461</v>
      </c>
      <c r="C258" s="14"/>
      <c r="D258" s="14" t="s">
        <v>459</v>
      </c>
      <c r="E258" s="14" t="s">
        <v>115</v>
      </c>
      <c r="F258" s="15" t="s">
        <v>22</v>
      </c>
      <c r="G258" s="14"/>
      <c r="H258" s="58">
        <v>3</v>
      </c>
      <c r="I258" s="14"/>
      <c r="J258" s="14" t="s">
        <v>23</v>
      </c>
      <c r="K258" s="14"/>
      <c r="L258" s="14"/>
      <c r="M258" s="14" t="s">
        <v>32</v>
      </c>
      <c r="N258" s="25" t="s">
        <v>37</v>
      </c>
      <c r="O258" s="14" t="s">
        <v>462</v>
      </c>
      <c r="P258" s="18"/>
      <c r="Q258" s="14"/>
      <c r="R258" s="14" t="s">
        <v>308</v>
      </c>
    </row>
    <row r="259" spans="1:1027" ht="15" customHeight="1">
      <c r="A259" s="12">
        <v>122</v>
      </c>
      <c r="B259" s="13" t="s">
        <v>463</v>
      </c>
      <c r="C259" s="14"/>
      <c r="D259" s="14" t="s">
        <v>464</v>
      </c>
      <c r="E259" s="14" t="s">
        <v>36</v>
      </c>
      <c r="F259" s="15" t="s">
        <v>22</v>
      </c>
      <c r="G259" s="14"/>
      <c r="H259" s="58"/>
      <c r="I259" s="19"/>
      <c r="J259" s="14" t="s">
        <v>23</v>
      </c>
      <c r="K259" s="15"/>
      <c r="L259" s="15"/>
      <c r="M259" s="14" t="s">
        <v>27</v>
      </c>
      <c r="N259" s="25" t="s">
        <v>37</v>
      </c>
      <c r="O259" s="22" t="s">
        <v>138</v>
      </c>
      <c r="P259" s="22"/>
      <c r="Q259" s="22"/>
      <c r="R259" s="17">
        <v>43633</v>
      </c>
      <c r="S259" s="2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  <c r="XI259" s="3"/>
      <c r="XJ259" s="3"/>
      <c r="XK259" s="3"/>
      <c r="XL259" s="3"/>
      <c r="XM259" s="3"/>
      <c r="XN259" s="3"/>
      <c r="XO259" s="3"/>
      <c r="XP259" s="3"/>
      <c r="XQ259" s="3"/>
      <c r="XR259" s="3"/>
      <c r="XS259" s="3"/>
      <c r="XT259" s="3"/>
      <c r="XU259" s="3"/>
      <c r="XV259" s="3"/>
      <c r="XW259" s="3"/>
      <c r="XX259" s="3"/>
      <c r="XY259" s="3"/>
      <c r="XZ259" s="3"/>
      <c r="YA259" s="3"/>
      <c r="YB259" s="3"/>
      <c r="YC259" s="3"/>
      <c r="YD259" s="3"/>
      <c r="YE259" s="3"/>
      <c r="YF259" s="3"/>
      <c r="YG259" s="3"/>
      <c r="YH259" s="3"/>
      <c r="YI259" s="3"/>
      <c r="YJ259" s="3"/>
      <c r="YK259" s="3"/>
      <c r="YL259" s="3"/>
      <c r="YM259" s="3"/>
      <c r="YN259" s="3"/>
      <c r="YO259" s="3"/>
      <c r="YP259" s="3"/>
      <c r="YQ259" s="3"/>
      <c r="YR259" s="3"/>
      <c r="YS259" s="3"/>
      <c r="YT259" s="3"/>
      <c r="YU259" s="3"/>
      <c r="YV259" s="3"/>
      <c r="YW259" s="3"/>
      <c r="YX259" s="3"/>
      <c r="YY259" s="3"/>
      <c r="YZ259" s="3"/>
      <c r="ZA259" s="3"/>
      <c r="ZB259" s="3"/>
      <c r="ZC259" s="3"/>
      <c r="ZD259" s="3"/>
      <c r="ZE259" s="3"/>
      <c r="ZF259" s="3"/>
      <c r="ZG259" s="3"/>
      <c r="ZH259" s="3"/>
      <c r="ZI259" s="3"/>
      <c r="ZJ259" s="3"/>
      <c r="ZK259" s="3"/>
      <c r="ZL259" s="3"/>
      <c r="ZM259" s="3"/>
      <c r="ZN259" s="3"/>
      <c r="ZO259" s="3"/>
      <c r="ZP259" s="3"/>
      <c r="ZQ259" s="3"/>
      <c r="ZR259" s="3"/>
      <c r="ZS259" s="3"/>
      <c r="ZT259" s="3"/>
      <c r="ZU259" s="3"/>
      <c r="ZV259" s="3"/>
      <c r="ZW259" s="3"/>
      <c r="ZX259" s="3"/>
      <c r="ZY259" s="3"/>
      <c r="ZZ259" s="3"/>
      <c r="AAA259" s="3"/>
      <c r="AAB259" s="3"/>
      <c r="AAC259" s="3"/>
      <c r="AAD259" s="3"/>
      <c r="AAE259" s="3"/>
      <c r="AAF259" s="3"/>
      <c r="AAG259" s="3"/>
      <c r="AAH259" s="3"/>
      <c r="AAI259" s="3"/>
      <c r="AAJ259" s="3"/>
      <c r="AAK259" s="3"/>
      <c r="AAL259" s="3"/>
      <c r="AAM259" s="3"/>
      <c r="AAN259" s="3"/>
      <c r="AAO259" s="3"/>
      <c r="AAP259" s="3"/>
      <c r="AAQ259" s="3"/>
      <c r="AAR259" s="3"/>
      <c r="AAS259" s="3"/>
      <c r="AAT259" s="3"/>
      <c r="AAU259" s="3"/>
      <c r="AAV259" s="3"/>
      <c r="AAW259" s="3"/>
      <c r="AAX259" s="3"/>
      <c r="AAY259" s="3"/>
      <c r="AAZ259" s="3"/>
      <c r="ABA259" s="3"/>
      <c r="ABB259" s="3"/>
      <c r="ABC259" s="3"/>
      <c r="ABD259" s="3"/>
      <c r="ABE259" s="3"/>
      <c r="ABF259" s="3"/>
      <c r="ABG259" s="3"/>
      <c r="ABH259" s="3"/>
      <c r="ABI259" s="3"/>
      <c r="ABJ259" s="3"/>
      <c r="ABK259" s="3"/>
      <c r="ABL259" s="3"/>
      <c r="ABM259" s="3"/>
      <c r="ABN259" s="3"/>
      <c r="ABO259" s="3"/>
      <c r="ABP259" s="3"/>
      <c r="ABQ259" s="3"/>
      <c r="ABR259" s="3"/>
      <c r="ABS259" s="3"/>
      <c r="ABT259" s="3"/>
      <c r="ABU259" s="3"/>
      <c r="ABV259" s="3"/>
      <c r="ABW259" s="3"/>
      <c r="ABX259" s="3"/>
      <c r="ABY259" s="3"/>
      <c r="ABZ259" s="3"/>
      <c r="ACA259" s="3"/>
      <c r="ACB259" s="3"/>
      <c r="ACC259" s="3"/>
      <c r="ACD259" s="3"/>
      <c r="ACE259" s="3"/>
      <c r="ACF259" s="3"/>
      <c r="ACG259" s="3"/>
      <c r="ACH259" s="3"/>
      <c r="ACI259" s="3"/>
      <c r="ACJ259" s="3"/>
      <c r="ACK259" s="3"/>
      <c r="ACL259" s="3"/>
      <c r="ACM259" s="3"/>
      <c r="ACN259" s="3"/>
      <c r="ACO259" s="3"/>
      <c r="ACP259" s="3"/>
      <c r="ACQ259" s="3"/>
      <c r="ACR259" s="3"/>
      <c r="ACS259" s="3"/>
      <c r="ACT259" s="3"/>
      <c r="ACU259" s="3"/>
      <c r="ACV259" s="3"/>
      <c r="ACW259" s="3"/>
      <c r="ACX259" s="3"/>
      <c r="ACY259" s="3"/>
      <c r="ACZ259" s="3"/>
      <c r="ADA259" s="3"/>
      <c r="ADB259" s="3"/>
      <c r="ADC259" s="3"/>
      <c r="ADD259" s="3"/>
      <c r="ADE259" s="3"/>
      <c r="ADF259" s="3"/>
      <c r="ADG259" s="3"/>
      <c r="ADH259" s="3"/>
      <c r="ADI259" s="3"/>
      <c r="ADJ259" s="3"/>
      <c r="ADK259" s="3"/>
      <c r="ADL259" s="3"/>
      <c r="ADM259" s="3"/>
      <c r="ADN259" s="3"/>
      <c r="ADO259" s="3"/>
      <c r="ADP259" s="3"/>
      <c r="ADQ259" s="3"/>
      <c r="ADR259" s="3"/>
      <c r="ADS259" s="3"/>
      <c r="ADT259" s="3"/>
      <c r="ADU259" s="3"/>
      <c r="ADV259" s="3"/>
      <c r="ADW259" s="3"/>
      <c r="ADX259" s="3"/>
      <c r="ADY259" s="3"/>
      <c r="ADZ259" s="3"/>
      <c r="AEA259" s="3"/>
      <c r="AEB259" s="3"/>
      <c r="AEC259" s="3"/>
      <c r="AED259" s="3"/>
      <c r="AEE259" s="3"/>
      <c r="AEF259" s="3"/>
      <c r="AEG259" s="3"/>
      <c r="AEH259" s="3"/>
      <c r="AEI259" s="3"/>
      <c r="AEJ259" s="3"/>
      <c r="AEK259" s="3"/>
      <c r="AEL259" s="3"/>
      <c r="AEM259" s="3"/>
      <c r="AEN259" s="3"/>
      <c r="AEO259" s="3"/>
      <c r="AEP259" s="3"/>
      <c r="AEQ259" s="3"/>
      <c r="AER259" s="3"/>
      <c r="AES259" s="3"/>
      <c r="AET259" s="3"/>
      <c r="AEU259" s="3"/>
      <c r="AEV259" s="3"/>
      <c r="AEW259" s="3"/>
      <c r="AEX259" s="3"/>
      <c r="AEY259" s="3"/>
      <c r="AEZ259" s="3"/>
      <c r="AFA259" s="3"/>
      <c r="AFB259" s="3"/>
      <c r="AFC259" s="3"/>
      <c r="AFD259" s="3"/>
      <c r="AFE259" s="3"/>
      <c r="AFF259" s="3"/>
      <c r="AFG259" s="3"/>
      <c r="AFH259" s="3"/>
      <c r="AFI259" s="3"/>
      <c r="AFJ259" s="3"/>
      <c r="AFK259" s="3"/>
      <c r="AFL259" s="3"/>
      <c r="AFM259" s="3"/>
      <c r="AFN259" s="3"/>
      <c r="AFO259" s="3"/>
      <c r="AFP259" s="3"/>
      <c r="AFQ259" s="3"/>
      <c r="AFR259" s="3"/>
      <c r="AFS259" s="3"/>
      <c r="AFT259" s="3"/>
      <c r="AFU259" s="3"/>
      <c r="AFV259" s="3"/>
      <c r="AFW259" s="3"/>
      <c r="AFX259" s="3"/>
      <c r="AFY259" s="3"/>
      <c r="AFZ259" s="3"/>
      <c r="AGA259" s="3"/>
      <c r="AGB259" s="3"/>
      <c r="AGC259" s="3"/>
      <c r="AGD259" s="3"/>
      <c r="AGE259" s="3"/>
      <c r="AGF259" s="3"/>
      <c r="AGG259" s="3"/>
      <c r="AGH259" s="3"/>
      <c r="AGI259" s="3"/>
      <c r="AGJ259" s="3"/>
      <c r="AGK259" s="3"/>
      <c r="AGL259" s="3"/>
      <c r="AGM259" s="3"/>
      <c r="AGN259" s="3"/>
      <c r="AGO259" s="3"/>
      <c r="AGP259" s="3"/>
      <c r="AGQ259" s="3"/>
      <c r="AGR259" s="3"/>
      <c r="AGS259" s="3"/>
      <c r="AGT259" s="3"/>
      <c r="AGU259" s="3"/>
      <c r="AGV259" s="3"/>
      <c r="AGW259" s="3"/>
      <c r="AGX259" s="3"/>
      <c r="AGY259" s="3"/>
      <c r="AGZ259" s="3"/>
      <c r="AHA259" s="3"/>
      <c r="AHB259" s="3"/>
      <c r="AHC259" s="3"/>
      <c r="AHD259" s="3"/>
      <c r="AHE259" s="3"/>
      <c r="AHF259" s="3"/>
      <c r="AHG259" s="3"/>
      <c r="AHH259" s="3"/>
      <c r="AHI259" s="3"/>
      <c r="AHJ259" s="3"/>
      <c r="AHK259" s="3"/>
      <c r="AHL259" s="3"/>
      <c r="AHM259" s="3"/>
      <c r="AHN259" s="3"/>
      <c r="AHO259" s="3"/>
      <c r="AHP259" s="3"/>
      <c r="AHQ259" s="3"/>
      <c r="AHR259" s="3"/>
      <c r="AHS259" s="3"/>
      <c r="AHT259" s="3"/>
      <c r="AHU259" s="3"/>
      <c r="AHV259" s="3"/>
      <c r="AHW259" s="3"/>
      <c r="AHX259" s="3"/>
      <c r="AHY259" s="3"/>
      <c r="AHZ259" s="3"/>
      <c r="AIA259" s="3"/>
      <c r="AIB259" s="3"/>
      <c r="AIC259" s="3"/>
      <c r="AID259" s="3"/>
      <c r="AIE259" s="3"/>
      <c r="AIF259" s="3"/>
      <c r="AIG259" s="3"/>
      <c r="AIH259" s="3"/>
      <c r="AII259" s="3"/>
      <c r="AIJ259" s="3"/>
      <c r="AIK259" s="3"/>
      <c r="AIL259" s="3"/>
      <c r="AIM259" s="3"/>
      <c r="AIN259" s="3"/>
      <c r="AIO259" s="3"/>
      <c r="AIP259" s="3"/>
      <c r="AIQ259" s="3"/>
      <c r="AIR259" s="3"/>
      <c r="AIS259" s="3"/>
      <c r="AIT259" s="3"/>
      <c r="AIU259" s="3"/>
      <c r="AIV259" s="3"/>
      <c r="AIW259" s="3"/>
      <c r="AIX259" s="3"/>
      <c r="AIY259" s="3"/>
      <c r="AIZ259" s="3"/>
      <c r="AJA259" s="3"/>
      <c r="AJB259" s="3"/>
      <c r="AJC259" s="3"/>
      <c r="AJD259" s="3"/>
      <c r="AJE259" s="3"/>
      <c r="AJF259" s="3"/>
      <c r="AJG259" s="3"/>
      <c r="AJH259" s="3"/>
      <c r="AJI259" s="3"/>
      <c r="AJJ259" s="3"/>
      <c r="AJK259" s="3"/>
      <c r="AJL259" s="3"/>
      <c r="AJM259" s="3"/>
      <c r="AJN259" s="3"/>
      <c r="AJO259" s="3"/>
      <c r="AJP259" s="3"/>
      <c r="AJQ259" s="3"/>
      <c r="AJR259" s="3"/>
      <c r="AJS259" s="3"/>
      <c r="AJT259" s="3"/>
      <c r="AJU259" s="3"/>
      <c r="AJV259" s="3"/>
      <c r="AJW259" s="3"/>
      <c r="AJX259" s="3"/>
      <c r="AJY259" s="3"/>
      <c r="AJZ259" s="3"/>
      <c r="AKA259" s="3"/>
      <c r="AKB259" s="3"/>
      <c r="AKC259" s="3"/>
      <c r="AKD259" s="3"/>
      <c r="AKE259" s="3"/>
      <c r="AKF259" s="3"/>
      <c r="AKG259" s="3"/>
      <c r="AKH259" s="3"/>
      <c r="AKI259" s="3"/>
      <c r="AKJ259" s="3"/>
      <c r="AKK259" s="3"/>
      <c r="AKL259" s="3"/>
      <c r="AKM259" s="3"/>
      <c r="AKN259" s="3"/>
      <c r="AKO259" s="3"/>
      <c r="AKP259" s="3"/>
      <c r="AKQ259" s="3"/>
      <c r="AKR259" s="3"/>
      <c r="AKS259" s="3"/>
      <c r="AKT259" s="3"/>
      <c r="AKU259" s="3"/>
      <c r="AKV259" s="3"/>
      <c r="AKW259" s="3"/>
      <c r="AKX259" s="3"/>
      <c r="AKY259" s="3"/>
      <c r="AKZ259" s="3"/>
      <c r="ALA259" s="3"/>
      <c r="ALB259" s="3"/>
      <c r="ALC259" s="3"/>
      <c r="ALD259" s="3"/>
      <c r="ALE259" s="3"/>
      <c r="ALF259" s="3"/>
      <c r="ALG259" s="3"/>
      <c r="ALH259" s="3"/>
      <c r="ALI259" s="3"/>
      <c r="ALJ259" s="3"/>
      <c r="ALK259" s="3"/>
      <c r="ALL259" s="3"/>
      <c r="ALM259" s="3"/>
      <c r="ALN259" s="3"/>
      <c r="ALO259" s="3"/>
      <c r="ALP259" s="3"/>
      <c r="ALQ259" s="3"/>
      <c r="ALR259" s="3"/>
      <c r="ALS259" s="3"/>
      <c r="ALT259" s="3"/>
      <c r="ALU259" s="3"/>
      <c r="ALV259" s="3"/>
      <c r="ALW259" s="3"/>
      <c r="ALX259" s="3"/>
      <c r="ALY259" s="3"/>
      <c r="ALZ259" s="3"/>
      <c r="AMA259" s="3"/>
      <c r="AMB259" s="3"/>
      <c r="AMC259" s="3"/>
      <c r="AMD259" s="3"/>
      <c r="AME259" s="3"/>
      <c r="AMF259" s="3"/>
      <c r="AMG259" s="3"/>
      <c r="AMH259" s="3"/>
      <c r="AMI259" s="3"/>
      <c r="AMJ259" s="3"/>
      <c r="AMK259" s="3"/>
      <c r="AML259" s="3"/>
      <c r="AMM259" s="3"/>
    </row>
    <row r="260" spans="1:1027" ht="15" customHeight="1">
      <c r="A260" s="12">
        <v>899</v>
      </c>
      <c r="B260" s="13" t="s">
        <v>465</v>
      </c>
      <c r="C260" s="14"/>
      <c r="D260" s="14" t="s">
        <v>464</v>
      </c>
      <c r="E260" s="14" t="s">
        <v>36</v>
      </c>
      <c r="F260" s="15" t="s">
        <v>22</v>
      </c>
      <c r="G260" s="21"/>
      <c r="H260" s="58">
        <v>2</v>
      </c>
      <c r="I260" s="14"/>
      <c r="J260" s="14" t="s">
        <v>23</v>
      </c>
      <c r="K260" s="14"/>
      <c r="L260" s="14"/>
      <c r="M260" s="14" t="s">
        <v>29</v>
      </c>
      <c r="N260" s="25" t="s">
        <v>37</v>
      </c>
      <c r="O260" s="14" t="s">
        <v>466</v>
      </c>
      <c r="P260" s="14"/>
      <c r="Q260" s="14"/>
      <c r="R260" s="14" t="s">
        <v>158</v>
      </c>
    </row>
    <row r="261" spans="1:1027" ht="15" customHeight="1">
      <c r="A261" s="12">
        <v>1688</v>
      </c>
      <c r="B261" s="13" t="s">
        <v>467</v>
      </c>
      <c r="C261" s="14"/>
      <c r="D261" s="14" t="s">
        <v>464</v>
      </c>
      <c r="E261" s="14" t="s">
        <v>36</v>
      </c>
      <c r="F261" s="15" t="s">
        <v>22</v>
      </c>
      <c r="G261" s="14"/>
      <c r="H261" s="58">
        <v>3</v>
      </c>
      <c r="I261" s="14"/>
      <c r="J261" s="14" t="s">
        <v>23</v>
      </c>
      <c r="K261" s="14"/>
      <c r="L261" s="14"/>
      <c r="M261" s="14" t="s">
        <v>32</v>
      </c>
      <c r="N261" s="14" t="s">
        <v>25</v>
      </c>
      <c r="O261" s="14"/>
      <c r="P261" s="18"/>
      <c r="Q261" s="14"/>
      <c r="R261" s="14" t="s">
        <v>308</v>
      </c>
    </row>
    <row r="262" spans="1:1027" ht="15" customHeight="1">
      <c r="A262" s="12">
        <v>35</v>
      </c>
      <c r="B262" s="13" t="s">
        <v>468</v>
      </c>
      <c r="C262" s="14"/>
      <c r="D262" s="14" t="s">
        <v>469</v>
      </c>
      <c r="E262" s="14" t="s">
        <v>92</v>
      </c>
      <c r="F262" s="15" t="s">
        <v>22</v>
      </c>
      <c r="G262" s="14"/>
      <c r="H262" s="58"/>
      <c r="I262" s="14"/>
      <c r="J262" s="14" t="s">
        <v>23</v>
      </c>
      <c r="K262" s="15"/>
      <c r="L262" s="15"/>
      <c r="M262" s="14" t="s">
        <v>24</v>
      </c>
      <c r="N262" s="14" t="s">
        <v>25</v>
      </c>
      <c r="O262" s="14"/>
      <c r="P262" s="14"/>
      <c r="Q262" s="14"/>
      <c r="R262" s="17">
        <v>43599</v>
      </c>
      <c r="S262" s="1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  <c r="XX262" s="3"/>
      <c r="XY262" s="3"/>
      <c r="XZ262" s="3"/>
      <c r="YA262" s="3"/>
      <c r="YB262" s="3"/>
      <c r="YC262" s="3"/>
      <c r="YD262" s="3"/>
      <c r="YE262" s="3"/>
      <c r="YF262" s="3"/>
      <c r="YG262" s="3"/>
      <c r="YH262" s="3"/>
      <c r="YI262" s="3"/>
      <c r="YJ262" s="3"/>
      <c r="YK262" s="3"/>
      <c r="YL262" s="3"/>
      <c r="YM262" s="3"/>
      <c r="YN262" s="3"/>
      <c r="YO262" s="3"/>
      <c r="YP262" s="3"/>
      <c r="YQ262" s="3"/>
      <c r="YR262" s="3"/>
      <c r="YS262" s="3"/>
      <c r="YT262" s="3"/>
      <c r="YU262" s="3"/>
      <c r="YV262" s="3"/>
      <c r="YW262" s="3"/>
      <c r="YX262" s="3"/>
      <c r="YY262" s="3"/>
      <c r="YZ262" s="3"/>
      <c r="ZA262" s="3"/>
      <c r="ZB262" s="3"/>
      <c r="ZC262" s="3"/>
      <c r="ZD262" s="3"/>
      <c r="ZE262" s="3"/>
      <c r="ZF262" s="3"/>
      <c r="ZG262" s="3"/>
      <c r="ZH262" s="3"/>
      <c r="ZI262" s="3"/>
      <c r="ZJ262" s="3"/>
      <c r="ZK262" s="3"/>
      <c r="ZL262" s="3"/>
      <c r="ZM262" s="3"/>
      <c r="ZN262" s="3"/>
      <c r="ZO262" s="3"/>
      <c r="ZP262" s="3"/>
      <c r="ZQ262" s="3"/>
      <c r="ZR262" s="3"/>
      <c r="ZS262" s="3"/>
      <c r="ZT262" s="3"/>
      <c r="ZU262" s="3"/>
      <c r="ZV262" s="3"/>
      <c r="ZW262" s="3"/>
      <c r="ZX262" s="3"/>
      <c r="ZY262" s="3"/>
      <c r="ZZ262" s="3"/>
      <c r="AAA262" s="3"/>
      <c r="AAB262" s="3"/>
      <c r="AAC262" s="3"/>
      <c r="AAD262" s="3"/>
      <c r="AAE262" s="3"/>
      <c r="AAF262" s="3"/>
      <c r="AAG262" s="3"/>
      <c r="AAH262" s="3"/>
      <c r="AAI262" s="3"/>
      <c r="AAJ262" s="3"/>
      <c r="AAK262" s="3"/>
      <c r="AAL262" s="3"/>
      <c r="AAM262" s="3"/>
      <c r="AAN262" s="3"/>
      <c r="AAO262" s="3"/>
      <c r="AAP262" s="3"/>
      <c r="AAQ262" s="3"/>
      <c r="AAR262" s="3"/>
      <c r="AAS262" s="3"/>
      <c r="AAT262" s="3"/>
      <c r="AAU262" s="3"/>
      <c r="AAV262" s="3"/>
      <c r="AAW262" s="3"/>
      <c r="AAX262" s="3"/>
      <c r="AAY262" s="3"/>
      <c r="AAZ262" s="3"/>
      <c r="ABA262" s="3"/>
      <c r="ABB262" s="3"/>
      <c r="ABC262" s="3"/>
      <c r="ABD262" s="3"/>
      <c r="ABE262" s="3"/>
      <c r="ABF262" s="3"/>
      <c r="ABG262" s="3"/>
      <c r="ABH262" s="3"/>
      <c r="ABI262" s="3"/>
      <c r="ABJ262" s="3"/>
      <c r="ABK262" s="3"/>
      <c r="ABL262" s="3"/>
      <c r="ABM262" s="3"/>
      <c r="ABN262" s="3"/>
      <c r="ABO262" s="3"/>
      <c r="ABP262" s="3"/>
      <c r="ABQ262" s="3"/>
      <c r="ABR262" s="3"/>
      <c r="ABS262" s="3"/>
      <c r="ABT262" s="3"/>
      <c r="ABU262" s="3"/>
      <c r="ABV262" s="3"/>
      <c r="ABW262" s="3"/>
      <c r="ABX262" s="3"/>
      <c r="ABY262" s="3"/>
      <c r="ABZ262" s="3"/>
      <c r="ACA262" s="3"/>
      <c r="ACB262" s="3"/>
      <c r="ACC262" s="3"/>
      <c r="ACD262" s="3"/>
      <c r="ACE262" s="3"/>
      <c r="ACF262" s="3"/>
      <c r="ACG262" s="3"/>
      <c r="ACH262" s="3"/>
      <c r="ACI262" s="3"/>
      <c r="ACJ262" s="3"/>
      <c r="ACK262" s="3"/>
      <c r="ACL262" s="3"/>
      <c r="ACM262" s="3"/>
      <c r="ACN262" s="3"/>
      <c r="ACO262" s="3"/>
      <c r="ACP262" s="3"/>
      <c r="ACQ262" s="3"/>
      <c r="ACR262" s="3"/>
      <c r="ACS262" s="3"/>
      <c r="ACT262" s="3"/>
      <c r="ACU262" s="3"/>
      <c r="ACV262" s="3"/>
      <c r="ACW262" s="3"/>
      <c r="ACX262" s="3"/>
      <c r="ACY262" s="3"/>
      <c r="ACZ262" s="3"/>
      <c r="ADA262" s="3"/>
      <c r="ADB262" s="3"/>
      <c r="ADC262" s="3"/>
      <c r="ADD262" s="3"/>
      <c r="ADE262" s="3"/>
      <c r="ADF262" s="3"/>
      <c r="ADG262" s="3"/>
      <c r="ADH262" s="3"/>
      <c r="ADI262" s="3"/>
      <c r="ADJ262" s="3"/>
      <c r="ADK262" s="3"/>
      <c r="ADL262" s="3"/>
      <c r="ADM262" s="3"/>
      <c r="ADN262" s="3"/>
      <c r="ADO262" s="3"/>
      <c r="ADP262" s="3"/>
      <c r="ADQ262" s="3"/>
      <c r="ADR262" s="3"/>
      <c r="ADS262" s="3"/>
      <c r="ADT262" s="3"/>
      <c r="ADU262" s="3"/>
      <c r="ADV262" s="3"/>
      <c r="ADW262" s="3"/>
      <c r="ADX262" s="3"/>
      <c r="ADY262" s="3"/>
      <c r="ADZ262" s="3"/>
      <c r="AEA262" s="3"/>
      <c r="AEB262" s="3"/>
      <c r="AEC262" s="3"/>
      <c r="AED262" s="3"/>
      <c r="AEE262" s="3"/>
      <c r="AEF262" s="3"/>
      <c r="AEG262" s="3"/>
      <c r="AEH262" s="3"/>
      <c r="AEI262" s="3"/>
      <c r="AEJ262" s="3"/>
      <c r="AEK262" s="3"/>
      <c r="AEL262" s="3"/>
      <c r="AEM262" s="3"/>
      <c r="AEN262" s="3"/>
      <c r="AEO262" s="3"/>
      <c r="AEP262" s="3"/>
      <c r="AEQ262" s="3"/>
      <c r="AER262" s="3"/>
      <c r="AES262" s="3"/>
      <c r="AET262" s="3"/>
      <c r="AEU262" s="3"/>
      <c r="AEV262" s="3"/>
      <c r="AEW262" s="3"/>
      <c r="AEX262" s="3"/>
      <c r="AEY262" s="3"/>
      <c r="AEZ262" s="3"/>
      <c r="AFA262" s="3"/>
      <c r="AFB262" s="3"/>
      <c r="AFC262" s="3"/>
      <c r="AFD262" s="3"/>
      <c r="AFE262" s="3"/>
      <c r="AFF262" s="3"/>
      <c r="AFG262" s="3"/>
      <c r="AFH262" s="3"/>
      <c r="AFI262" s="3"/>
      <c r="AFJ262" s="3"/>
      <c r="AFK262" s="3"/>
      <c r="AFL262" s="3"/>
      <c r="AFM262" s="3"/>
      <c r="AFN262" s="3"/>
      <c r="AFO262" s="3"/>
      <c r="AFP262" s="3"/>
      <c r="AFQ262" s="3"/>
      <c r="AFR262" s="3"/>
      <c r="AFS262" s="3"/>
      <c r="AFT262" s="3"/>
      <c r="AFU262" s="3"/>
      <c r="AFV262" s="3"/>
      <c r="AFW262" s="3"/>
      <c r="AFX262" s="3"/>
      <c r="AFY262" s="3"/>
      <c r="AFZ262" s="3"/>
      <c r="AGA262" s="3"/>
      <c r="AGB262" s="3"/>
      <c r="AGC262" s="3"/>
      <c r="AGD262" s="3"/>
      <c r="AGE262" s="3"/>
      <c r="AGF262" s="3"/>
      <c r="AGG262" s="3"/>
      <c r="AGH262" s="3"/>
      <c r="AGI262" s="3"/>
      <c r="AGJ262" s="3"/>
      <c r="AGK262" s="3"/>
      <c r="AGL262" s="3"/>
      <c r="AGM262" s="3"/>
      <c r="AGN262" s="3"/>
      <c r="AGO262" s="3"/>
      <c r="AGP262" s="3"/>
      <c r="AGQ262" s="3"/>
      <c r="AGR262" s="3"/>
      <c r="AGS262" s="3"/>
      <c r="AGT262" s="3"/>
      <c r="AGU262" s="3"/>
      <c r="AGV262" s="3"/>
      <c r="AGW262" s="3"/>
      <c r="AGX262" s="3"/>
      <c r="AGY262" s="3"/>
      <c r="AGZ262" s="3"/>
      <c r="AHA262" s="3"/>
      <c r="AHB262" s="3"/>
      <c r="AHC262" s="3"/>
      <c r="AHD262" s="3"/>
      <c r="AHE262" s="3"/>
      <c r="AHF262" s="3"/>
      <c r="AHG262" s="3"/>
      <c r="AHH262" s="3"/>
      <c r="AHI262" s="3"/>
      <c r="AHJ262" s="3"/>
      <c r="AHK262" s="3"/>
      <c r="AHL262" s="3"/>
      <c r="AHM262" s="3"/>
      <c r="AHN262" s="3"/>
      <c r="AHO262" s="3"/>
      <c r="AHP262" s="3"/>
      <c r="AHQ262" s="3"/>
      <c r="AHR262" s="3"/>
      <c r="AHS262" s="3"/>
      <c r="AHT262" s="3"/>
      <c r="AHU262" s="3"/>
      <c r="AHV262" s="3"/>
      <c r="AHW262" s="3"/>
      <c r="AHX262" s="3"/>
      <c r="AHY262" s="3"/>
      <c r="AHZ262" s="3"/>
      <c r="AIA262" s="3"/>
      <c r="AIB262" s="3"/>
      <c r="AIC262" s="3"/>
      <c r="AID262" s="3"/>
      <c r="AIE262" s="3"/>
      <c r="AIF262" s="3"/>
      <c r="AIG262" s="3"/>
      <c r="AIH262" s="3"/>
      <c r="AII262" s="3"/>
      <c r="AIJ262" s="3"/>
      <c r="AIK262" s="3"/>
      <c r="AIL262" s="3"/>
      <c r="AIM262" s="3"/>
      <c r="AIN262" s="3"/>
      <c r="AIO262" s="3"/>
      <c r="AIP262" s="3"/>
      <c r="AIQ262" s="3"/>
      <c r="AIR262" s="3"/>
      <c r="AIS262" s="3"/>
      <c r="AIT262" s="3"/>
      <c r="AIU262" s="3"/>
      <c r="AIV262" s="3"/>
      <c r="AIW262" s="3"/>
      <c r="AIX262" s="3"/>
      <c r="AIY262" s="3"/>
      <c r="AIZ262" s="3"/>
      <c r="AJA262" s="3"/>
      <c r="AJB262" s="3"/>
      <c r="AJC262" s="3"/>
      <c r="AJD262" s="3"/>
      <c r="AJE262" s="3"/>
      <c r="AJF262" s="3"/>
      <c r="AJG262" s="3"/>
      <c r="AJH262" s="3"/>
      <c r="AJI262" s="3"/>
      <c r="AJJ262" s="3"/>
      <c r="AJK262" s="3"/>
      <c r="AJL262" s="3"/>
      <c r="AJM262" s="3"/>
      <c r="AJN262" s="3"/>
      <c r="AJO262" s="3"/>
      <c r="AJP262" s="3"/>
      <c r="AJQ262" s="3"/>
      <c r="AJR262" s="3"/>
      <c r="AJS262" s="3"/>
      <c r="AJT262" s="3"/>
      <c r="AJU262" s="3"/>
      <c r="AJV262" s="3"/>
      <c r="AJW262" s="3"/>
      <c r="AJX262" s="3"/>
      <c r="AJY262" s="3"/>
      <c r="AJZ262" s="3"/>
      <c r="AKA262" s="3"/>
      <c r="AKB262" s="3"/>
      <c r="AKC262" s="3"/>
      <c r="AKD262" s="3"/>
      <c r="AKE262" s="3"/>
      <c r="AKF262" s="3"/>
      <c r="AKG262" s="3"/>
      <c r="AKH262" s="3"/>
      <c r="AKI262" s="3"/>
      <c r="AKJ262" s="3"/>
      <c r="AKK262" s="3"/>
      <c r="AKL262" s="3"/>
      <c r="AKM262" s="3"/>
      <c r="AKN262" s="3"/>
      <c r="AKO262" s="3"/>
      <c r="AKP262" s="3"/>
      <c r="AKQ262" s="3"/>
      <c r="AKR262" s="3"/>
      <c r="AKS262" s="3"/>
      <c r="AKT262" s="3"/>
      <c r="AKU262" s="3"/>
      <c r="AKV262" s="3"/>
      <c r="AKW262" s="3"/>
      <c r="AKX262" s="3"/>
      <c r="AKY262" s="3"/>
      <c r="AKZ262" s="3"/>
      <c r="ALA262" s="3"/>
      <c r="ALB262" s="3"/>
      <c r="ALC262" s="3"/>
      <c r="ALD262" s="3"/>
      <c r="ALE262" s="3"/>
      <c r="ALF262" s="3"/>
      <c r="ALG262" s="3"/>
      <c r="ALH262" s="3"/>
      <c r="ALI262" s="3"/>
      <c r="ALJ262" s="3"/>
      <c r="ALK262" s="3"/>
      <c r="ALL262" s="3"/>
      <c r="ALM262" s="3"/>
      <c r="ALN262" s="3"/>
      <c r="ALO262" s="3"/>
      <c r="ALP262" s="3"/>
      <c r="ALQ262" s="3"/>
      <c r="ALR262" s="3"/>
      <c r="ALS262" s="3"/>
      <c r="ALT262" s="3"/>
      <c r="ALU262" s="3"/>
      <c r="ALV262" s="3"/>
      <c r="ALW262" s="3"/>
      <c r="ALX262" s="3"/>
      <c r="ALY262" s="3"/>
      <c r="ALZ262" s="3"/>
      <c r="AMA262" s="3"/>
      <c r="AMB262" s="3"/>
      <c r="AMC262" s="3"/>
      <c r="AMD262" s="3"/>
      <c r="AME262" s="3"/>
      <c r="AMF262" s="3"/>
      <c r="AMG262" s="3"/>
      <c r="AMH262" s="3"/>
      <c r="AMI262" s="3"/>
      <c r="AMJ262" s="3"/>
      <c r="AMK262" s="3"/>
      <c r="AML262" s="3"/>
      <c r="AMM262" s="3"/>
    </row>
    <row r="263" spans="1:1027" ht="15" customHeight="1">
      <c r="A263" s="12">
        <v>123</v>
      </c>
      <c r="B263" s="13" t="s">
        <v>470</v>
      </c>
      <c r="C263" s="14"/>
      <c r="D263" s="14" t="s">
        <v>469</v>
      </c>
      <c r="E263" s="14" t="s">
        <v>92</v>
      </c>
      <c r="F263" s="15" t="s">
        <v>22</v>
      </c>
      <c r="G263" s="14"/>
      <c r="H263" s="58"/>
      <c r="I263" s="19"/>
      <c r="J263" s="14" t="s">
        <v>23</v>
      </c>
      <c r="K263" s="15"/>
      <c r="L263" s="15"/>
      <c r="M263" s="14" t="s">
        <v>27</v>
      </c>
      <c r="N263" s="25" t="s">
        <v>37</v>
      </c>
      <c r="O263" s="22" t="s">
        <v>138</v>
      </c>
      <c r="P263" s="22"/>
      <c r="Q263" s="22"/>
      <c r="R263" s="17">
        <v>43633</v>
      </c>
      <c r="S263" s="2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  <c r="XX263" s="3"/>
      <c r="XY263" s="3"/>
      <c r="XZ263" s="3"/>
      <c r="YA263" s="3"/>
      <c r="YB263" s="3"/>
      <c r="YC263" s="3"/>
      <c r="YD263" s="3"/>
      <c r="YE263" s="3"/>
      <c r="YF263" s="3"/>
      <c r="YG263" s="3"/>
      <c r="YH263" s="3"/>
      <c r="YI263" s="3"/>
      <c r="YJ263" s="3"/>
      <c r="YK263" s="3"/>
      <c r="YL263" s="3"/>
      <c r="YM263" s="3"/>
      <c r="YN263" s="3"/>
      <c r="YO263" s="3"/>
      <c r="YP263" s="3"/>
      <c r="YQ263" s="3"/>
      <c r="YR263" s="3"/>
      <c r="YS263" s="3"/>
      <c r="YT263" s="3"/>
      <c r="YU263" s="3"/>
      <c r="YV263" s="3"/>
      <c r="YW263" s="3"/>
      <c r="YX263" s="3"/>
      <c r="YY263" s="3"/>
      <c r="YZ263" s="3"/>
      <c r="ZA263" s="3"/>
      <c r="ZB263" s="3"/>
      <c r="ZC263" s="3"/>
      <c r="ZD263" s="3"/>
      <c r="ZE263" s="3"/>
      <c r="ZF263" s="3"/>
      <c r="ZG263" s="3"/>
      <c r="ZH263" s="3"/>
      <c r="ZI263" s="3"/>
      <c r="ZJ263" s="3"/>
      <c r="ZK263" s="3"/>
      <c r="ZL263" s="3"/>
      <c r="ZM263" s="3"/>
      <c r="ZN263" s="3"/>
      <c r="ZO263" s="3"/>
      <c r="ZP263" s="3"/>
      <c r="ZQ263" s="3"/>
      <c r="ZR263" s="3"/>
      <c r="ZS263" s="3"/>
      <c r="ZT263" s="3"/>
      <c r="ZU263" s="3"/>
      <c r="ZV263" s="3"/>
      <c r="ZW263" s="3"/>
      <c r="ZX263" s="3"/>
      <c r="ZY263" s="3"/>
      <c r="ZZ263" s="3"/>
      <c r="AAA263" s="3"/>
      <c r="AAB263" s="3"/>
      <c r="AAC263" s="3"/>
      <c r="AAD263" s="3"/>
      <c r="AAE263" s="3"/>
      <c r="AAF263" s="3"/>
      <c r="AAG263" s="3"/>
      <c r="AAH263" s="3"/>
      <c r="AAI263" s="3"/>
      <c r="AAJ263" s="3"/>
      <c r="AAK263" s="3"/>
      <c r="AAL263" s="3"/>
      <c r="AAM263" s="3"/>
      <c r="AAN263" s="3"/>
      <c r="AAO263" s="3"/>
      <c r="AAP263" s="3"/>
      <c r="AAQ263" s="3"/>
      <c r="AAR263" s="3"/>
      <c r="AAS263" s="3"/>
      <c r="AAT263" s="3"/>
      <c r="AAU263" s="3"/>
      <c r="AAV263" s="3"/>
      <c r="AAW263" s="3"/>
      <c r="AAX263" s="3"/>
      <c r="AAY263" s="3"/>
      <c r="AAZ263" s="3"/>
      <c r="ABA263" s="3"/>
      <c r="ABB263" s="3"/>
      <c r="ABC263" s="3"/>
      <c r="ABD263" s="3"/>
      <c r="ABE263" s="3"/>
      <c r="ABF263" s="3"/>
      <c r="ABG263" s="3"/>
      <c r="ABH263" s="3"/>
      <c r="ABI263" s="3"/>
      <c r="ABJ263" s="3"/>
      <c r="ABK263" s="3"/>
      <c r="ABL263" s="3"/>
      <c r="ABM263" s="3"/>
      <c r="ABN263" s="3"/>
      <c r="ABO263" s="3"/>
      <c r="ABP263" s="3"/>
      <c r="ABQ263" s="3"/>
      <c r="ABR263" s="3"/>
      <c r="ABS263" s="3"/>
      <c r="ABT263" s="3"/>
      <c r="ABU263" s="3"/>
      <c r="ABV263" s="3"/>
      <c r="ABW263" s="3"/>
      <c r="ABX263" s="3"/>
      <c r="ABY263" s="3"/>
      <c r="ABZ263" s="3"/>
      <c r="ACA263" s="3"/>
      <c r="ACB263" s="3"/>
      <c r="ACC263" s="3"/>
      <c r="ACD263" s="3"/>
      <c r="ACE263" s="3"/>
      <c r="ACF263" s="3"/>
      <c r="ACG263" s="3"/>
      <c r="ACH263" s="3"/>
      <c r="ACI263" s="3"/>
      <c r="ACJ263" s="3"/>
      <c r="ACK263" s="3"/>
      <c r="ACL263" s="3"/>
      <c r="ACM263" s="3"/>
      <c r="ACN263" s="3"/>
      <c r="ACO263" s="3"/>
      <c r="ACP263" s="3"/>
      <c r="ACQ263" s="3"/>
      <c r="ACR263" s="3"/>
      <c r="ACS263" s="3"/>
      <c r="ACT263" s="3"/>
      <c r="ACU263" s="3"/>
      <c r="ACV263" s="3"/>
      <c r="ACW263" s="3"/>
      <c r="ACX263" s="3"/>
      <c r="ACY263" s="3"/>
      <c r="ACZ263" s="3"/>
      <c r="ADA263" s="3"/>
      <c r="ADB263" s="3"/>
      <c r="ADC263" s="3"/>
      <c r="ADD263" s="3"/>
      <c r="ADE263" s="3"/>
      <c r="ADF263" s="3"/>
      <c r="ADG263" s="3"/>
      <c r="ADH263" s="3"/>
      <c r="ADI263" s="3"/>
      <c r="ADJ263" s="3"/>
      <c r="ADK263" s="3"/>
      <c r="ADL263" s="3"/>
      <c r="ADM263" s="3"/>
      <c r="ADN263" s="3"/>
      <c r="ADO263" s="3"/>
      <c r="ADP263" s="3"/>
      <c r="ADQ263" s="3"/>
      <c r="ADR263" s="3"/>
      <c r="ADS263" s="3"/>
      <c r="ADT263" s="3"/>
      <c r="ADU263" s="3"/>
      <c r="ADV263" s="3"/>
      <c r="ADW263" s="3"/>
      <c r="ADX263" s="3"/>
      <c r="ADY263" s="3"/>
      <c r="ADZ263" s="3"/>
      <c r="AEA263" s="3"/>
      <c r="AEB263" s="3"/>
      <c r="AEC263" s="3"/>
      <c r="AED263" s="3"/>
      <c r="AEE263" s="3"/>
      <c r="AEF263" s="3"/>
      <c r="AEG263" s="3"/>
      <c r="AEH263" s="3"/>
      <c r="AEI263" s="3"/>
      <c r="AEJ263" s="3"/>
      <c r="AEK263" s="3"/>
      <c r="AEL263" s="3"/>
      <c r="AEM263" s="3"/>
      <c r="AEN263" s="3"/>
      <c r="AEO263" s="3"/>
      <c r="AEP263" s="3"/>
      <c r="AEQ263" s="3"/>
      <c r="AER263" s="3"/>
      <c r="AES263" s="3"/>
      <c r="AET263" s="3"/>
      <c r="AEU263" s="3"/>
      <c r="AEV263" s="3"/>
      <c r="AEW263" s="3"/>
      <c r="AEX263" s="3"/>
      <c r="AEY263" s="3"/>
      <c r="AEZ263" s="3"/>
      <c r="AFA263" s="3"/>
      <c r="AFB263" s="3"/>
      <c r="AFC263" s="3"/>
      <c r="AFD263" s="3"/>
      <c r="AFE263" s="3"/>
      <c r="AFF263" s="3"/>
      <c r="AFG263" s="3"/>
      <c r="AFH263" s="3"/>
      <c r="AFI263" s="3"/>
      <c r="AFJ263" s="3"/>
      <c r="AFK263" s="3"/>
      <c r="AFL263" s="3"/>
      <c r="AFM263" s="3"/>
      <c r="AFN263" s="3"/>
      <c r="AFO263" s="3"/>
      <c r="AFP263" s="3"/>
      <c r="AFQ263" s="3"/>
      <c r="AFR263" s="3"/>
      <c r="AFS263" s="3"/>
      <c r="AFT263" s="3"/>
      <c r="AFU263" s="3"/>
      <c r="AFV263" s="3"/>
      <c r="AFW263" s="3"/>
      <c r="AFX263" s="3"/>
      <c r="AFY263" s="3"/>
      <c r="AFZ263" s="3"/>
      <c r="AGA263" s="3"/>
      <c r="AGB263" s="3"/>
      <c r="AGC263" s="3"/>
      <c r="AGD263" s="3"/>
      <c r="AGE263" s="3"/>
      <c r="AGF263" s="3"/>
      <c r="AGG263" s="3"/>
      <c r="AGH263" s="3"/>
      <c r="AGI263" s="3"/>
      <c r="AGJ263" s="3"/>
      <c r="AGK263" s="3"/>
      <c r="AGL263" s="3"/>
      <c r="AGM263" s="3"/>
      <c r="AGN263" s="3"/>
      <c r="AGO263" s="3"/>
      <c r="AGP263" s="3"/>
      <c r="AGQ263" s="3"/>
      <c r="AGR263" s="3"/>
      <c r="AGS263" s="3"/>
      <c r="AGT263" s="3"/>
      <c r="AGU263" s="3"/>
      <c r="AGV263" s="3"/>
      <c r="AGW263" s="3"/>
      <c r="AGX263" s="3"/>
      <c r="AGY263" s="3"/>
      <c r="AGZ263" s="3"/>
      <c r="AHA263" s="3"/>
      <c r="AHB263" s="3"/>
      <c r="AHC263" s="3"/>
      <c r="AHD263" s="3"/>
      <c r="AHE263" s="3"/>
      <c r="AHF263" s="3"/>
      <c r="AHG263" s="3"/>
      <c r="AHH263" s="3"/>
      <c r="AHI263" s="3"/>
      <c r="AHJ263" s="3"/>
      <c r="AHK263" s="3"/>
      <c r="AHL263" s="3"/>
      <c r="AHM263" s="3"/>
      <c r="AHN263" s="3"/>
      <c r="AHO263" s="3"/>
      <c r="AHP263" s="3"/>
      <c r="AHQ263" s="3"/>
      <c r="AHR263" s="3"/>
      <c r="AHS263" s="3"/>
      <c r="AHT263" s="3"/>
      <c r="AHU263" s="3"/>
      <c r="AHV263" s="3"/>
      <c r="AHW263" s="3"/>
      <c r="AHX263" s="3"/>
      <c r="AHY263" s="3"/>
      <c r="AHZ263" s="3"/>
      <c r="AIA263" s="3"/>
      <c r="AIB263" s="3"/>
      <c r="AIC263" s="3"/>
      <c r="AID263" s="3"/>
      <c r="AIE263" s="3"/>
      <c r="AIF263" s="3"/>
      <c r="AIG263" s="3"/>
      <c r="AIH263" s="3"/>
      <c r="AII263" s="3"/>
      <c r="AIJ263" s="3"/>
      <c r="AIK263" s="3"/>
      <c r="AIL263" s="3"/>
      <c r="AIM263" s="3"/>
      <c r="AIN263" s="3"/>
      <c r="AIO263" s="3"/>
      <c r="AIP263" s="3"/>
      <c r="AIQ263" s="3"/>
      <c r="AIR263" s="3"/>
      <c r="AIS263" s="3"/>
      <c r="AIT263" s="3"/>
      <c r="AIU263" s="3"/>
      <c r="AIV263" s="3"/>
      <c r="AIW263" s="3"/>
      <c r="AIX263" s="3"/>
      <c r="AIY263" s="3"/>
      <c r="AIZ263" s="3"/>
      <c r="AJA263" s="3"/>
      <c r="AJB263" s="3"/>
      <c r="AJC263" s="3"/>
      <c r="AJD263" s="3"/>
      <c r="AJE263" s="3"/>
      <c r="AJF263" s="3"/>
      <c r="AJG263" s="3"/>
      <c r="AJH263" s="3"/>
      <c r="AJI263" s="3"/>
      <c r="AJJ263" s="3"/>
      <c r="AJK263" s="3"/>
      <c r="AJL263" s="3"/>
      <c r="AJM263" s="3"/>
      <c r="AJN263" s="3"/>
      <c r="AJO263" s="3"/>
      <c r="AJP263" s="3"/>
      <c r="AJQ263" s="3"/>
      <c r="AJR263" s="3"/>
      <c r="AJS263" s="3"/>
      <c r="AJT263" s="3"/>
      <c r="AJU263" s="3"/>
      <c r="AJV263" s="3"/>
      <c r="AJW263" s="3"/>
      <c r="AJX263" s="3"/>
      <c r="AJY263" s="3"/>
      <c r="AJZ263" s="3"/>
      <c r="AKA263" s="3"/>
      <c r="AKB263" s="3"/>
      <c r="AKC263" s="3"/>
      <c r="AKD263" s="3"/>
      <c r="AKE263" s="3"/>
      <c r="AKF263" s="3"/>
      <c r="AKG263" s="3"/>
      <c r="AKH263" s="3"/>
      <c r="AKI263" s="3"/>
      <c r="AKJ263" s="3"/>
      <c r="AKK263" s="3"/>
      <c r="AKL263" s="3"/>
      <c r="AKM263" s="3"/>
      <c r="AKN263" s="3"/>
      <c r="AKO263" s="3"/>
      <c r="AKP263" s="3"/>
      <c r="AKQ263" s="3"/>
      <c r="AKR263" s="3"/>
      <c r="AKS263" s="3"/>
      <c r="AKT263" s="3"/>
      <c r="AKU263" s="3"/>
      <c r="AKV263" s="3"/>
      <c r="AKW263" s="3"/>
      <c r="AKX263" s="3"/>
      <c r="AKY263" s="3"/>
      <c r="AKZ263" s="3"/>
      <c r="ALA263" s="3"/>
      <c r="ALB263" s="3"/>
      <c r="ALC263" s="3"/>
      <c r="ALD263" s="3"/>
      <c r="ALE263" s="3"/>
      <c r="ALF263" s="3"/>
      <c r="ALG263" s="3"/>
      <c r="ALH263" s="3"/>
      <c r="ALI263" s="3"/>
      <c r="ALJ263" s="3"/>
      <c r="ALK263" s="3"/>
      <c r="ALL263" s="3"/>
      <c r="ALM263" s="3"/>
      <c r="ALN263" s="3"/>
      <c r="ALO263" s="3"/>
      <c r="ALP263" s="3"/>
      <c r="ALQ263" s="3"/>
      <c r="ALR263" s="3"/>
      <c r="ALS263" s="3"/>
      <c r="ALT263" s="3"/>
      <c r="ALU263" s="3"/>
      <c r="ALV263" s="3"/>
      <c r="ALW263" s="3"/>
      <c r="ALX263" s="3"/>
      <c r="ALY263" s="3"/>
      <c r="ALZ263" s="3"/>
      <c r="AMA263" s="3"/>
      <c r="AMB263" s="3"/>
      <c r="AMC263" s="3"/>
      <c r="AMD263" s="3"/>
      <c r="AME263" s="3"/>
      <c r="AMF263" s="3"/>
      <c r="AMG263" s="3"/>
      <c r="AMH263" s="3"/>
      <c r="AMI263" s="3"/>
      <c r="AMJ263" s="3"/>
      <c r="AMK263" s="3"/>
      <c r="AML263" s="3"/>
      <c r="AMM263" s="3"/>
    </row>
    <row r="264" spans="1:1027" ht="15" customHeight="1">
      <c r="A264" s="12">
        <v>900</v>
      </c>
      <c r="B264" s="13" t="s">
        <v>471</v>
      </c>
      <c r="C264" s="14"/>
      <c r="D264" s="14" t="s">
        <v>469</v>
      </c>
      <c r="E264" s="14" t="s">
        <v>92</v>
      </c>
      <c r="F264" s="15" t="s">
        <v>22</v>
      </c>
      <c r="G264" s="21"/>
      <c r="H264" s="58">
        <v>1</v>
      </c>
      <c r="I264" s="14"/>
      <c r="J264" s="14" t="s">
        <v>23</v>
      </c>
      <c r="K264" s="14"/>
      <c r="L264" s="14"/>
      <c r="M264" s="14" t="s">
        <v>29</v>
      </c>
      <c r="N264" s="25" t="s">
        <v>37</v>
      </c>
      <c r="O264" s="14" t="s">
        <v>472</v>
      </c>
      <c r="P264" s="14"/>
      <c r="Q264" s="14"/>
      <c r="R264" s="14" t="s">
        <v>158</v>
      </c>
    </row>
    <row r="265" spans="1:1027" ht="15" customHeight="1">
      <c r="A265" s="12">
        <v>1689</v>
      </c>
      <c r="B265" s="13" t="s">
        <v>473</v>
      </c>
      <c r="C265" s="14"/>
      <c r="D265" s="14" t="s">
        <v>469</v>
      </c>
      <c r="E265" s="14" t="s">
        <v>92</v>
      </c>
      <c r="F265" s="15" t="s">
        <v>22</v>
      </c>
      <c r="G265" s="14"/>
      <c r="H265" s="58">
        <v>3</v>
      </c>
      <c r="I265" s="14"/>
      <c r="J265" s="14" t="s">
        <v>23</v>
      </c>
      <c r="K265" s="14"/>
      <c r="L265" s="14"/>
      <c r="M265" s="14" t="s">
        <v>32</v>
      </c>
      <c r="N265" s="14" t="s">
        <v>25</v>
      </c>
      <c r="O265" s="14"/>
      <c r="P265" s="18"/>
      <c r="Q265" s="14"/>
      <c r="R265" s="14" t="s">
        <v>308</v>
      </c>
    </row>
    <row r="266" spans="1:1027" ht="15" customHeight="1">
      <c r="A266" s="12">
        <v>124</v>
      </c>
      <c r="B266" s="13" t="s">
        <v>474</v>
      </c>
      <c r="C266" s="14"/>
      <c r="D266" s="14" t="s">
        <v>475</v>
      </c>
      <c r="E266" s="14" t="s">
        <v>36</v>
      </c>
      <c r="F266" s="15" t="s">
        <v>22</v>
      </c>
      <c r="G266" s="14"/>
      <c r="H266" s="58"/>
      <c r="I266" s="19"/>
      <c r="J266" s="14" t="s">
        <v>23</v>
      </c>
      <c r="K266" s="15"/>
      <c r="L266" s="15"/>
      <c r="M266" s="14" t="s">
        <v>27</v>
      </c>
      <c r="N266" s="25" t="s">
        <v>37</v>
      </c>
      <c r="O266" s="22" t="s">
        <v>38</v>
      </c>
      <c r="P266" s="24"/>
      <c r="Q266" s="22"/>
      <c r="R266" s="17">
        <v>43633</v>
      </c>
      <c r="S266" s="2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"/>
      <c r="XC266" s="3"/>
      <c r="XD266" s="3"/>
      <c r="XE266" s="3"/>
      <c r="XF266" s="3"/>
      <c r="XG266" s="3"/>
      <c r="XH266" s="3"/>
      <c r="XI266" s="3"/>
      <c r="XJ266" s="3"/>
      <c r="XK266" s="3"/>
      <c r="XL266" s="3"/>
      <c r="XM266" s="3"/>
      <c r="XN266" s="3"/>
      <c r="XO266" s="3"/>
      <c r="XP266" s="3"/>
      <c r="XQ266" s="3"/>
      <c r="XR266" s="3"/>
      <c r="XS266" s="3"/>
      <c r="XT266" s="3"/>
      <c r="XU266" s="3"/>
      <c r="XV266" s="3"/>
      <c r="XW266" s="3"/>
      <c r="XX266" s="3"/>
      <c r="XY266" s="3"/>
      <c r="XZ266" s="3"/>
      <c r="YA266" s="3"/>
      <c r="YB266" s="3"/>
      <c r="YC266" s="3"/>
      <c r="YD266" s="3"/>
      <c r="YE266" s="3"/>
      <c r="YF266" s="3"/>
      <c r="YG266" s="3"/>
      <c r="YH266" s="3"/>
      <c r="YI266" s="3"/>
      <c r="YJ266" s="3"/>
      <c r="YK266" s="3"/>
      <c r="YL266" s="3"/>
      <c r="YM266" s="3"/>
      <c r="YN266" s="3"/>
      <c r="YO266" s="3"/>
      <c r="YP266" s="3"/>
      <c r="YQ266" s="3"/>
      <c r="YR266" s="3"/>
      <c r="YS266" s="3"/>
      <c r="YT266" s="3"/>
      <c r="YU266" s="3"/>
      <c r="YV266" s="3"/>
      <c r="YW266" s="3"/>
      <c r="YX266" s="3"/>
      <c r="YY266" s="3"/>
      <c r="YZ266" s="3"/>
      <c r="ZA266" s="3"/>
      <c r="ZB266" s="3"/>
      <c r="ZC266" s="3"/>
      <c r="ZD266" s="3"/>
      <c r="ZE266" s="3"/>
      <c r="ZF266" s="3"/>
      <c r="ZG266" s="3"/>
      <c r="ZH266" s="3"/>
      <c r="ZI266" s="3"/>
      <c r="ZJ266" s="3"/>
      <c r="ZK266" s="3"/>
      <c r="ZL266" s="3"/>
      <c r="ZM266" s="3"/>
      <c r="ZN266" s="3"/>
      <c r="ZO266" s="3"/>
      <c r="ZP266" s="3"/>
      <c r="ZQ266" s="3"/>
      <c r="ZR266" s="3"/>
      <c r="ZS266" s="3"/>
      <c r="ZT266" s="3"/>
      <c r="ZU266" s="3"/>
      <c r="ZV266" s="3"/>
      <c r="ZW266" s="3"/>
      <c r="ZX266" s="3"/>
      <c r="ZY266" s="3"/>
      <c r="ZZ266" s="3"/>
      <c r="AAA266" s="3"/>
      <c r="AAB266" s="3"/>
      <c r="AAC266" s="3"/>
      <c r="AAD266" s="3"/>
      <c r="AAE266" s="3"/>
      <c r="AAF266" s="3"/>
      <c r="AAG266" s="3"/>
      <c r="AAH266" s="3"/>
      <c r="AAI266" s="3"/>
      <c r="AAJ266" s="3"/>
      <c r="AAK266" s="3"/>
      <c r="AAL266" s="3"/>
      <c r="AAM266" s="3"/>
      <c r="AAN266" s="3"/>
      <c r="AAO266" s="3"/>
      <c r="AAP266" s="3"/>
      <c r="AAQ266" s="3"/>
      <c r="AAR266" s="3"/>
      <c r="AAS266" s="3"/>
      <c r="AAT266" s="3"/>
      <c r="AAU266" s="3"/>
      <c r="AAV266" s="3"/>
      <c r="AAW266" s="3"/>
      <c r="AAX266" s="3"/>
      <c r="AAY266" s="3"/>
      <c r="AAZ266" s="3"/>
      <c r="ABA266" s="3"/>
      <c r="ABB266" s="3"/>
      <c r="ABC266" s="3"/>
      <c r="ABD266" s="3"/>
      <c r="ABE266" s="3"/>
      <c r="ABF266" s="3"/>
      <c r="ABG266" s="3"/>
      <c r="ABH266" s="3"/>
      <c r="ABI266" s="3"/>
      <c r="ABJ266" s="3"/>
      <c r="ABK266" s="3"/>
      <c r="ABL266" s="3"/>
      <c r="ABM266" s="3"/>
      <c r="ABN266" s="3"/>
      <c r="ABO266" s="3"/>
      <c r="ABP266" s="3"/>
      <c r="ABQ266" s="3"/>
      <c r="ABR266" s="3"/>
      <c r="ABS266" s="3"/>
      <c r="ABT266" s="3"/>
      <c r="ABU266" s="3"/>
      <c r="ABV266" s="3"/>
      <c r="ABW266" s="3"/>
      <c r="ABX266" s="3"/>
      <c r="ABY266" s="3"/>
      <c r="ABZ266" s="3"/>
      <c r="ACA266" s="3"/>
      <c r="ACB266" s="3"/>
      <c r="ACC266" s="3"/>
      <c r="ACD266" s="3"/>
      <c r="ACE266" s="3"/>
      <c r="ACF266" s="3"/>
      <c r="ACG266" s="3"/>
      <c r="ACH266" s="3"/>
      <c r="ACI266" s="3"/>
      <c r="ACJ266" s="3"/>
      <c r="ACK266" s="3"/>
      <c r="ACL266" s="3"/>
      <c r="ACM266" s="3"/>
      <c r="ACN266" s="3"/>
      <c r="ACO266" s="3"/>
      <c r="ACP266" s="3"/>
      <c r="ACQ266" s="3"/>
      <c r="ACR266" s="3"/>
      <c r="ACS266" s="3"/>
      <c r="ACT266" s="3"/>
      <c r="ACU266" s="3"/>
      <c r="ACV266" s="3"/>
      <c r="ACW266" s="3"/>
      <c r="ACX266" s="3"/>
      <c r="ACY266" s="3"/>
      <c r="ACZ266" s="3"/>
      <c r="ADA266" s="3"/>
      <c r="ADB266" s="3"/>
      <c r="ADC266" s="3"/>
      <c r="ADD266" s="3"/>
      <c r="ADE266" s="3"/>
      <c r="ADF266" s="3"/>
      <c r="ADG266" s="3"/>
      <c r="ADH266" s="3"/>
      <c r="ADI266" s="3"/>
      <c r="ADJ266" s="3"/>
      <c r="ADK266" s="3"/>
      <c r="ADL266" s="3"/>
      <c r="ADM266" s="3"/>
      <c r="ADN266" s="3"/>
      <c r="ADO266" s="3"/>
      <c r="ADP266" s="3"/>
      <c r="ADQ266" s="3"/>
      <c r="ADR266" s="3"/>
      <c r="ADS266" s="3"/>
      <c r="ADT266" s="3"/>
      <c r="ADU266" s="3"/>
      <c r="ADV266" s="3"/>
      <c r="ADW266" s="3"/>
      <c r="ADX266" s="3"/>
      <c r="ADY266" s="3"/>
      <c r="ADZ266" s="3"/>
      <c r="AEA266" s="3"/>
      <c r="AEB266" s="3"/>
      <c r="AEC266" s="3"/>
      <c r="AED266" s="3"/>
      <c r="AEE266" s="3"/>
      <c r="AEF266" s="3"/>
      <c r="AEG266" s="3"/>
      <c r="AEH266" s="3"/>
      <c r="AEI266" s="3"/>
      <c r="AEJ266" s="3"/>
      <c r="AEK266" s="3"/>
      <c r="AEL266" s="3"/>
      <c r="AEM266" s="3"/>
      <c r="AEN266" s="3"/>
      <c r="AEO266" s="3"/>
      <c r="AEP266" s="3"/>
      <c r="AEQ266" s="3"/>
      <c r="AER266" s="3"/>
      <c r="AES266" s="3"/>
      <c r="AET266" s="3"/>
      <c r="AEU266" s="3"/>
      <c r="AEV266" s="3"/>
      <c r="AEW266" s="3"/>
      <c r="AEX266" s="3"/>
      <c r="AEY266" s="3"/>
      <c r="AEZ266" s="3"/>
      <c r="AFA266" s="3"/>
      <c r="AFB266" s="3"/>
      <c r="AFC266" s="3"/>
      <c r="AFD266" s="3"/>
      <c r="AFE266" s="3"/>
      <c r="AFF266" s="3"/>
      <c r="AFG266" s="3"/>
      <c r="AFH266" s="3"/>
      <c r="AFI266" s="3"/>
      <c r="AFJ266" s="3"/>
      <c r="AFK266" s="3"/>
      <c r="AFL266" s="3"/>
      <c r="AFM266" s="3"/>
      <c r="AFN266" s="3"/>
      <c r="AFO266" s="3"/>
      <c r="AFP266" s="3"/>
      <c r="AFQ266" s="3"/>
      <c r="AFR266" s="3"/>
      <c r="AFS266" s="3"/>
      <c r="AFT266" s="3"/>
      <c r="AFU266" s="3"/>
      <c r="AFV266" s="3"/>
      <c r="AFW266" s="3"/>
      <c r="AFX266" s="3"/>
      <c r="AFY266" s="3"/>
      <c r="AFZ266" s="3"/>
      <c r="AGA266" s="3"/>
      <c r="AGB266" s="3"/>
      <c r="AGC266" s="3"/>
      <c r="AGD266" s="3"/>
      <c r="AGE266" s="3"/>
      <c r="AGF266" s="3"/>
      <c r="AGG266" s="3"/>
      <c r="AGH266" s="3"/>
      <c r="AGI266" s="3"/>
      <c r="AGJ266" s="3"/>
      <c r="AGK266" s="3"/>
      <c r="AGL266" s="3"/>
      <c r="AGM266" s="3"/>
      <c r="AGN266" s="3"/>
      <c r="AGO266" s="3"/>
      <c r="AGP266" s="3"/>
      <c r="AGQ266" s="3"/>
      <c r="AGR266" s="3"/>
      <c r="AGS266" s="3"/>
      <c r="AGT266" s="3"/>
      <c r="AGU266" s="3"/>
      <c r="AGV266" s="3"/>
      <c r="AGW266" s="3"/>
      <c r="AGX266" s="3"/>
      <c r="AGY266" s="3"/>
      <c r="AGZ266" s="3"/>
      <c r="AHA266" s="3"/>
      <c r="AHB266" s="3"/>
      <c r="AHC266" s="3"/>
      <c r="AHD266" s="3"/>
      <c r="AHE266" s="3"/>
      <c r="AHF266" s="3"/>
      <c r="AHG266" s="3"/>
      <c r="AHH266" s="3"/>
      <c r="AHI266" s="3"/>
      <c r="AHJ266" s="3"/>
      <c r="AHK266" s="3"/>
      <c r="AHL266" s="3"/>
      <c r="AHM266" s="3"/>
      <c r="AHN266" s="3"/>
      <c r="AHO266" s="3"/>
      <c r="AHP266" s="3"/>
      <c r="AHQ266" s="3"/>
      <c r="AHR266" s="3"/>
      <c r="AHS266" s="3"/>
      <c r="AHT266" s="3"/>
      <c r="AHU266" s="3"/>
      <c r="AHV266" s="3"/>
      <c r="AHW266" s="3"/>
      <c r="AHX266" s="3"/>
      <c r="AHY266" s="3"/>
      <c r="AHZ266" s="3"/>
      <c r="AIA266" s="3"/>
      <c r="AIB266" s="3"/>
      <c r="AIC266" s="3"/>
      <c r="AID266" s="3"/>
      <c r="AIE266" s="3"/>
      <c r="AIF266" s="3"/>
      <c r="AIG266" s="3"/>
      <c r="AIH266" s="3"/>
      <c r="AII266" s="3"/>
      <c r="AIJ266" s="3"/>
      <c r="AIK266" s="3"/>
      <c r="AIL266" s="3"/>
      <c r="AIM266" s="3"/>
      <c r="AIN266" s="3"/>
      <c r="AIO266" s="3"/>
      <c r="AIP266" s="3"/>
      <c r="AIQ266" s="3"/>
      <c r="AIR266" s="3"/>
      <c r="AIS266" s="3"/>
      <c r="AIT266" s="3"/>
      <c r="AIU266" s="3"/>
      <c r="AIV266" s="3"/>
      <c r="AIW266" s="3"/>
      <c r="AIX266" s="3"/>
      <c r="AIY266" s="3"/>
      <c r="AIZ266" s="3"/>
      <c r="AJA266" s="3"/>
      <c r="AJB266" s="3"/>
      <c r="AJC266" s="3"/>
      <c r="AJD266" s="3"/>
      <c r="AJE266" s="3"/>
      <c r="AJF266" s="3"/>
      <c r="AJG266" s="3"/>
      <c r="AJH266" s="3"/>
      <c r="AJI266" s="3"/>
      <c r="AJJ266" s="3"/>
      <c r="AJK266" s="3"/>
      <c r="AJL266" s="3"/>
      <c r="AJM266" s="3"/>
      <c r="AJN266" s="3"/>
      <c r="AJO266" s="3"/>
      <c r="AJP266" s="3"/>
      <c r="AJQ266" s="3"/>
      <c r="AJR266" s="3"/>
      <c r="AJS266" s="3"/>
      <c r="AJT266" s="3"/>
      <c r="AJU266" s="3"/>
      <c r="AJV266" s="3"/>
      <c r="AJW266" s="3"/>
      <c r="AJX266" s="3"/>
      <c r="AJY266" s="3"/>
      <c r="AJZ266" s="3"/>
      <c r="AKA266" s="3"/>
      <c r="AKB266" s="3"/>
      <c r="AKC266" s="3"/>
      <c r="AKD266" s="3"/>
      <c r="AKE266" s="3"/>
      <c r="AKF266" s="3"/>
      <c r="AKG266" s="3"/>
      <c r="AKH266" s="3"/>
      <c r="AKI266" s="3"/>
      <c r="AKJ266" s="3"/>
      <c r="AKK266" s="3"/>
      <c r="AKL266" s="3"/>
      <c r="AKM266" s="3"/>
      <c r="AKN266" s="3"/>
      <c r="AKO266" s="3"/>
      <c r="AKP266" s="3"/>
      <c r="AKQ266" s="3"/>
      <c r="AKR266" s="3"/>
      <c r="AKS266" s="3"/>
      <c r="AKT266" s="3"/>
      <c r="AKU266" s="3"/>
      <c r="AKV266" s="3"/>
      <c r="AKW266" s="3"/>
      <c r="AKX266" s="3"/>
      <c r="AKY266" s="3"/>
      <c r="AKZ266" s="3"/>
      <c r="ALA266" s="3"/>
      <c r="ALB266" s="3"/>
      <c r="ALC266" s="3"/>
      <c r="ALD266" s="3"/>
      <c r="ALE266" s="3"/>
      <c r="ALF266" s="3"/>
      <c r="ALG266" s="3"/>
      <c r="ALH266" s="3"/>
      <c r="ALI266" s="3"/>
      <c r="ALJ266" s="3"/>
      <c r="ALK266" s="3"/>
      <c r="ALL266" s="3"/>
      <c r="ALM266" s="3"/>
      <c r="ALN266" s="3"/>
      <c r="ALO266" s="3"/>
      <c r="ALP266" s="3"/>
      <c r="ALQ266" s="3"/>
      <c r="ALR266" s="3"/>
      <c r="ALS266" s="3"/>
      <c r="ALT266" s="3"/>
      <c r="ALU266" s="3"/>
      <c r="ALV266" s="3"/>
      <c r="ALW266" s="3"/>
      <c r="ALX266" s="3"/>
      <c r="ALY266" s="3"/>
      <c r="ALZ266" s="3"/>
      <c r="AMA266" s="3"/>
      <c r="AMB266" s="3"/>
      <c r="AMC266" s="3"/>
      <c r="AMD266" s="3"/>
      <c r="AME266" s="3"/>
      <c r="AMF266" s="3"/>
      <c r="AMG266" s="3"/>
      <c r="AMH266" s="3"/>
      <c r="AMI266" s="3"/>
      <c r="AMJ266" s="3"/>
      <c r="AMK266" s="3"/>
      <c r="AML266" s="3"/>
      <c r="AMM266" s="3"/>
    </row>
    <row r="267" spans="1:1027" ht="15" customHeight="1">
      <c r="A267" s="12">
        <v>901</v>
      </c>
      <c r="B267" s="13" t="s">
        <v>476</v>
      </c>
      <c r="C267" s="14"/>
      <c r="D267" s="14" t="s">
        <v>475</v>
      </c>
      <c r="E267" s="14" t="s">
        <v>36</v>
      </c>
      <c r="F267" s="15" t="s">
        <v>22</v>
      </c>
      <c r="G267" s="21"/>
      <c r="H267" s="58">
        <v>4</v>
      </c>
      <c r="I267" s="14"/>
      <c r="J267" s="14" t="s">
        <v>23</v>
      </c>
      <c r="K267" s="14"/>
      <c r="L267" s="14"/>
      <c r="M267" s="14" t="s">
        <v>29</v>
      </c>
      <c r="N267" s="25" t="s">
        <v>37</v>
      </c>
      <c r="O267" s="14" t="s">
        <v>477</v>
      </c>
      <c r="P267" s="14"/>
      <c r="Q267" s="14"/>
      <c r="R267" s="14" t="s">
        <v>158</v>
      </c>
    </row>
    <row r="268" spans="1:1027" ht="15" customHeight="1">
      <c r="A268" s="12">
        <v>1690</v>
      </c>
      <c r="B268" s="13" t="s">
        <v>478</v>
      </c>
      <c r="C268" s="14"/>
      <c r="D268" s="14" t="s">
        <v>475</v>
      </c>
      <c r="E268" s="14" t="s">
        <v>36</v>
      </c>
      <c r="F268" s="15" t="s">
        <v>22</v>
      </c>
      <c r="G268" s="14"/>
      <c r="H268" s="58">
        <v>4</v>
      </c>
      <c r="I268" s="14"/>
      <c r="J268" s="14" t="s">
        <v>23</v>
      </c>
      <c r="K268" s="14"/>
      <c r="L268" s="14"/>
      <c r="M268" s="14" t="s">
        <v>32</v>
      </c>
      <c r="N268" s="25" t="s">
        <v>37</v>
      </c>
      <c r="O268" s="14" t="s">
        <v>479</v>
      </c>
      <c r="P268" s="18"/>
      <c r="Q268" s="14"/>
      <c r="R268" s="14" t="s">
        <v>308</v>
      </c>
    </row>
    <row r="269" spans="1:1027" ht="15" customHeight="1">
      <c r="A269" s="12">
        <v>125</v>
      </c>
      <c r="B269" s="13" t="s">
        <v>480</v>
      </c>
      <c r="C269" s="14"/>
      <c r="D269" s="14" t="s">
        <v>481</v>
      </c>
      <c r="E269" s="14" t="s">
        <v>36</v>
      </c>
      <c r="F269" s="15" t="s">
        <v>22</v>
      </c>
      <c r="G269" s="14"/>
      <c r="H269" s="58"/>
      <c r="I269" s="19"/>
      <c r="J269" s="14" t="s">
        <v>23</v>
      </c>
      <c r="K269" s="15"/>
      <c r="L269" s="15"/>
      <c r="M269" s="14" t="s">
        <v>27</v>
      </c>
      <c r="N269" s="22" t="s">
        <v>25</v>
      </c>
      <c r="O269" s="22"/>
      <c r="P269" s="22"/>
      <c r="Q269" s="22"/>
      <c r="R269" s="17">
        <v>43633</v>
      </c>
      <c r="S269" s="2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  <c r="XX269" s="3"/>
      <c r="XY269" s="3"/>
      <c r="XZ269" s="3"/>
      <c r="YA269" s="3"/>
      <c r="YB269" s="3"/>
      <c r="YC269" s="3"/>
      <c r="YD269" s="3"/>
      <c r="YE269" s="3"/>
      <c r="YF269" s="3"/>
      <c r="YG269" s="3"/>
      <c r="YH269" s="3"/>
      <c r="YI269" s="3"/>
      <c r="YJ269" s="3"/>
      <c r="YK269" s="3"/>
      <c r="YL269" s="3"/>
      <c r="YM269" s="3"/>
      <c r="YN269" s="3"/>
      <c r="YO269" s="3"/>
      <c r="YP269" s="3"/>
      <c r="YQ269" s="3"/>
      <c r="YR269" s="3"/>
      <c r="YS269" s="3"/>
      <c r="YT269" s="3"/>
      <c r="YU269" s="3"/>
      <c r="YV269" s="3"/>
      <c r="YW269" s="3"/>
      <c r="YX269" s="3"/>
      <c r="YY269" s="3"/>
      <c r="YZ269" s="3"/>
      <c r="ZA269" s="3"/>
      <c r="ZB269" s="3"/>
      <c r="ZC269" s="3"/>
      <c r="ZD269" s="3"/>
      <c r="ZE269" s="3"/>
      <c r="ZF269" s="3"/>
      <c r="ZG269" s="3"/>
      <c r="ZH269" s="3"/>
      <c r="ZI269" s="3"/>
      <c r="ZJ269" s="3"/>
      <c r="ZK269" s="3"/>
      <c r="ZL269" s="3"/>
      <c r="ZM269" s="3"/>
      <c r="ZN269" s="3"/>
      <c r="ZO269" s="3"/>
      <c r="ZP269" s="3"/>
      <c r="ZQ269" s="3"/>
      <c r="ZR269" s="3"/>
      <c r="ZS269" s="3"/>
      <c r="ZT269" s="3"/>
      <c r="ZU269" s="3"/>
      <c r="ZV269" s="3"/>
      <c r="ZW269" s="3"/>
      <c r="ZX269" s="3"/>
      <c r="ZY269" s="3"/>
      <c r="ZZ269" s="3"/>
      <c r="AAA269" s="3"/>
      <c r="AAB269" s="3"/>
      <c r="AAC269" s="3"/>
      <c r="AAD269" s="3"/>
      <c r="AAE269" s="3"/>
      <c r="AAF269" s="3"/>
      <c r="AAG269" s="3"/>
      <c r="AAH269" s="3"/>
      <c r="AAI269" s="3"/>
      <c r="AAJ269" s="3"/>
      <c r="AAK269" s="3"/>
      <c r="AAL269" s="3"/>
      <c r="AAM269" s="3"/>
      <c r="AAN269" s="3"/>
      <c r="AAO269" s="3"/>
      <c r="AAP269" s="3"/>
      <c r="AAQ269" s="3"/>
      <c r="AAR269" s="3"/>
      <c r="AAS269" s="3"/>
      <c r="AAT269" s="3"/>
      <c r="AAU269" s="3"/>
      <c r="AAV269" s="3"/>
      <c r="AAW269" s="3"/>
      <c r="AAX269" s="3"/>
      <c r="AAY269" s="3"/>
      <c r="AAZ269" s="3"/>
      <c r="ABA269" s="3"/>
      <c r="ABB269" s="3"/>
      <c r="ABC269" s="3"/>
      <c r="ABD269" s="3"/>
      <c r="ABE269" s="3"/>
      <c r="ABF269" s="3"/>
      <c r="ABG269" s="3"/>
      <c r="ABH269" s="3"/>
      <c r="ABI269" s="3"/>
      <c r="ABJ269" s="3"/>
      <c r="ABK269" s="3"/>
      <c r="ABL269" s="3"/>
      <c r="ABM269" s="3"/>
      <c r="ABN269" s="3"/>
      <c r="ABO269" s="3"/>
      <c r="ABP269" s="3"/>
      <c r="ABQ269" s="3"/>
      <c r="ABR269" s="3"/>
      <c r="ABS269" s="3"/>
      <c r="ABT269" s="3"/>
      <c r="ABU269" s="3"/>
      <c r="ABV269" s="3"/>
      <c r="ABW269" s="3"/>
      <c r="ABX269" s="3"/>
      <c r="ABY269" s="3"/>
      <c r="ABZ269" s="3"/>
      <c r="ACA269" s="3"/>
      <c r="ACB269" s="3"/>
      <c r="ACC269" s="3"/>
      <c r="ACD269" s="3"/>
      <c r="ACE269" s="3"/>
      <c r="ACF269" s="3"/>
      <c r="ACG269" s="3"/>
      <c r="ACH269" s="3"/>
      <c r="ACI269" s="3"/>
      <c r="ACJ269" s="3"/>
      <c r="ACK269" s="3"/>
      <c r="ACL269" s="3"/>
      <c r="ACM269" s="3"/>
      <c r="ACN269" s="3"/>
      <c r="ACO269" s="3"/>
      <c r="ACP269" s="3"/>
      <c r="ACQ269" s="3"/>
      <c r="ACR269" s="3"/>
      <c r="ACS269" s="3"/>
      <c r="ACT269" s="3"/>
      <c r="ACU269" s="3"/>
      <c r="ACV269" s="3"/>
      <c r="ACW269" s="3"/>
      <c r="ACX269" s="3"/>
      <c r="ACY269" s="3"/>
      <c r="ACZ269" s="3"/>
      <c r="ADA269" s="3"/>
      <c r="ADB269" s="3"/>
      <c r="ADC269" s="3"/>
      <c r="ADD269" s="3"/>
      <c r="ADE269" s="3"/>
      <c r="ADF269" s="3"/>
      <c r="ADG269" s="3"/>
      <c r="ADH269" s="3"/>
      <c r="ADI269" s="3"/>
      <c r="ADJ269" s="3"/>
      <c r="ADK269" s="3"/>
      <c r="ADL269" s="3"/>
      <c r="ADM269" s="3"/>
      <c r="ADN269" s="3"/>
      <c r="ADO269" s="3"/>
      <c r="ADP269" s="3"/>
      <c r="ADQ269" s="3"/>
      <c r="ADR269" s="3"/>
      <c r="ADS269" s="3"/>
      <c r="ADT269" s="3"/>
      <c r="ADU269" s="3"/>
      <c r="ADV269" s="3"/>
      <c r="ADW269" s="3"/>
      <c r="ADX269" s="3"/>
      <c r="ADY269" s="3"/>
      <c r="ADZ269" s="3"/>
      <c r="AEA269" s="3"/>
      <c r="AEB269" s="3"/>
      <c r="AEC269" s="3"/>
      <c r="AED269" s="3"/>
      <c r="AEE269" s="3"/>
      <c r="AEF269" s="3"/>
      <c r="AEG269" s="3"/>
      <c r="AEH269" s="3"/>
      <c r="AEI269" s="3"/>
      <c r="AEJ269" s="3"/>
      <c r="AEK269" s="3"/>
      <c r="AEL269" s="3"/>
      <c r="AEM269" s="3"/>
      <c r="AEN269" s="3"/>
      <c r="AEO269" s="3"/>
      <c r="AEP269" s="3"/>
      <c r="AEQ269" s="3"/>
      <c r="AER269" s="3"/>
      <c r="AES269" s="3"/>
      <c r="AET269" s="3"/>
      <c r="AEU269" s="3"/>
      <c r="AEV269" s="3"/>
      <c r="AEW269" s="3"/>
      <c r="AEX269" s="3"/>
      <c r="AEY269" s="3"/>
      <c r="AEZ269" s="3"/>
      <c r="AFA269" s="3"/>
      <c r="AFB269" s="3"/>
      <c r="AFC269" s="3"/>
      <c r="AFD269" s="3"/>
      <c r="AFE269" s="3"/>
      <c r="AFF269" s="3"/>
      <c r="AFG269" s="3"/>
      <c r="AFH269" s="3"/>
      <c r="AFI269" s="3"/>
      <c r="AFJ269" s="3"/>
      <c r="AFK269" s="3"/>
      <c r="AFL269" s="3"/>
      <c r="AFM269" s="3"/>
      <c r="AFN269" s="3"/>
      <c r="AFO269" s="3"/>
      <c r="AFP269" s="3"/>
      <c r="AFQ269" s="3"/>
      <c r="AFR269" s="3"/>
      <c r="AFS269" s="3"/>
      <c r="AFT269" s="3"/>
      <c r="AFU269" s="3"/>
      <c r="AFV269" s="3"/>
      <c r="AFW269" s="3"/>
      <c r="AFX269" s="3"/>
      <c r="AFY269" s="3"/>
      <c r="AFZ269" s="3"/>
      <c r="AGA269" s="3"/>
      <c r="AGB269" s="3"/>
      <c r="AGC269" s="3"/>
      <c r="AGD269" s="3"/>
      <c r="AGE269" s="3"/>
      <c r="AGF269" s="3"/>
      <c r="AGG269" s="3"/>
      <c r="AGH269" s="3"/>
      <c r="AGI269" s="3"/>
      <c r="AGJ269" s="3"/>
      <c r="AGK269" s="3"/>
      <c r="AGL269" s="3"/>
      <c r="AGM269" s="3"/>
      <c r="AGN269" s="3"/>
      <c r="AGO269" s="3"/>
      <c r="AGP269" s="3"/>
      <c r="AGQ269" s="3"/>
      <c r="AGR269" s="3"/>
      <c r="AGS269" s="3"/>
      <c r="AGT269" s="3"/>
      <c r="AGU269" s="3"/>
      <c r="AGV269" s="3"/>
      <c r="AGW269" s="3"/>
      <c r="AGX269" s="3"/>
      <c r="AGY269" s="3"/>
      <c r="AGZ269" s="3"/>
      <c r="AHA269" s="3"/>
      <c r="AHB269" s="3"/>
      <c r="AHC269" s="3"/>
      <c r="AHD269" s="3"/>
      <c r="AHE269" s="3"/>
      <c r="AHF269" s="3"/>
      <c r="AHG269" s="3"/>
      <c r="AHH269" s="3"/>
      <c r="AHI269" s="3"/>
      <c r="AHJ269" s="3"/>
      <c r="AHK269" s="3"/>
      <c r="AHL269" s="3"/>
      <c r="AHM269" s="3"/>
      <c r="AHN269" s="3"/>
      <c r="AHO269" s="3"/>
      <c r="AHP269" s="3"/>
      <c r="AHQ269" s="3"/>
      <c r="AHR269" s="3"/>
      <c r="AHS269" s="3"/>
      <c r="AHT269" s="3"/>
      <c r="AHU269" s="3"/>
      <c r="AHV269" s="3"/>
      <c r="AHW269" s="3"/>
      <c r="AHX269" s="3"/>
      <c r="AHY269" s="3"/>
      <c r="AHZ269" s="3"/>
      <c r="AIA269" s="3"/>
      <c r="AIB269" s="3"/>
      <c r="AIC269" s="3"/>
      <c r="AID269" s="3"/>
      <c r="AIE269" s="3"/>
      <c r="AIF269" s="3"/>
      <c r="AIG269" s="3"/>
      <c r="AIH269" s="3"/>
      <c r="AII269" s="3"/>
      <c r="AIJ269" s="3"/>
      <c r="AIK269" s="3"/>
      <c r="AIL269" s="3"/>
      <c r="AIM269" s="3"/>
      <c r="AIN269" s="3"/>
      <c r="AIO269" s="3"/>
      <c r="AIP269" s="3"/>
      <c r="AIQ269" s="3"/>
      <c r="AIR269" s="3"/>
      <c r="AIS269" s="3"/>
      <c r="AIT269" s="3"/>
      <c r="AIU269" s="3"/>
      <c r="AIV269" s="3"/>
      <c r="AIW269" s="3"/>
      <c r="AIX269" s="3"/>
      <c r="AIY269" s="3"/>
      <c r="AIZ269" s="3"/>
      <c r="AJA269" s="3"/>
      <c r="AJB269" s="3"/>
      <c r="AJC269" s="3"/>
      <c r="AJD269" s="3"/>
      <c r="AJE269" s="3"/>
      <c r="AJF269" s="3"/>
      <c r="AJG269" s="3"/>
      <c r="AJH269" s="3"/>
      <c r="AJI269" s="3"/>
      <c r="AJJ269" s="3"/>
      <c r="AJK269" s="3"/>
      <c r="AJL269" s="3"/>
      <c r="AJM269" s="3"/>
      <c r="AJN269" s="3"/>
      <c r="AJO269" s="3"/>
      <c r="AJP269" s="3"/>
      <c r="AJQ269" s="3"/>
      <c r="AJR269" s="3"/>
      <c r="AJS269" s="3"/>
      <c r="AJT269" s="3"/>
      <c r="AJU269" s="3"/>
      <c r="AJV269" s="3"/>
      <c r="AJW269" s="3"/>
      <c r="AJX269" s="3"/>
      <c r="AJY269" s="3"/>
      <c r="AJZ269" s="3"/>
      <c r="AKA269" s="3"/>
      <c r="AKB269" s="3"/>
      <c r="AKC269" s="3"/>
      <c r="AKD269" s="3"/>
      <c r="AKE269" s="3"/>
      <c r="AKF269" s="3"/>
      <c r="AKG269" s="3"/>
      <c r="AKH269" s="3"/>
      <c r="AKI269" s="3"/>
      <c r="AKJ269" s="3"/>
      <c r="AKK269" s="3"/>
      <c r="AKL269" s="3"/>
      <c r="AKM269" s="3"/>
      <c r="AKN269" s="3"/>
      <c r="AKO269" s="3"/>
      <c r="AKP269" s="3"/>
      <c r="AKQ269" s="3"/>
      <c r="AKR269" s="3"/>
      <c r="AKS269" s="3"/>
      <c r="AKT269" s="3"/>
      <c r="AKU269" s="3"/>
      <c r="AKV269" s="3"/>
      <c r="AKW269" s="3"/>
      <c r="AKX269" s="3"/>
      <c r="AKY269" s="3"/>
      <c r="AKZ269" s="3"/>
      <c r="ALA269" s="3"/>
      <c r="ALB269" s="3"/>
      <c r="ALC269" s="3"/>
      <c r="ALD269" s="3"/>
      <c r="ALE269" s="3"/>
      <c r="ALF269" s="3"/>
      <c r="ALG269" s="3"/>
      <c r="ALH269" s="3"/>
      <c r="ALI269" s="3"/>
      <c r="ALJ269" s="3"/>
      <c r="ALK269" s="3"/>
      <c r="ALL269" s="3"/>
      <c r="ALM269" s="3"/>
      <c r="ALN269" s="3"/>
      <c r="ALO269" s="3"/>
      <c r="ALP269" s="3"/>
      <c r="ALQ269" s="3"/>
      <c r="ALR269" s="3"/>
      <c r="ALS269" s="3"/>
      <c r="ALT269" s="3"/>
      <c r="ALU269" s="3"/>
      <c r="ALV269" s="3"/>
      <c r="ALW269" s="3"/>
      <c r="ALX269" s="3"/>
      <c r="ALY269" s="3"/>
      <c r="ALZ269" s="3"/>
      <c r="AMA269" s="3"/>
      <c r="AMB269" s="3"/>
      <c r="AMC269" s="3"/>
      <c r="AMD269" s="3"/>
      <c r="AME269" s="3"/>
      <c r="AMF269" s="3"/>
      <c r="AMG269" s="3"/>
      <c r="AMH269" s="3"/>
      <c r="AMI269" s="3"/>
      <c r="AMJ269" s="3"/>
      <c r="AMK269" s="3"/>
      <c r="AML269" s="3"/>
      <c r="AMM269" s="3"/>
    </row>
    <row r="270" spans="1:1027" ht="15" customHeight="1">
      <c r="A270" s="12">
        <v>902</v>
      </c>
      <c r="B270" s="13" t="s">
        <v>482</v>
      </c>
      <c r="C270" s="14"/>
      <c r="D270" s="14" t="s">
        <v>481</v>
      </c>
      <c r="E270" s="14" t="s">
        <v>36</v>
      </c>
      <c r="F270" s="15" t="s">
        <v>22</v>
      </c>
      <c r="G270" s="21"/>
      <c r="H270" s="58">
        <v>2</v>
      </c>
      <c r="I270" s="14"/>
      <c r="J270" s="14" t="s">
        <v>23</v>
      </c>
      <c r="K270" s="14"/>
      <c r="L270" s="14"/>
      <c r="M270" s="14" t="s">
        <v>29</v>
      </c>
      <c r="N270" s="25" t="s">
        <v>289</v>
      </c>
      <c r="O270" s="14" t="s">
        <v>483</v>
      </c>
      <c r="P270" s="14"/>
      <c r="Q270" s="14"/>
      <c r="R270" s="14" t="s">
        <v>158</v>
      </c>
    </row>
    <row r="271" spans="1:1027" ht="15" customHeight="1">
      <c r="A271" s="12">
        <v>1691</v>
      </c>
      <c r="B271" s="13" t="s">
        <v>484</v>
      </c>
      <c r="C271" s="14"/>
      <c r="D271" s="14" t="s">
        <v>481</v>
      </c>
      <c r="E271" s="14" t="s">
        <v>36</v>
      </c>
      <c r="F271" s="15" t="s">
        <v>22</v>
      </c>
      <c r="G271" s="14"/>
      <c r="H271" s="58">
        <v>2</v>
      </c>
      <c r="I271" s="14"/>
      <c r="J271" s="14" t="s">
        <v>23</v>
      </c>
      <c r="K271" s="14"/>
      <c r="L271" s="14"/>
      <c r="M271" s="14" t="s">
        <v>32</v>
      </c>
      <c r="N271" s="25" t="s">
        <v>37</v>
      </c>
      <c r="O271" s="14" t="s">
        <v>485</v>
      </c>
      <c r="P271" s="18"/>
      <c r="Q271" s="14"/>
      <c r="R271" s="14" t="s">
        <v>308</v>
      </c>
    </row>
    <row r="272" spans="1:1027" ht="15" customHeight="1">
      <c r="A272" s="12">
        <v>126</v>
      </c>
      <c r="B272" s="13" t="s">
        <v>486</v>
      </c>
      <c r="C272" s="14"/>
      <c r="D272" s="14" t="s">
        <v>487</v>
      </c>
      <c r="E272" s="14" t="s">
        <v>36</v>
      </c>
      <c r="F272" s="15" t="s">
        <v>22</v>
      </c>
      <c r="G272" s="14"/>
      <c r="H272" s="58"/>
      <c r="I272" s="19"/>
      <c r="J272" s="14" t="s">
        <v>23</v>
      </c>
      <c r="K272" s="15"/>
      <c r="L272" s="15"/>
      <c r="M272" s="14" t="s">
        <v>27</v>
      </c>
      <c r="N272" s="25" t="s">
        <v>37</v>
      </c>
      <c r="O272" s="22" t="s">
        <v>189</v>
      </c>
      <c r="P272" s="22"/>
      <c r="Q272" s="22"/>
      <c r="R272" s="17">
        <v>43633</v>
      </c>
      <c r="S272" s="2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WZ272" s="3"/>
      <c r="XA272" s="3"/>
      <c r="XB272" s="3"/>
      <c r="XC272" s="3"/>
      <c r="XD272" s="3"/>
      <c r="XE272" s="3"/>
      <c r="XF272" s="3"/>
      <c r="XG272" s="3"/>
      <c r="XH272" s="3"/>
      <c r="XI272" s="3"/>
      <c r="XJ272" s="3"/>
      <c r="XK272" s="3"/>
      <c r="XL272" s="3"/>
      <c r="XM272" s="3"/>
      <c r="XN272" s="3"/>
      <c r="XO272" s="3"/>
      <c r="XP272" s="3"/>
      <c r="XQ272" s="3"/>
      <c r="XR272" s="3"/>
      <c r="XS272" s="3"/>
      <c r="XT272" s="3"/>
      <c r="XU272" s="3"/>
      <c r="XV272" s="3"/>
      <c r="XW272" s="3"/>
      <c r="XX272" s="3"/>
      <c r="XY272" s="3"/>
      <c r="XZ272" s="3"/>
      <c r="YA272" s="3"/>
      <c r="YB272" s="3"/>
      <c r="YC272" s="3"/>
      <c r="YD272" s="3"/>
      <c r="YE272" s="3"/>
      <c r="YF272" s="3"/>
      <c r="YG272" s="3"/>
      <c r="YH272" s="3"/>
      <c r="YI272" s="3"/>
      <c r="YJ272" s="3"/>
      <c r="YK272" s="3"/>
      <c r="YL272" s="3"/>
      <c r="YM272" s="3"/>
      <c r="YN272" s="3"/>
      <c r="YO272" s="3"/>
      <c r="YP272" s="3"/>
      <c r="YQ272" s="3"/>
      <c r="YR272" s="3"/>
      <c r="YS272" s="3"/>
      <c r="YT272" s="3"/>
      <c r="YU272" s="3"/>
      <c r="YV272" s="3"/>
      <c r="YW272" s="3"/>
      <c r="YX272" s="3"/>
      <c r="YY272" s="3"/>
      <c r="YZ272" s="3"/>
      <c r="ZA272" s="3"/>
      <c r="ZB272" s="3"/>
      <c r="ZC272" s="3"/>
      <c r="ZD272" s="3"/>
      <c r="ZE272" s="3"/>
      <c r="ZF272" s="3"/>
      <c r="ZG272" s="3"/>
      <c r="ZH272" s="3"/>
      <c r="ZI272" s="3"/>
      <c r="ZJ272" s="3"/>
      <c r="ZK272" s="3"/>
      <c r="ZL272" s="3"/>
      <c r="ZM272" s="3"/>
      <c r="ZN272" s="3"/>
      <c r="ZO272" s="3"/>
      <c r="ZP272" s="3"/>
      <c r="ZQ272" s="3"/>
      <c r="ZR272" s="3"/>
      <c r="ZS272" s="3"/>
      <c r="ZT272" s="3"/>
      <c r="ZU272" s="3"/>
      <c r="ZV272" s="3"/>
      <c r="ZW272" s="3"/>
      <c r="ZX272" s="3"/>
      <c r="ZY272" s="3"/>
      <c r="ZZ272" s="3"/>
      <c r="AAA272" s="3"/>
      <c r="AAB272" s="3"/>
      <c r="AAC272" s="3"/>
      <c r="AAD272" s="3"/>
      <c r="AAE272" s="3"/>
      <c r="AAF272" s="3"/>
      <c r="AAG272" s="3"/>
      <c r="AAH272" s="3"/>
      <c r="AAI272" s="3"/>
      <c r="AAJ272" s="3"/>
      <c r="AAK272" s="3"/>
      <c r="AAL272" s="3"/>
      <c r="AAM272" s="3"/>
      <c r="AAN272" s="3"/>
      <c r="AAO272" s="3"/>
      <c r="AAP272" s="3"/>
      <c r="AAQ272" s="3"/>
      <c r="AAR272" s="3"/>
      <c r="AAS272" s="3"/>
      <c r="AAT272" s="3"/>
      <c r="AAU272" s="3"/>
      <c r="AAV272" s="3"/>
      <c r="AAW272" s="3"/>
      <c r="AAX272" s="3"/>
      <c r="AAY272" s="3"/>
      <c r="AAZ272" s="3"/>
      <c r="ABA272" s="3"/>
      <c r="ABB272" s="3"/>
      <c r="ABC272" s="3"/>
      <c r="ABD272" s="3"/>
      <c r="ABE272" s="3"/>
      <c r="ABF272" s="3"/>
      <c r="ABG272" s="3"/>
      <c r="ABH272" s="3"/>
      <c r="ABI272" s="3"/>
      <c r="ABJ272" s="3"/>
      <c r="ABK272" s="3"/>
      <c r="ABL272" s="3"/>
      <c r="ABM272" s="3"/>
      <c r="ABN272" s="3"/>
      <c r="ABO272" s="3"/>
      <c r="ABP272" s="3"/>
      <c r="ABQ272" s="3"/>
      <c r="ABR272" s="3"/>
      <c r="ABS272" s="3"/>
      <c r="ABT272" s="3"/>
      <c r="ABU272" s="3"/>
      <c r="ABV272" s="3"/>
      <c r="ABW272" s="3"/>
      <c r="ABX272" s="3"/>
      <c r="ABY272" s="3"/>
      <c r="ABZ272" s="3"/>
      <c r="ACA272" s="3"/>
      <c r="ACB272" s="3"/>
      <c r="ACC272" s="3"/>
      <c r="ACD272" s="3"/>
      <c r="ACE272" s="3"/>
      <c r="ACF272" s="3"/>
      <c r="ACG272" s="3"/>
      <c r="ACH272" s="3"/>
      <c r="ACI272" s="3"/>
      <c r="ACJ272" s="3"/>
      <c r="ACK272" s="3"/>
      <c r="ACL272" s="3"/>
      <c r="ACM272" s="3"/>
      <c r="ACN272" s="3"/>
      <c r="ACO272" s="3"/>
      <c r="ACP272" s="3"/>
      <c r="ACQ272" s="3"/>
      <c r="ACR272" s="3"/>
      <c r="ACS272" s="3"/>
      <c r="ACT272" s="3"/>
      <c r="ACU272" s="3"/>
      <c r="ACV272" s="3"/>
      <c r="ACW272" s="3"/>
      <c r="ACX272" s="3"/>
      <c r="ACY272" s="3"/>
      <c r="ACZ272" s="3"/>
      <c r="ADA272" s="3"/>
      <c r="ADB272" s="3"/>
      <c r="ADC272" s="3"/>
      <c r="ADD272" s="3"/>
      <c r="ADE272" s="3"/>
      <c r="ADF272" s="3"/>
      <c r="ADG272" s="3"/>
      <c r="ADH272" s="3"/>
      <c r="ADI272" s="3"/>
      <c r="ADJ272" s="3"/>
      <c r="ADK272" s="3"/>
      <c r="ADL272" s="3"/>
      <c r="ADM272" s="3"/>
      <c r="ADN272" s="3"/>
      <c r="ADO272" s="3"/>
      <c r="ADP272" s="3"/>
      <c r="ADQ272" s="3"/>
      <c r="ADR272" s="3"/>
      <c r="ADS272" s="3"/>
      <c r="ADT272" s="3"/>
      <c r="ADU272" s="3"/>
      <c r="ADV272" s="3"/>
      <c r="ADW272" s="3"/>
      <c r="ADX272" s="3"/>
      <c r="ADY272" s="3"/>
      <c r="ADZ272" s="3"/>
      <c r="AEA272" s="3"/>
      <c r="AEB272" s="3"/>
      <c r="AEC272" s="3"/>
      <c r="AED272" s="3"/>
      <c r="AEE272" s="3"/>
      <c r="AEF272" s="3"/>
      <c r="AEG272" s="3"/>
      <c r="AEH272" s="3"/>
      <c r="AEI272" s="3"/>
      <c r="AEJ272" s="3"/>
      <c r="AEK272" s="3"/>
      <c r="AEL272" s="3"/>
      <c r="AEM272" s="3"/>
      <c r="AEN272" s="3"/>
      <c r="AEO272" s="3"/>
      <c r="AEP272" s="3"/>
      <c r="AEQ272" s="3"/>
      <c r="AER272" s="3"/>
      <c r="AES272" s="3"/>
      <c r="AET272" s="3"/>
      <c r="AEU272" s="3"/>
      <c r="AEV272" s="3"/>
      <c r="AEW272" s="3"/>
      <c r="AEX272" s="3"/>
      <c r="AEY272" s="3"/>
      <c r="AEZ272" s="3"/>
      <c r="AFA272" s="3"/>
      <c r="AFB272" s="3"/>
      <c r="AFC272" s="3"/>
      <c r="AFD272" s="3"/>
      <c r="AFE272" s="3"/>
      <c r="AFF272" s="3"/>
      <c r="AFG272" s="3"/>
      <c r="AFH272" s="3"/>
      <c r="AFI272" s="3"/>
      <c r="AFJ272" s="3"/>
      <c r="AFK272" s="3"/>
      <c r="AFL272" s="3"/>
      <c r="AFM272" s="3"/>
      <c r="AFN272" s="3"/>
      <c r="AFO272" s="3"/>
      <c r="AFP272" s="3"/>
      <c r="AFQ272" s="3"/>
      <c r="AFR272" s="3"/>
      <c r="AFS272" s="3"/>
      <c r="AFT272" s="3"/>
      <c r="AFU272" s="3"/>
      <c r="AFV272" s="3"/>
      <c r="AFW272" s="3"/>
      <c r="AFX272" s="3"/>
      <c r="AFY272" s="3"/>
      <c r="AFZ272" s="3"/>
      <c r="AGA272" s="3"/>
      <c r="AGB272" s="3"/>
      <c r="AGC272" s="3"/>
      <c r="AGD272" s="3"/>
      <c r="AGE272" s="3"/>
      <c r="AGF272" s="3"/>
      <c r="AGG272" s="3"/>
      <c r="AGH272" s="3"/>
      <c r="AGI272" s="3"/>
      <c r="AGJ272" s="3"/>
      <c r="AGK272" s="3"/>
      <c r="AGL272" s="3"/>
      <c r="AGM272" s="3"/>
      <c r="AGN272" s="3"/>
      <c r="AGO272" s="3"/>
      <c r="AGP272" s="3"/>
      <c r="AGQ272" s="3"/>
      <c r="AGR272" s="3"/>
      <c r="AGS272" s="3"/>
      <c r="AGT272" s="3"/>
      <c r="AGU272" s="3"/>
      <c r="AGV272" s="3"/>
      <c r="AGW272" s="3"/>
      <c r="AGX272" s="3"/>
      <c r="AGY272" s="3"/>
      <c r="AGZ272" s="3"/>
      <c r="AHA272" s="3"/>
      <c r="AHB272" s="3"/>
      <c r="AHC272" s="3"/>
      <c r="AHD272" s="3"/>
      <c r="AHE272" s="3"/>
      <c r="AHF272" s="3"/>
      <c r="AHG272" s="3"/>
      <c r="AHH272" s="3"/>
      <c r="AHI272" s="3"/>
      <c r="AHJ272" s="3"/>
      <c r="AHK272" s="3"/>
      <c r="AHL272" s="3"/>
      <c r="AHM272" s="3"/>
      <c r="AHN272" s="3"/>
      <c r="AHO272" s="3"/>
      <c r="AHP272" s="3"/>
      <c r="AHQ272" s="3"/>
      <c r="AHR272" s="3"/>
      <c r="AHS272" s="3"/>
      <c r="AHT272" s="3"/>
      <c r="AHU272" s="3"/>
      <c r="AHV272" s="3"/>
      <c r="AHW272" s="3"/>
      <c r="AHX272" s="3"/>
      <c r="AHY272" s="3"/>
      <c r="AHZ272" s="3"/>
      <c r="AIA272" s="3"/>
      <c r="AIB272" s="3"/>
      <c r="AIC272" s="3"/>
      <c r="AID272" s="3"/>
      <c r="AIE272" s="3"/>
      <c r="AIF272" s="3"/>
      <c r="AIG272" s="3"/>
      <c r="AIH272" s="3"/>
      <c r="AII272" s="3"/>
      <c r="AIJ272" s="3"/>
      <c r="AIK272" s="3"/>
      <c r="AIL272" s="3"/>
      <c r="AIM272" s="3"/>
      <c r="AIN272" s="3"/>
      <c r="AIO272" s="3"/>
      <c r="AIP272" s="3"/>
      <c r="AIQ272" s="3"/>
      <c r="AIR272" s="3"/>
      <c r="AIS272" s="3"/>
      <c r="AIT272" s="3"/>
      <c r="AIU272" s="3"/>
      <c r="AIV272" s="3"/>
      <c r="AIW272" s="3"/>
      <c r="AIX272" s="3"/>
      <c r="AIY272" s="3"/>
      <c r="AIZ272" s="3"/>
      <c r="AJA272" s="3"/>
      <c r="AJB272" s="3"/>
      <c r="AJC272" s="3"/>
      <c r="AJD272" s="3"/>
      <c r="AJE272" s="3"/>
      <c r="AJF272" s="3"/>
      <c r="AJG272" s="3"/>
      <c r="AJH272" s="3"/>
      <c r="AJI272" s="3"/>
      <c r="AJJ272" s="3"/>
      <c r="AJK272" s="3"/>
      <c r="AJL272" s="3"/>
      <c r="AJM272" s="3"/>
      <c r="AJN272" s="3"/>
      <c r="AJO272" s="3"/>
      <c r="AJP272" s="3"/>
      <c r="AJQ272" s="3"/>
      <c r="AJR272" s="3"/>
      <c r="AJS272" s="3"/>
      <c r="AJT272" s="3"/>
      <c r="AJU272" s="3"/>
      <c r="AJV272" s="3"/>
      <c r="AJW272" s="3"/>
      <c r="AJX272" s="3"/>
      <c r="AJY272" s="3"/>
      <c r="AJZ272" s="3"/>
      <c r="AKA272" s="3"/>
      <c r="AKB272" s="3"/>
      <c r="AKC272" s="3"/>
      <c r="AKD272" s="3"/>
      <c r="AKE272" s="3"/>
      <c r="AKF272" s="3"/>
      <c r="AKG272" s="3"/>
      <c r="AKH272" s="3"/>
      <c r="AKI272" s="3"/>
      <c r="AKJ272" s="3"/>
      <c r="AKK272" s="3"/>
      <c r="AKL272" s="3"/>
      <c r="AKM272" s="3"/>
      <c r="AKN272" s="3"/>
      <c r="AKO272" s="3"/>
      <c r="AKP272" s="3"/>
      <c r="AKQ272" s="3"/>
      <c r="AKR272" s="3"/>
      <c r="AKS272" s="3"/>
      <c r="AKT272" s="3"/>
      <c r="AKU272" s="3"/>
      <c r="AKV272" s="3"/>
      <c r="AKW272" s="3"/>
      <c r="AKX272" s="3"/>
      <c r="AKY272" s="3"/>
      <c r="AKZ272" s="3"/>
      <c r="ALA272" s="3"/>
      <c r="ALB272" s="3"/>
      <c r="ALC272" s="3"/>
      <c r="ALD272" s="3"/>
      <c r="ALE272" s="3"/>
      <c r="ALF272" s="3"/>
      <c r="ALG272" s="3"/>
      <c r="ALH272" s="3"/>
      <c r="ALI272" s="3"/>
      <c r="ALJ272" s="3"/>
      <c r="ALK272" s="3"/>
      <c r="ALL272" s="3"/>
      <c r="ALM272" s="3"/>
      <c r="ALN272" s="3"/>
      <c r="ALO272" s="3"/>
      <c r="ALP272" s="3"/>
      <c r="ALQ272" s="3"/>
      <c r="ALR272" s="3"/>
      <c r="ALS272" s="3"/>
      <c r="ALT272" s="3"/>
      <c r="ALU272" s="3"/>
      <c r="ALV272" s="3"/>
      <c r="ALW272" s="3"/>
      <c r="ALX272" s="3"/>
      <c r="ALY272" s="3"/>
      <c r="ALZ272" s="3"/>
      <c r="AMA272" s="3"/>
      <c r="AMB272" s="3"/>
      <c r="AMC272" s="3"/>
      <c r="AMD272" s="3"/>
      <c r="AME272" s="3"/>
      <c r="AMF272" s="3"/>
      <c r="AMG272" s="3"/>
      <c r="AMH272" s="3"/>
      <c r="AMI272" s="3"/>
      <c r="AMJ272" s="3"/>
      <c r="AMK272" s="3"/>
      <c r="AML272" s="3"/>
      <c r="AMM272" s="3"/>
    </row>
    <row r="273" spans="1:1027" ht="15" customHeight="1">
      <c r="A273" s="12">
        <v>903</v>
      </c>
      <c r="B273" s="13" t="s">
        <v>488</v>
      </c>
      <c r="C273" s="14"/>
      <c r="D273" s="14" t="s">
        <v>487</v>
      </c>
      <c r="E273" s="14" t="s">
        <v>36</v>
      </c>
      <c r="F273" s="15" t="s">
        <v>22</v>
      </c>
      <c r="G273" s="21"/>
      <c r="H273" s="58">
        <v>2</v>
      </c>
      <c r="I273" s="14"/>
      <c r="J273" s="14" t="s">
        <v>23</v>
      </c>
      <c r="K273" s="14"/>
      <c r="L273" s="14"/>
      <c r="M273" s="14" t="s">
        <v>29</v>
      </c>
      <c r="N273" s="25" t="s">
        <v>37</v>
      </c>
      <c r="O273" s="14" t="s">
        <v>306</v>
      </c>
      <c r="P273" s="14"/>
      <c r="Q273" s="14"/>
      <c r="R273" s="14" t="s">
        <v>158</v>
      </c>
    </row>
    <row r="274" spans="1:1027" ht="15" customHeight="1">
      <c r="A274" s="12">
        <v>1692</v>
      </c>
      <c r="B274" s="13" t="s">
        <v>489</v>
      </c>
      <c r="C274" s="14"/>
      <c r="D274" s="14" t="s">
        <v>487</v>
      </c>
      <c r="E274" s="14" t="s">
        <v>36</v>
      </c>
      <c r="F274" s="15" t="s">
        <v>22</v>
      </c>
      <c r="G274" s="16"/>
      <c r="H274" s="58">
        <v>3</v>
      </c>
      <c r="I274" s="14"/>
      <c r="J274" s="14" t="s">
        <v>23</v>
      </c>
      <c r="K274" s="14"/>
      <c r="L274" s="14"/>
      <c r="M274" s="14" t="s">
        <v>32</v>
      </c>
      <c r="N274" s="25" t="s">
        <v>37</v>
      </c>
      <c r="O274" s="14" t="s">
        <v>490</v>
      </c>
      <c r="P274" s="18"/>
      <c r="Q274" s="14"/>
      <c r="R274" s="14" t="s">
        <v>308</v>
      </c>
    </row>
    <row r="275" spans="1:1027" ht="15" customHeight="1">
      <c r="A275" s="12">
        <v>127</v>
      </c>
      <c r="B275" s="13" t="s">
        <v>491</v>
      </c>
      <c r="C275" s="14"/>
      <c r="D275" s="14" t="s">
        <v>492</v>
      </c>
      <c r="E275" s="14" t="s">
        <v>36</v>
      </c>
      <c r="F275" s="15" t="s">
        <v>22</v>
      </c>
      <c r="G275" s="14"/>
      <c r="H275" s="58"/>
      <c r="I275" s="19"/>
      <c r="J275" s="14" t="s">
        <v>23</v>
      </c>
      <c r="K275" s="15"/>
      <c r="L275" s="15"/>
      <c r="M275" s="14" t="s">
        <v>27</v>
      </c>
      <c r="N275" s="22" t="s">
        <v>25</v>
      </c>
      <c r="O275" s="22"/>
      <c r="P275" s="24"/>
      <c r="Q275" s="22"/>
      <c r="R275" s="17">
        <v>43633</v>
      </c>
      <c r="S275" s="2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  <c r="XX275" s="3"/>
      <c r="XY275" s="3"/>
      <c r="XZ275" s="3"/>
      <c r="YA275" s="3"/>
      <c r="YB275" s="3"/>
      <c r="YC275" s="3"/>
      <c r="YD275" s="3"/>
      <c r="YE275" s="3"/>
      <c r="YF275" s="3"/>
      <c r="YG275" s="3"/>
      <c r="YH275" s="3"/>
      <c r="YI275" s="3"/>
      <c r="YJ275" s="3"/>
      <c r="YK275" s="3"/>
      <c r="YL275" s="3"/>
      <c r="YM275" s="3"/>
      <c r="YN275" s="3"/>
      <c r="YO275" s="3"/>
      <c r="YP275" s="3"/>
      <c r="YQ275" s="3"/>
      <c r="YR275" s="3"/>
      <c r="YS275" s="3"/>
      <c r="YT275" s="3"/>
      <c r="YU275" s="3"/>
      <c r="YV275" s="3"/>
      <c r="YW275" s="3"/>
      <c r="YX275" s="3"/>
      <c r="YY275" s="3"/>
      <c r="YZ275" s="3"/>
      <c r="ZA275" s="3"/>
      <c r="ZB275" s="3"/>
      <c r="ZC275" s="3"/>
      <c r="ZD275" s="3"/>
      <c r="ZE275" s="3"/>
      <c r="ZF275" s="3"/>
      <c r="ZG275" s="3"/>
      <c r="ZH275" s="3"/>
      <c r="ZI275" s="3"/>
      <c r="ZJ275" s="3"/>
      <c r="ZK275" s="3"/>
      <c r="ZL275" s="3"/>
      <c r="ZM275" s="3"/>
      <c r="ZN275" s="3"/>
      <c r="ZO275" s="3"/>
      <c r="ZP275" s="3"/>
      <c r="ZQ275" s="3"/>
      <c r="ZR275" s="3"/>
      <c r="ZS275" s="3"/>
      <c r="ZT275" s="3"/>
      <c r="ZU275" s="3"/>
      <c r="ZV275" s="3"/>
      <c r="ZW275" s="3"/>
      <c r="ZX275" s="3"/>
      <c r="ZY275" s="3"/>
      <c r="ZZ275" s="3"/>
      <c r="AAA275" s="3"/>
      <c r="AAB275" s="3"/>
      <c r="AAC275" s="3"/>
      <c r="AAD275" s="3"/>
      <c r="AAE275" s="3"/>
      <c r="AAF275" s="3"/>
      <c r="AAG275" s="3"/>
      <c r="AAH275" s="3"/>
      <c r="AAI275" s="3"/>
      <c r="AAJ275" s="3"/>
      <c r="AAK275" s="3"/>
      <c r="AAL275" s="3"/>
      <c r="AAM275" s="3"/>
      <c r="AAN275" s="3"/>
      <c r="AAO275" s="3"/>
      <c r="AAP275" s="3"/>
      <c r="AAQ275" s="3"/>
      <c r="AAR275" s="3"/>
      <c r="AAS275" s="3"/>
      <c r="AAT275" s="3"/>
      <c r="AAU275" s="3"/>
      <c r="AAV275" s="3"/>
      <c r="AAW275" s="3"/>
      <c r="AAX275" s="3"/>
      <c r="AAY275" s="3"/>
      <c r="AAZ275" s="3"/>
      <c r="ABA275" s="3"/>
      <c r="ABB275" s="3"/>
      <c r="ABC275" s="3"/>
      <c r="ABD275" s="3"/>
      <c r="ABE275" s="3"/>
      <c r="ABF275" s="3"/>
      <c r="ABG275" s="3"/>
      <c r="ABH275" s="3"/>
      <c r="ABI275" s="3"/>
      <c r="ABJ275" s="3"/>
      <c r="ABK275" s="3"/>
      <c r="ABL275" s="3"/>
      <c r="ABM275" s="3"/>
      <c r="ABN275" s="3"/>
      <c r="ABO275" s="3"/>
      <c r="ABP275" s="3"/>
      <c r="ABQ275" s="3"/>
      <c r="ABR275" s="3"/>
      <c r="ABS275" s="3"/>
      <c r="ABT275" s="3"/>
      <c r="ABU275" s="3"/>
      <c r="ABV275" s="3"/>
      <c r="ABW275" s="3"/>
      <c r="ABX275" s="3"/>
      <c r="ABY275" s="3"/>
      <c r="ABZ275" s="3"/>
      <c r="ACA275" s="3"/>
      <c r="ACB275" s="3"/>
      <c r="ACC275" s="3"/>
      <c r="ACD275" s="3"/>
      <c r="ACE275" s="3"/>
      <c r="ACF275" s="3"/>
      <c r="ACG275" s="3"/>
      <c r="ACH275" s="3"/>
      <c r="ACI275" s="3"/>
      <c r="ACJ275" s="3"/>
      <c r="ACK275" s="3"/>
      <c r="ACL275" s="3"/>
      <c r="ACM275" s="3"/>
      <c r="ACN275" s="3"/>
      <c r="ACO275" s="3"/>
      <c r="ACP275" s="3"/>
      <c r="ACQ275" s="3"/>
      <c r="ACR275" s="3"/>
      <c r="ACS275" s="3"/>
      <c r="ACT275" s="3"/>
      <c r="ACU275" s="3"/>
      <c r="ACV275" s="3"/>
      <c r="ACW275" s="3"/>
      <c r="ACX275" s="3"/>
      <c r="ACY275" s="3"/>
      <c r="ACZ275" s="3"/>
      <c r="ADA275" s="3"/>
      <c r="ADB275" s="3"/>
      <c r="ADC275" s="3"/>
      <c r="ADD275" s="3"/>
      <c r="ADE275" s="3"/>
      <c r="ADF275" s="3"/>
      <c r="ADG275" s="3"/>
      <c r="ADH275" s="3"/>
      <c r="ADI275" s="3"/>
      <c r="ADJ275" s="3"/>
      <c r="ADK275" s="3"/>
      <c r="ADL275" s="3"/>
      <c r="ADM275" s="3"/>
      <c r="ADN275" s="3"/>
      <c r="ADO275" s="3"/>
      <c r="ADP275" s="3"/>
      <c r="ADQ275" s="3"/>
      <c r="ADR275" s="3"/>
      <c r="ADS275" s="3"/>
      <c r="ADT275" s="3"/>
      <c r="ADU275" s="3"/>
      <c r="ADV275" s="3"/>
      <c r="ADW275" s="3"/>
      <c r="ADX275" s="3"/>
      <c r="ADY275" s="3"/>
      <c r="ADZ275" s="3"/>
      <c r="AEA275" s="3"/>
      <c r="AEB275" s="3"/>
      <c r="AEC275" s="3"/>
      <c r="AED275" s="3"/>
      <c r="AEE275" s="3"/>
      <c r="AEF275" s="3"/>
      <c r="AEG275" s="3"/>
      <c r="AEH275" s="3"/>
      <c r="AEI275" s="3"/>
      <c r="AEJ275" s="3"/>
      <c r="AEK275" s="3"/>
      <c r="AEL275" s="3"/>
      <c r="AEM275" s="3"/>
      <c r="AEN275" s="3"/>
      <c r="AEO275" s="3"/>
      <c r="AEP275" s="3"/>
      <c r="AEQ275" s="3"/>
      <c r="AER275" s="3"/>
      <c r="AES275" s="3"/>
      <c r="AET275" s="3"/>
      <c r="AEU275" s="3"/>
      <c r="AEV275" s="3"/>
      <c r="AEW275" s="3"/>
      <c r="AEX275" s="3"/>
      <c r="AEY275" s="3"/>
      <c r="AEZ275" s="3"/>
      <c r="AFA275" s="3"/>
      <c r="AFB275" s="3"/>
      <c r="AFC275" s="3"/>
      <c r="AFD275" s="3"/>
      <c r="AFE275" s="3"/>
      <c r="AFF275" s="3"/>
      <c r="AFG275" s="3"/>
      <c r="AFH275" s="3"/>
      <c r="AFI275" s="3"/>
      <c r="AFJ275" s="3"/>
      <c r="AFK275" s="3"/>
      <c r="AFL275" s="3"/>
      <c r="AFM275" s="3"/>
      <c r="AFN275" s="3"/>
      <c r="AFO275" s="3"/>
      <c r="AFP275" s="3"/>
      <c r="AFQ275" s="3"/>
      <c r="AFR275" s="3"/>
      <c r="AFS275" s="3"/>
      <c r="AFT275" s="3"/>
      <c r="AFU275" s="3"/>
      <c r="AFV275" s="3"/>
      <c r="AFW275" s="3"/>
      <c r="AFX275" s="3"/>
      <c r="AFY275" s="3"/>
      <c r="AFZ275" s="3"/>
      <c r="AGA275" s="3"/>
      <c r="AGB275" s="3"/>
      <c r="AGC275" s="3"/>
      <c r="AGD275" s="3"/>
      <c r="AGE275" s="3"/>
      <c r="AGF275" s="3"/>
      <c r="AGG275" s="3"/>
      <c r="AGH275" s="3"/>
      <c r="AGI275" s="3"/>
      <c r="AGJ275" s="3"/>
      <c r="AGK275" s="3"/>
      <c r="AGL275" s="3"/>
      <c r="AGM275" s="3"/>
      <c r="AGN275" s="3"/>
      <c r="AGO275" s="3"/>
      <c r="AGP275" s="3"/>
      <c r="AGQ275" s="3"/>
      <c r="AGR275" s="3"/>
      <c r="AGS275" s="3"/>
      <c r="AGT275" s="3"/>
      <c r="AGU275" s="3"/>
      <c r="AGV275" s="3"/>
      <c r="AGW275" s="3"/>
      <c r="AGX275" s="3"/>
      <c r="AGY275" s="3"/>
      <c r="AGZ275" s="3"/>
      <c r="AHA275" s="3"/>
      <c r="AHB275" s="3"/>
      <c r="AHC275" s="3"/>
      <c r="AHD275" s="3"/>
      <c r="AHE275" s="3"/>
      <c r="AHF275" s="3"/>
      <c r="AHG275" s="3"/>
      <c r="AHH275" s="3"/>
      <c r="AHI275" s="3"/>
      <c r="AHJ275" s="3"/>
      <c r="AHK275" s="3"/>
      <c r="AHL275" s="3"/>
      <c r="AHM275" s="3"/>
      <c r="AHN275" s="3"/>
      <c r="AHO275" s="3"/>
      <c r="AHP275" s="3"/>
      <c r="AHQ275" s="3"/>
      <c r="AHR275" s="3"/>
      <c r="AHS275" s="3"/>
      <c r="AHT275" s="3"/>
      <c r="AHU275" s="3"/>
      <c r="AHV275" s="3"/>
      <c r="AHW275" s="3"/>
      <c r="AHX275" s="3"/>
      <c r="AHY275" s="3"/>
      <c r="AHZ275" s="3"/>
      <c r="AIA275" s="3"/>
      <c r="AIB275" s="3"/>
      <c r="AIC275" s="3"/>
      <c r="AID275" s="3"/>
      <c r="AIE275" s="3"/>
      <c r="AIF275" s="3"/>
      <c r="AIG275" s="3"/>
      <c r="AIH275" s="3"/>
      <c r="AII275" s="3"/>
      <c r="AIJ275" s="3"/>
      <c r="AIK275" s="3"/>
      <c r="AIL275" s="3"/>
      <c r="AIM275" s="3"/>
      <c r="AIN275" s="3"/>
      <c r="AIO275" s="3"/>
      <c r="AIP275" s="3"/>
      <c r="AIQ275" s="3"/>
      <c r="AIR275" s="3"/>
      <c r="AIS275" s="3"/>
      <c r="AIT275" s="3"/>
      <c r="AIU275" s="3"/>
      <c r="AIV275" s="3"/>
      <c r="AIW275" s="3"/>
      <c r="AIX275" s="3"/>
      <c r="AIY275" s="3"/>
      <c r="AIZ275" s="3"/>
      <c r="AJA275" s="3"/>
      <c r="AJB275" s="3"/>
      <c r="AJC275" s="3"/>
      <c r="AJD275" s="3"/>
      <c r="AJE275" s="3"/>
      <c r="AJF275" s="3"/>
      <c r="AJG275" s="3"/>
      <c r="AJH275" s="3"/>
      <c r="AJI275" s="3"/>
      <c r="AJJ275" s="3"/>
      <c r="AJK275" s="3"/>
      <c r="AJL275" s="3"/>
      <c r="AJM275" s="3"/>
      <c r="AJN275" s="3"/>
      <c r="AJO275" s="3"/>
      <c r="AJP275" s="3"/>
      <c r="AJQ275" s="3"/>
      <c r="AJR275" s="3"/>
      <c r="AJS275" s="3"/>
      <c r="AJT275" s="3"/>
      <c r="AJU275" s="3"/>
      <c r="AJV275" s="3"/>
      <c r="AJW275" s="3"/>
      <c r="AJX275" s="3"/>
      <c r="AJY275" s="3"/>
      <c r="AJZ275" s="3"/>
      <c r="AKA275" s="3"/>
      <c r="AKB275" s="3"/>
      <c r="AKC275" s="3"/>
      <c r="AKD275" s="3"/>
      <c r="AKE275" s="3"/>
      <c r="AKF275" s="3"/>
      <c r="AKG275" s="3"/>
      <c r="AKH275" s="3"/>
      <c r="AKI275" s="3"/>
      <c r="AKJ275" s="3"/>
      <c r="AKK275" s="3"/>
      <c r="AKL275" s="3"/>
      <c r="AKM275" s="3"/>
      <c r="AKN275" s="3"/>
      <c r="AKO275" s="3"/>
      <c r="AKP275" s="3"/>
      <c r="AKQ275" s="3"/>
      <c r="AKR275" s="3"/>
      <c r="AKS275" s="3"/>
      <c r="AKT275" s="3"/>
      <c r="AKU275" s="3"/>
      <c r="AKV275" s="3"/>
      <c r="AKW275" s="3"/>
      <c r="AKX275" s="3"/>
      <c r="AKY275" s="3"/>
      <c r="AKZ275" s="3"/>
      <c r="ALA275" s="3"/>
      <c r="ALB275" s="3"/>
      <c r="ALC275" s="3"/>
      <c r="ALD275" s="3"/>
      <c r="ALE275" s="3"/>
      <c r="ALF275" s="3"/>
      <c r="ALG275" s="3"/>
      <c r="ALH275" s="3"/>
      <c r="ALI275" s="3"/>
      <c r="ALJ275" s="3"/>
      <c r="ALK275" s="3"/>
      <c r="ALL275" s="3"/>
      <c r="ALM275" s="3"/>
      <c r="ALN275" s="3"/>
      <c r="ALO275" s="3"/>
      <c r="ALP275" s="3"/>
      <c r="ALQ275" s="3"/>
      <c r="ALR275" s="3"/>
      <c r="ALS275" s="3"/>
      <c r="ALT275" s="3"/>
      <c r="ALU275" s="3"/>
      <c r="ALV275" s="3"/>
      <c r="ALW275" s="3"/>
      <c r="ALX275" s="3"/>
      <c r="ALY275" s="3"/>
      <c r="ALZ275" s="3"/>
      <c r="AMA275" s="3"/>
      <c r="AMB275" s="3"/>
      <c r="AMC275" s="3"/>
      <c r="AMD275" s="3"/>
      <c r="AME275" s="3"/>
      <c r="AMF275" s="3"/>
      <c r="AMG275" s="3"/>
      <c r="AMH275" s="3"/>
      <c r="AMI275" s="3"/>
      <c r="AMJ275" s="3"/>
      <c r="AMK275" s="3"/>
      <c r="AML275" s="3"/>
      <c r="AMM275" s="3"/>
    </row>
    <row r="276" spans="1:1027" ht="15" customHeight="1">
      <c r="A276" s="12">
        <v>904</v>
      </c>
      <c r="B276" s="13" t="s">
        <v>493</v>
      </c>
      <c r="C276" s="14"/>
      <c r="D276" s="14" t="s">
        <v>492</v>
      </c>
      <c r="E276" s="14" t="s">
        <v>36</v>
      </c>
      <c r="F276" s="15" t="s">
        <v>22</v>
      </c>
      <c r="G276" s="21"/>
      <c r="H276" s="58"/>
      <c r="I276" s="14"/>
      <c r="J276" s="14" t="s">
        <v>23</v>
      </c>
      <c r="K276" s="14"/>
      <c r="L276" s="14"/>
      <c r="M276" s="14" t="s">
        <v>29</v>
      </c>
      <c r="N276" s="14" t="s">
        <v>25</v>
      </c>
      <c r="O276" s="14"/>
      <c r="P276" s="14"/>
      <c r="Q276" s="14"/>
      <c r="R276" s="14" t="s">
        <v>158</v>
      </c>
    </row>
    <row r="277" spans="1:1027" ht="15" customHeight="1">
      <c r="A277" s="12">
        <v>1693</v>
      </c>
      <c r="B277" s="13" t="s">
        <v>494</v>
      </c>
      <c r="C277" s="14"/>
      <c r="D277" s="14" t="s">
        <v>492</v>
      </c>
      <c r="E277" s="14" t="s">
        <v>36</v>
      </c>
      <c r="F277" s="15" t="s">
        <v>22</v>
      </c>
      <c r="G277" s="14"/>
      <c r="H277" s="58">
        <v>0</v>
      </c>
      <c r="I277" s="14"/>
      <c r="J277" s="14" t="s">
        <v>23</v>
      </c>
      <c r="K277" s="14"/>
      <c r="L277" s="14"/>
      <c r="M277" s="14" t="s">
        <v>32</v>
      </c>
      <c r="N277" s="14" t="s">
        <v>25</v>
      </c>
      <c r="O277" s="14"/>
      <c r="P277" s="18"/>
      <c r="Q277" s="14"/>
      <c r="R277" s="14" t="s">
        <v>308</v>
      </c>
    </row>
    <row r="278" spans="1:1027" ht="15" customHeight="1">
      <c r="A278" s="12">
        <v>128</v>
      </c>
      <c r="B278" s="13" t="s">
        <v>495</v>
      </c>
      <c r="C278" s="14"/>
      <c r="D278" s="14" t="s">
        <v>496</v>
      </c>
      <c r="E278" s="14" t="s">
        <v>497</v>
      </c>
      <c r="F278" s="15" t="s">
        <v>22</v>
      </c>
      <c r="G278" s="14"/>
      <c r="H278" s="58"/>
      <c r="I278" s="19"/>
      <c r="J278" s="14" t="s">
        <v>23</v>
      </c>
      <c r="K278" s="15"/>
      <c r="L278" s="15"/>
      <c r="M278" s="14" t="s">
        <v>27</v>
      </c>
      <c r="N278" s="22" t="s">
        <v>25</v>
      </c>
      <c r="O278" s="14"/>
      <c r="P278" s="14"/>
      <c r="Q278" s="14"/>
      <c r="R278" s="17">
        <v>43633</v>
      </c>
      <c r="S278" s="1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WZ278" s="3"/>
      <c r="XA278" s="3"/>
      <c r="XB278" s="3"/>
      <c r="XC278" s="3"/>
      <c r="XD278" s="3"/>
      <c r="XE278" s="3"/>
      <c r="XF278" s="3"/>
      <c r="XG278" s="3"/>
      <c r="XH278" s="3"/>
      <c r="XI278" s="3"/>
      <c r="XJ278" s="3"/>
      <c r="XK278" s="3"/>
      <c r="XL278" s="3"/>
      <c r="XM278" s="3"/>
      <c r="XN278" s="3"/>
      <c r="XO278" s="3"/>
      <c r="XP278" s="3"/>
      <c r="XQ278" s="3"/>
      <c r="XR278" s="3"/>
      <c r="XS278" s="3"/>
      <c r="XT278" s="3"/>
      <c r="XU278" s="3"/>
      <c r="XV278" s="3"/>
      <c r="XW278" s="3"/>
      <c r="XX278" s="3"/>
      <c r="XY278" s="3"/>
      <c r="XZ278" s="3"/>
      <c r="YA278" s="3"/>
      <c r="YB278" s="3"/>
      <c r="YC278" s="3"/>
      <c r="YD278" s="3"/>
      <c r="YE278" s="3"/>
      <c r="YF278" s="3"/>
      <c r="YG278" s="3"/>
      <c r="YH278" s="3"/>
      <c r="YI278" s="3"/>
      <c r="YJ278" s="3"/>
      <c r="YK278" s="3"/>
      <c r="YL278" s="3"/>
      <c r="YM278" s="3"/>
      <c r="YN278" s="3"/>
      <c r="YO278" s="3"/>
      <c r="YP278" s="3"/>
      <c r="YQ278" s="3"/>
      <c r="YR278" s="3"/>
      <c r="YS278" s="3"/>
      <c r="YT278" s="3"/>
      <c r="YU278" s="3"/>
      <c r="YV278" s="3"/>
      <c r="YW278" s="3"/>
      <c r="YX278" s="3"/>
      <c r="YY278" s="3"/>
      <c r="YZ278" s="3"/>
      <c r="ZA278" s="3"/>
      <c r="ZB278" s="3"/>
      <c r="ZC278" s="3"/>
      <c r="ZD278" s="3"/>
      <c r="ZE278" s="3"/>
      <c r="ZF278" s="3"/>
      <c r="ZG278" s="3"/>
      <c r="ZH278" s="3"/>
      <c r="ZI278" s="3"/>
      <c r="ZJ278" s="3"/>
      <c r="ZK278" s="3"/>
      <c r="ZL278" s="3"/>
      <c r="ZM278" s="3"/>
      <c r="ZN278" s="3"/>
      <c r="ZO278" s="3"/>
      <c r="ZP278" s="3"/>
      <c r="ZQ278" s="3"/>
      <c r="ZR278" s="3"/>
      <c r="ZS278" s="3"/>
      <c r="ZT278" s="3"/>
      <c r="ZU278" s="3"/>
      <c r="ZV278" s="3"/>
      <c r="ZW278" s="3"/>
      <c r="ZX278" s="3"/>
      <c r="ZY278" s="3"/>
      <c r="ZZ278" s="3"/>
      <c r="AAA278" s="3"/>
      <c r="AAB278" s="3"/>
      <c r="AAC278" s="3"/>
      <c r="AAD278" s="3"/>
      <c r="AAE278" s="3"/>
      <c r="AAF278" s="3"/>
      <c r="AAG278" s="3"/>
      <c r="AAH278" s="3"/>
      <c r="AAI278" s="3"/>
      <c r="AAJ278" s="3"/>
      <c r="AAK278" s="3"/>
      <c r="AAL278" s="3"/>
      <c r="AAM278" s="3"/>
      <c r="AAN278" s="3"/>
      <c r="AAO278" s="3"/>
      <c r="AAP278" s="3"/>
      <c r="AAQ278" s="3"/>
      <c r="AAR278" s="3"/>
      <c r="AAS278" s="3"/>
      <c r="AAT278" s="3"/>
      <c r="AAU278" s="3"/>
      <c r="AAV278" s="3"/>
      <c r="AAW278" s="3"/>
      <c r="AAX278" s="3"/>
      <c r="AAY278" s="3"/>
      <c r="AAZ278" s="3"/>
      <c r="ABA278" s="3"/>
      <c r="ABB278" s="3"/>
      <c r="ABC278" s="3"/>
      <c r="ABD278" s="3"/>
      <c r="ABE278" s="3"/>
      <c r="ABF278" s="3"/>
      <c r="ABG278" s="3"/>
      <c r="ABH278" s="3"/>
      <c r="ABI278" s="3"/>
      <c r="ABJ278" s="3"/>
      <c r="ABK278" s="3"/>
      <c r="ABL278" s="3"/>
      <c r="ABM278" s="3"/>
      <c r="ABN278" s="3"/>
      <c r="ABO278" s="3"/>
      <c r="ABP278" s="3"/>
      <c r="ABQ278" s="3"/>
      <c r="ABR278" s="3"/>
      <c r="ABS278" s="3"/>
      <c r="ABT278" s="3"/>
      <c r="ABU278" s="3"/>
      <c r="ABV278" s="3"/>
      <c r="ABW278" s="3"/>
      <c r="ABX278" s="3"/>
      <c r="ABY278" s="3"/>
      <c r="ABZ278" s="3"/>
      <c r="ACA278" s="3"/>
      <c r="ACB278" s="3"/>
      <c r="ACC278" s="3"/>
      <c r="ACD278" s="3"/>
      <c r="ACE278" s="3"/>
      <c r="ACF278" s="3"/>
      <c r="ACG278" s="3"/>
      <c r="ACH278" s="3"/>
      <c r="ACI278" s="3"/>
      <c r="ACJ278" s="3"/>
      <c r="ACK278" s="3"/>
      <c r="ACL278" s="3"/>
      <c r="ACM278" s="3"/>
      <c r="ACN278" s="3"/>
      <c r="ACO278" s="3"/>
      <c r="ACP278" s="3"/>
      <c r="ACQ278" s="3"/>
      <c r="ACR278" s="3"/>
      <c r="ACS278" s="3"/>
      <c r="ACT278" s="3"/>
      <c r="ACU278" s="3"/>
      <c r="ACV278" s="3"/>
      <c r="ACW278" s="3"/>
      <c r="ACX278" s="3"/>
      <c r="ACY278" s="3"/>
      <c r="ACZ278" s="3"/>
      <c r="ADA278" s="3"/>
      <c r="ADB278" s="3"/>
      <c r="ADC278" s="3"/>
      <c r="ADD278" s="3"/>
      <c r="ADE278" s="3"/>
      <c r="ADF278" s="3"/>
      <c r="ADG278" s="3"/>
      <c r="ADH278" s="3"/>
      <c r="ADI278" s="3"/>
      <c r="ADJ278" s="3"/>
      <c r="ADK278" s="3"/>
      <c r="ADL278" s="3"/>
      <c r="ADM278" s="3"/>
      <c r="ADN278" s="3"/>
      <c r="ADO278" s="3"/>
      <c r="ADP278" s="3"/>
      <c r="ADQ278" s="3"/>
      <c r="ADR278" s="3"/>
      <c r="ADS278" s="3"/>
      <c r="ADT278" s="3"/>
      <c r="ADU278" s="3"/>
      <c r="ADV278" s="3"/>
      <c r="ADW278" s="3"/>
      <c r="ADX278" s="3"/>
      <c r="ADY278" s="3"/>
      <c r="ADZ278" s="3"/>
      <c r="AEA278" s="3"/>
      <c r="AEB278" s="3"/>
      <c r="AEC278" s="3"/>
      <c r="AED278" s="3"/>
      <c r="AEE278" s="3"/>
      <c r="AEF278" s="3"/>
      <c r="AEG278" s="3"/>
      <c r="AEH278" s="3"/>
      <c r="AEI278" s="3"/>
      <c r="AEJ278" s="3"/>
      <c r="AEK278" s="3"/>
      <c r="AEL278" s="3"/>
      <c r="AEM278" s="3"/>
      <c r="AEN278" s="3"/>
      <c r="AEO278" s="3"/>
      <c r="AEP278" s="3"/>
      <c r="AEQ278" s="3"/>
      <c r="AER278" s="3"/>
      <c r="AES278" s="3"/>
      <c r="AET278" s="3"/>
      <c r="AEU278" s="3"/>
      <c r="AEV278" s="3"/>
      <c r="AEW278" s="3"/>
      <c r="AEX278" s="3"/>
      <c r="AEY278" s="3"/>
      <c r="AEZ278" s="3"/>
      <c r="AFA278" s="3"/>
      <c r="AFB278" s="3"/>
      <c r="AFC278" s="3"/>
      <c r="AFD278" s="3"/>
      <c r="AFE278" s="3"/>
      <c r="AFF278" s="3"/>
      <c r="AFG278" s="3"/>
      <c r="AFH278" s="3"/>
      <c r="AFI278" s="3"/>
      <c r="AFJ278" s="3"/>
      <c r="AFK278" s="3"/>
      <c r="AFL278" s="3"/>
      <c r="AFM278" s="3"/>
      <c r="AFN278" s="3"/>
      <c r="AFO278" s="3"/>
      <c r="AFP278" s="3"/>
      <c r="AFQ278" s="3"/>
      <c r="AFR278" s="3"/>
      <c r="AFS278" s="3"/>
      <c r="AFT278" s="3"/>
      <c r="AFU278" s="3"/>
      <c r="AFV278" s="3"/>
      <c r="AFW278" s="3"/>
      <c r="AFX278" s="3"/>
      <c r="AFY278" s="3"/>
      <c r="AFZ278" s="3"/>
      <c r="AGA278" s="3"/>
      <c r="AGB278" s="3"/>
      <c r="AGC278" s="3"/>
      <c r="AGD278" s="3"/>
      <c r="AGE278" s="3"/>
      <c r="AGF278" s="3"/>
      <c r="AGG278" s="3"/>
      <c r="AGH278" s="3"/>
      <c r="AGI278" s="3"/>
      <c r="AGJ278" s="3"/>
      <c r="AGK278" s="3"/>
      <c r="AGL278" s="3"/>
      <c r="AGM278" s="3"/>
      <c r="AGN278" s="3"/>
      <c r="AGO278" s="3"/>
      <c r="AGP278" s="3"/>
      <c r="AGQ278" s="3"/>
      <c r="AGR278" s="3"/>
      <c r="AGS278" s="3"/>
      <c r="AGT278" s="3"/>
      <c r="AGU278" s="3"/>
      <c r="AGV278" s="3"/>
      <c r="AGW278" s="3"/>
      <c r="AGX278" s="3"/>
      <c r="AGY278" s="3"/>
      <c r="AGZ278" s="3"/>
      <c r="AHA278" s="3"/>
      <c r="AHB278" s="3"/>
      <c r="AHC278" s="3"/>
      <c r="AHD278" s="3"/>
      <c r="AHE278" s="3"/>
      <c r="AHF278" s="3"/>
      <c r="AHG278" s="3"/>
      <c r="AHH278" s="3"/>
      <c r="AHI278" s="3"/>
      <c r="AHJ278" s="3"/>
      <c r="AHK278" s="3"/>
      <c r="AHL278" s="3"/>
      <c r="AHM278" s="3"/>
      <c r="AHN278" s="3"/>
      <c r="AHO278" s="3"/>
      <c r="AHP278" s="3"/>
      <c r="AHQ278" s="3"/>
      <c r="AHR278" s="3"/>
      <c r="AHS278" s="3"/>
      <c r="AHT278" s="3"/>
      <c r="AHU278" s="3"/>
      <c r="AHV278" s="3"/>
      <c r="AHW278" s="3"/>
      <c r="AHX278" s="3"/>
      <c r="AHY278" s="3"/>
      <c r="AHZ278" s="3"/>
      <c r="AIA278" s="3"/>
      <c r="AIB278" s="3"/>
      <c r="AIC278" s="3"/>
      <c r="AID278" s="3"/>
      <c r="AIE278" s="3"/>
      <c r="AIF278" s="3"/>
      <c r="AIG278" s="3"/>
      <c r="AIH278" s="3"/>
      <c r="AII278" s="3"/>
      <c r="AIJ278" s="3"/>
      <c r="AIK278" s="3"/>
      <c r="AIL278" s="3"/>
      <c r="AIM278" s="3"/>
      <c r="AIN278" s="3"/>
      <c r="AIO278" s="3"/>
      <c r="AIP278" s="3"/>
      <c r="AIQ278" s="3"/>
      <c r="AIR278" s="3"/>
      <c r="AIS278" s="3"/>
      <c r="AIT278" s="3"/>
      <c r="AIU278" s="3"/>
      <c r="AIV278" s="3"/>
      <c r="AIW278" s="3"/>
      <c r="AIX278" s="3"/>
      <c r="AIY278" s="3"/>
      <c r="AIZ278" s="3"/>
      <c r="AJA278" s="3"/>
      <c r="AJB278" s="3"/>
      <c r="AJC278" s="3"/>
      <c r="AJD278" s="3"/>
      <c r="AJE278" s="3"/>
      <c r="AJF278" s="3"/>
      <c r="AJG278" s="3"/>
      <c r="AJH278" s="3"/>
      <c r="AJI278" s="3"/>
      <c r="AJJ278" s="3"/>
      <c r="AJK278" s="3"/>
      <c r="AJL278" s="3"/>
      <c r="AJM278" s="3"/>
      <c r="AJN278" s="3"/>
      <c r="AJO278" s="3"/>
      <c r="AJP278" s="3"/>
      <c r="AJQ278" s="3"/>
      <c r="AJR278" s="3"/>
      <c r="AJS278" s="3"/>
      <c r="AJT278" s="3"/>
      <c r="AJU278" s="3"/>
      <c r="AJV278" s="3"/>
      <c r="AJW278" s="3"/>
      <c r="AJX278" s="3"/>
      <c r="AJY278" s="3"/>
      <c r="AJZ278" s="3"/>
      <c r="AKA278" s="3"/>
      <c r="AKB278" s="3"/>
      <c r="AKC278" s="3"/>
      <c r="AKD278" s="3"/>
      <c r="AKE278" s="3"/>
      <c r="AKF278" s="3"/>
      <c r="AKG278" s="3"/>
      <c r="AKH278" s="3"/>
      <c r="AKI278" s="3"/>
      <c r="AKJ278" s="3"/>
      <c r="AKK278" s="3"/>
      <c r="AKL278" s="3"/>
      <c r="AKM278" s="3"/>
      <c r="AKN278" s="3"/>
      <c r="AKO278" s="3"/>
      <c r="AKP278" s="3"/>
      <c r="AKQ278" s="3"/>
      <c r="AKR278" s="3"/>
      <c r="AKS278" s="3"/>
      <c r="AKT278" s="3"/>
      <c r="AKU278" s="3"/>
      <c r="AKV278" s="3"/>
      <c r="AKW278" s="3"/>
      <c r="AKX278" s="3"/>
      <c r="AKY278" s="3"/>
      <c r="AKZ278" s="3"/>
      <c r="ALA278" s="3"/>
      <c r="ALB278" s="3"/>
      <c r="ALC278" s="3"/>
      <c r="ALD278" s="3"/>
      <c r="ALE278" s="3"/>
      <c r="ALF278" s="3"/>
      <c r="ALG278" s="3"/>
      <c r="ALH278" s="3"/>
      <c r="ALI278" s="3"/>
      <c r="ALJ278" s="3"/>
      <c r="ALK278" s="3"/>
      <c r="ALL278" s="3"/>
      <c r="ALM278" s="3"/>
      <c r="ALN278" s="3"/>
      <c r="ALO278" s="3"/>
      <c r="ALP278" s="3"/>
      <c r="ALQ278" s="3"/>
      <c r="ALR278" s="3"/>
      <c r="ALS278" s="3"/>
      <c r="ALT278" s="3"/>
      <c r="ALU278" s="3"/>
      <c r="ALV278" s="3"/>
      <c r="ALW278" s="3"/>
      <c r="ALX278" s="3"/>
      <c r="ALY278" s="3"/>
      <c r="ALZ278" s="3"/>
      <c r="AMA278" s="3"/>
      <c r="AMB278" s="3"/>
      <c r="AMC278" s="3"/>
      <c r="AMD278" s="3"/>
      <c r="AME278" s="3"/>
      <c r="AMF278" s="3"/>
      <c r="AMG278" s="3"/>
      <c r="AMH278" s="3"/>
      <c r="AMI278" s="3"/>
      <c r="AMJ278" s="3"/>
      <c r="AMK278" s="3"/>
      <c r="AML278" s="3"/>
      <c r="AMM278" s="3"/>
    </row>
    <row r="279" spans="1:1027" ht="15" customHeight="1">
      <c r="A279" s="12">
        <v>905</v>
      </c>
      <c r="B279" s="13" t="s">
        <v>498</v>
      </c>
      <c r="C279" s="14"/>
      <c r="D279" s="14" t="s">
        <v>496</v>
      </c>
      <c r="E279" s="14" t="s">
        <v>497</v>
      </c>
      <c r="F279" s="15" t="s">
        <v>22</v>
      </c>
      <c r="G279" s="21"/>
      <c r="H279" s="58"/>
      <c r="I279" s="14"/>
      <c r="J279" s="14" t="s">
        <v>23</v>
      </c>
      <c r="K279" s="14"/>
      <c r="L279" s="14"/>
      <c r="M279" s="14" t="s">
        <v>29</v>
      </c>
      <c r="N279" s="14" t="s">
        <v>25</v>
      </c>
      <c r="O279" s="14"/>
      <c r="P279" s="14"/>
      <c r="Q279" s="14"/>
      <c r="R279" s="14" t="s">
        <v>158</v>
      </c>
    </row>
    <row r="280" spans="1:1027" ht="15" customHeight="1">
      <c r="A280" s="12">
        <v>1694</v>
      </c>
      <c r="B280" s="13" t="s">
        <v>499</v>
      </c>
      <c r="C280" s="14"/>
      <c r="D280" s="14" t="s">
        <v>496</v>
      </c>
      <c r="E280" s="14" t="s">
        <v>497</v>
      </c>
      <c r="F280" s="15" t="s">
        <v>22</v>
      </c>
      <c r="G280" s="14"/>
      <c r="H280" s="58">
        <v>0</v>
      </c>
      <c r="I280" s="14"/>
      <c r="J280" s="14" t="s">
        <v>23</v>
      </c>
      <c r="K280" s="14"/>
      <c r="L280" s="14"/>
      <c r="M280" s="14" t="s">
        <v>32</v>
      </c>
      <c r="N280" s="14" t="s">
        <v>25</v>
      </c>
      <c r="O280" s="14"/>
      <c r="P280" s="18"/>
      <c r="Q280" s="14"/>
      <c r="R280" s="14" t="s">
        <v>308</v>
      </c>
    </row>
    <row r="281" spans="1:1027" ht="15" customHeight="1">
      <c r="A281" s="12">
        <v>129</v>
      </c>
      <c r="B281" s="13" t="s">
        <v>500</v>
      </c>
      <c r="C281" s="14"/>
      <c r="D281" s="14" t="s">
        <v>501</v>
      </c>
      <c r="E281" s="14" t="s">
        <v>137</v>
      </c>
      <c r="F281" s="15" t="s">
        <v>22</v>
      </c>
      <c r="G281" s="14"/>
      <c r="H281" s="58"/>
      <c r="I281" s="19"/>
      <c r="J281" s="14" t="s">
        <v>23</v>
      </c>
      <c r="K281" s="15"/>
      <c r="L281" s="15"/>
      <c r="M281" s="14" t="s">
        <v>27</v>
      </c>
      <c r="N281" s="22" t="s">
        <v>25</v>
      </c>
      <c r="O281" s="14"/>
      <c r="P281" s="14"/>
      <c r="Q281" s="14"/>
      <c r="R281" s="17">
        <v>43633</v>
      </c>
      <c r="S281" s="1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WR281" s="3"/>
      <c r="WS281" s="3"/>
      <c r="WT281" s="3"/>
      <c r="WU281" s="3"/>
      <c r="WV281" s="3"/>
      <c r="WW281" s="3"/>
      <c r="WX281" s="3"/>
      <c r="WY281" s="3"/>
      <c r="WZ281" s="3"/>
      <c r="XA281" s="3"/>
      <c r="XB281" s="3"/>
      <c r="XC281" s="3"/>
      <c r="XD281" s="3"/>
      <c r="XE281" s="3"/>
      <c r="XF281" s="3"/>
      <c r="XG281" s="3"/>
      <c r="XH281" s="3"/>
      <c r="XI281" s="3"/>
      <c r="XJ281" s="3"/>
      <c r="XK281" s="3"/>
      <c r="XL281" s="3"/>
      <c r="XM281" s="3"/>
      <c r="XN281" s="3"/>
      <c r="XO281" s="3"/>
      <c r="XP281" s="3"/>
      <c r="XQ281" s="3"/>
      <c r="XR281" s="3"/>
      <c r="XS281" s="3"/>
      <c r="XT281" s="3"/>
      <c r="XU281" s="3"/>
      <c r="XV281" s="3"/>
      <c r="XW281" s="3"/>
      <c r="XX281" s="3"/>
      <c r="XY281" s="3"/>
      <c r="XZ281" s="3"/>
      <c r="YA281" s="3"/>
      <c r="YB281" s="3"/>
      <c r="YC281" s="3"/>
      <c r="YD281" s="3"/>
      <c r="YE281" s="3"/>
      <c r="YF281" s="3"/>
      <c r="YG281" s="3"/>
      <c r="YH281" s="3"/>
      <c r="YI281" s="3"/>
      <c r="YJ281" s="3"/>
      <c r="YK281" s="3"/>
      <c r="YL281" s="3"/>
      <c r="YM281" s="3"/>
      <c r="YN281" s="3"/>
      <c r="YO281" s="3"/>
      <c r="YP281" s="3"/>
      <c r="YQ281" s="3"/>
      <c r="YR281" s="3"/>
      <c r="YS281" s="3"/>
      <c r="YT281" s="3"/>
      <c r="YU281" s="3"/>
      <c r="YV281" s="3"/>
      <c r="YW281" s="3"/>
      <c r="YX281" s="3"/>
      <c r="YY281" s="3"/>
      <c r="YZ281" s="3"/>
      <c r="ZA281" s="3"/>
      <c r="ZB281" s="3"/>
      <c r="ZC281" s="3"/>
      <c r="ZD281" s="3"/>
      <c r="ZE281" s="3"/>
      <c r="ZF281" s="3"/>
      <c r="ZG281" s="3"/>
      <c r="ZH281" s="3"/>
      <c r="ZI281" s="3"/>
      <c r="ZJ281" s="3"/>
      <c r="ZK281" s="3"/>
      <c r="ZL281" s="3"/>
      <c r="ZM281" s="3"/>
      <c r="ZN281" s="3"/>
      <c r="ZO281" s="3"/>
      <c r="ZP281" s="3"/>
      <c r="ZQ281" s="3"/>
      <c r="ZR281" s="3"/>
      <c r="ZS281" s="3"/>
      <c r="ZT281" s="3"/>
      <c r="ZU281" s="3"/>
      <c r="ZV281" s="3"/>
      <c r="ZW281" s="3"/>
      <c r="ZX281" s="3"/>
      <c r="ZY281" s="3"/>
      <c r="ZZ281" s="3"/>
      <c r="AAA281" s="3"/>
      <c r="AAB281" s="3"/>
      <c r="AAC281" s="3"/>
      <c r="AAD281" s="3"/>
      <c r="AAE281" s="3"/>
      <c r="AAF281" s="3"/>
      <c r="AAG281" s="3"/>
      <c r="AAH281" s="3"/>
      <c r="AAI281" s="3"/>
      <c r="AAJ281" s="3"/>
      <c r="AAK281" s="3"/>
      <c r="AAL281" s="3"/>
      <c r="AAM281" s="3"/>
      <c r="AAN281" s="3"/>
      <c r="AAO281" s="3"/>
      <c r="AAP281" s="3"/>
      <c r="AAQ281" s="3"/>
      <c r="AAR281" s="3"/>
      <c r="AAS281" s="3"/>
      <c r="AAT281" s="3"/>
      <c r="AAU281" s="3"/>
      <c r="AAV281" s="3"/>
      <c r="AAW281" s="3"/>
      <c r="AAX281" s="3"/>
      <c r="AAY281" s="3"/>
      <c r="AAZ281" s="3"/>
      <c r="ABA281" s="3"/>
      <c r="ABB281" s="3"/>
      <c r="ABC281" s="3"/>
      <c r="ABD281" s="3"/>
      <c r="ABE281" s="3"/>
      <c r="ABF281" s="3"/>
      <c r="ABG281" s="3"/>
      <c r="ABH281" s="3"/>
      <c r="ABI281" s="3"/>
      <c r="ABJ281" s="3"/>
      <c r="ABK281" s="3"/>
      <c r="ABL281" s="3"/>
      <c r="ABM281" s="3"/>
      <c r="ABN281" s="3"/>
      <c r="ABO281" s="3"/>
      <c r="ABP281" s="3"/>
      <c r="ABQ281" s="3"/>
      <c r="ABR281" s="3"/>
      <c r="ABS281" s="3"/>
      <c r="ABT281" s="3"/>
      <c r="ABU281" s="3"/>
      <c r="ABV281" s="3"/>
      <c r="ABW281" s="3"/>
      <c r="ABX281" s="3"/>
      <c r="ABY281" s="3"/>
      <c r="ABZ281" s="3"/>
      <c r="ACA281" s="3"/>
      <c r="ACB281" s="3"/>
      <c r="ACC281" s="3"/>
      <c r="ACD281" s="3"/>
      <c r="ACE281" s="3"/>
      <c r="ACF281" s="3"/>
      <c r="ACG281" s="3"/>
      <c r="ACH281" s="3"/>
      <c r="ACI281" s="3"/>
      <c r="ACJ281" s="3"/>
      <c r="ACK281" s="3"/>
      <c r="ACL281" s="3"/>
      <c r="ACM281" s="3"/>
      <c r="ACN281" s="3"/>
      <c r="ACO281" s="3"/>
      <c r="ACP281" s="3"/>
      <c r="ACQ281" s="3"/>
      <c r="ACR281" s="3"/>
      <c r="ACS281" s="3"/>
      <c r="ACT281" s="3"/>
      <c r="ACU281" s="3"/>
      <c r="ACV281" s="3"/>
      <c r="ACW281" s="3"/>
      <c r="ACX281" s="3"/>
      <c r="ACY281" s="3"/>
      <c r="ACZ281" s="3"/>
      <c r="ADA281" s="3"/>
      <c r="ADB281" s="3"/>
      <c r="ADC281" s="3"/>
      <c r="ADD281" s="3"/>
      <c r="ADE281" s="3"/>
      <c r="ADF281" s="3"/>
      <c r="ADG281" s="3"/>
      <c r="ADH281" s="3"/>
      <c r="ADI281" s="3"/>
      <c r="ADJ281" s="3"/>
      <c r="ADK281" s="3"/>
      <c r="ADL281" s="3"/>
      <c r="ADM281" s="3"/>
      <c r="ADN281" s="3"/>
      <c r="ADO281" s="3"/>
      <c r="ADP281" s="3"/>
      <c r="ADQ281" s="3"/>
      <c r="ADR281" s="3"/>
      <c r="ADS281" s="3"/>
      <c r="ADT281" s="3"/>
      <c r="ADU281" s="3"/>
      <c r="ADV281" s="3"/>
      <c r="ADW281" s="3"/>
      <c r="ADX281" s="3"/>
      <c r="ADY281" s="3"/>
      <c r="ADZ281" s="3"/>
      <c r="AEA281" s="3"/>
      <c r="AEB281" s="3"/>
      <c r="AEC281" s="3"/>
      <c r="AED281" s="3"/>
      <c r="AEE281" s="3"/>
      <c r="AEF281" s="3"/>
      <c r="AEG281" s="3"/>
      <c r="AEH281" s="3"/>
      <c r="AEI281" s="3"/>
      <c r="AEJ281" s="3"/>
      <c r="AEK281" s="3"/>
      <c r="AEL281" s="3"/>
      <c r="AEM281" s="3"/>
      <c r="AEN281" s="3"/>
      <c r="AEO281" s="3"/>
      <c r="AEP281" s="3"/>
      <c r="AEQ281" s="3"/>
      <c r="AER281" s="3"/>
      <c r="AES281" s="3"/>
      <c r="AET281" s="3"/>
      <c r="AEU281" s="3"/>
      <c r="AEV281" s="3"/>
      <c r="AEW281" s="3"/>
      <c r="AEX281" s="3"/>
      <c r="AEY281" s="3"/>
      <c r="AEZ281" s="3"/>
      <c r="AFA281" s="3"/>
      <c r="AFB281" s="3"/>
      <c r="AFC281" s="3"/>
      <c r="AFD281" s="3"/>
      <c r="AFE281" s="3"/>
      <c r="AFF281" s="3"/>
      <c r="AFG281" s="3"/>
      <c r="AFH281" s="3"/>
      <c r="AFI281" s="3"/>
      <c r="AFJ281" s="3"/>
      <c r="AFK281" s="3"/>
      <c r="AFL281" s="3"/>
      <c r="AFM281" s="3"/>
      <c r="AFN281" s="3"/>
      <c r="AFO281" s="3"/>
      <c r="AFP281" s="3"/>
      <c r="AFQ281" s="3"/>
      <c r="AFR281" s="3"/>
      <c r="AFS281" s="3"/>
      <c r="AFT281" s="3"/>
      <c r="AFU281" s="3"/>
      <c r="AFV281" s="3"/>
      <c r="AFW281" s="3"/>
      <c r="AFX281" s="3"/>
      <c r="AFY281" s="3"/>
      <c r="AFZ281" s="3"/>
      <c r="AGA281" s="3"/>
      <c r="AGB281" s="3"/>
      <c r="AGC281" s="3"/>
      <c r="AGD281" s="3"/>
      <c r="AGE281" s="3"/>
      <c r="AGF281" s="3"/>
      <c r="AGG281" s="3"/>
      <c r="AGH281" s="3"/>
      <c r="AGI281" s="3"/>
      <c r="AGJ281" s="3"/>
      <c r="AGK281" s="3"/>
      <c r="AGL281" s="3"/>
      <c r="AGM281" s="3"/>
      <c r="AGN281" s="3"/>
      <c r="AGO281" s="3"/>
      <c r="AGP281" s="3"/>
      <c r="AGQ281" s="3"/>
      <c r="AGR281" s="3"/>
      <c r="AGS281" s="3"/>
      <c r="AGT281" s="3"/>
      <c r="AGU281" s="3"/>
      <c r="AGV281" s="3"/>
      <c r="AGW281" s="3"/>
      <c r="AGX281" s="3"/>
      <c r="AGY281" s="3"/>
      <c r="AGZ281" s="3"/>
      <c r="AHA281" s="3"/>
      <c r="AHB281" s="3"/>
      <c r="AHC281" s="3"/>
      <c r="AHD281" s="3"/>
      <c r="AHE281" s="3"/>
      <c r="AHF281" s="3"/>
      <c r="AHG281" s="3"/>
      <c r="AHH281" s="3"/>
      <c r="AHI281" s="3"/>
      <c r="AHJ281" s="3"/>
      <c r="AHK281" s="3"/>
      <c r="AHL281" s="3"/>
      <c r="AHM281" s="3"/>
      <c r="AHN281" s="3"/>
      <c r="AHO281" s="3"/>
      <c r="AHP281" s="3"/>
      <c r="AHQ281" s="3"/>
      <c r="AHR281" s="3"/>
      <c r="AHS281" s="3"/>
      <c r="AHT281" s="3"/>
      <c r="AHU281" s="3"/>
      <c r="AHV281" s="3"/>
      <c r="AHW281" s="3"/>
      <c r="AHX281" s="3"/>
      <c r="AHY281" s="3"/>
      <c r="AHZ281" s="3"/>
      <c r="AIA281" s="3"/>
      <c r="AIB281" s="3"/>
      <c r="AIC281" s="3"/>
      <c r="AID281" s="3"/>
      <c r="AIE281" s="3"/>
      <c r="AIF281" s="3"/>
      <c r="AIG281" s="3"/>
      <c r="AIH281" s="3"/>
      <c r="AII281" s="3"/>
      <c r="AIJ281" s="3"/>
      <c r="AIK281" s="3"/>
      <c r="AIL281" s="3"/>
      <c r="AIM281" s="3"/>
      <c r="AIN281" s="3"/>
      <c r="AIO281" s="3"/>
      <c r="AIP281" s="3"/>
      <c r="AIQ281" s="3"/>
      <c r="AIR281" s="3"/>
      <c r="AIS281" s="3"/>
      <c r="AIT281" s="3"/>
      <c r="AIU281" s="3"/>
      <c r="AIV281" s="3"/>
      <c r="AIW281" s="3"/>
      <c r="AIX281" s="3"/>
      <c r="AIY281" s="3"/>
      <c r="AIZ281" s="3"/>
      <c r="AJA281" s="3"/>
      <c r="AJB281" s="3"/>
      <c r="AJC281" s="3"/>
      <c r="AJD281" s="3"/>
      <c r="AJE281" s="3"/>
      <c r="AJF281" s="3"/>
      <c r="AJG281" s="3"/>
      <c r="AJH281" s="3"/>
      <c r="AJI281" s="3"/>
      <c r="AJJ281" s="3"/>
      <c r="AJK281" s="3"/>
      <c r="AJL281" s="3"/>
      <c r="AJM281" s="3"/>
      <c r="AJN281" s="3"/>
      <c r="AJO281" s="3"/>
      <c r="AJP281" s="3"/>
      <c r="AJQ281" s="3"/>
      <c r="AJR281" s="3"/>
      <c r="AJS281" s="3"/>
      <c r="AJT281" s="3"/>
      <c r="AJU281" s="3"/>
      <c r="AJV281" s="3"/>
      <c r="AJW281" s="3"/>
      <c r="AJX281" s="3"/>
      <c r="AJY281" s="3"/>
      <c r="AJZ281" s="3"/>
      <c r="AKA281" s="3"/>
      <c r="AKB281" s="3"/>
      <c r="AKC281" s="3"/>
      <c r="AKD281" s="3"/>
      <c r="AKE281" s="3"/>
      <c r="AKF281" s="3"/>
      <c r="AKG281" s="3"/>
      <c r="AKH281" s="3"/>
      <c r="AKI281" s="3"/>
      <c r="AKJ281" s="3"/>
      <c r="AKK281" s="3"/>
      <c r="AKL281" s="3"/>
      <c r="AKM281" s="3"/>
      <c r="AKN281" s="3"/>
      <c r="AKO281" s="3"/>
      <c r="AKP281" s="3"/>
      <c r="AKQ281" s="3"/>
      <c r="AKR281" s="3"/>
      <c r="AKS281" s="3"/>
      <c r="AKT281" s="3"/>
      <c r="AKU281" s="3"/>
      <c r="AKV281" s="3"/>
      <c r="AKW281" s="3"/>
      <c r="AKX281" s="3"/>
      <c r="AKY281" s="3"/>
      <c r="AKZ281" s="3"/>
      <c r="ALA281" s="3"/>
      <c r="ALB281" s="3"/>
      <c r="ALC281" s="3"/>
      <c r="ALD281" s="3"/>
      <c r="ALE281" s="3"/>
      <c r="ALF281" s="3"/>
      <c r="ALG281" s="3"/>
      <c r="ALH281" s="3"/>
      <c r="ALI281" s="3"/>
      <c r="ALJ281" s="3"/>
      <c r="ALK281" s="3"/>
      <c r="ALL281" s="3"/>
      <c r="ALM281" s="3"/>
      <c r="ALN281" s="3"/>
      <c r="ALO281" s="3"/>
      <c r="ALP281" s="3"/>
      <c r="ALQ281" s="3"/>
      <c r="ALR281" s="3"/>
      <c r="ALS281" s="3"/>
      <c r="ALT281" s="3"/>
      <c r="ALU281" s="3"/>
      <c r="ALV281" s="3"/>
      <c r="ALW281" s="3"/>
      <c r="ALX281" s="3"/>
      <c r="ALY281" s="3"/>
      <c r="ALZ281" s="3"/>
      <c r="AMA281" s="3"/>
      <c r="AMB281" s="3"/>
      <c r="AMC281" s="3"/>
      <c r="AMD281" s="3"/>
      <c r="AME281" s="3"/>
      <c r="AMF281" s="3"/>
      <c r="AMG281" s="3"/>
      <c r="AMH281" s="3"/>
      <c r="AMI281" s="3"/>
      <c r="AMJ281" s="3"/>
      <c r="AMK281" s="3"/>
      <c r="AML281" s="3"/>
      <c r="AMM281" s="3"/>
    </row>
    <row r="282" spans="1:1027" ht="15" customHeight="1">
      <c r="A282" s="12">
        <v>906</v>
      </c>
      <c r="B282" s="13" t="s">
        <v>502</v>
      </c>
      <c r="C282" s="14"/>
      <c r="D282" s="14" t="s">
        <v>501</v>
      </c>
      <c r="E282" s="14" t="s">
        <v>137</v>
      </c>
      <c r="F282" s="15" t="s">
        <v>22</v>
      </c>
      <c r="G282" s="21"/>
      <c r="H282" s="58"/>
      <c r="I282" s="14"/>
      <c r="J282" s="14" t="s">
        <v>23</v>
      </c>
      <c r="K282" s="14"/>
      <c r="L282" s="14"/>
      <c r="M282" s="14" t="s">
        <v>29</v>
      </c>
      <c r="N282" s="14" t="s">
        <v>25</v>
      </c>
      <c r="O282" s="14"/>
      <c r="P282" s="14"/>
      <c r="Q282" s="14"/>
      <c r="R282" s="14" t="s">
        <v>158</v>
      </c>
    </row>
    <row r="283" spans="1:1027" ht="15" customHeight="1">
      <c r="A283" s="12">
        <v>1695</v>
      </c>
      <c r="B283" s="13" t="s">
        <v>503</v>
      </c>
      <c r="C283" s="14"/>
      <c r="D283" s="14" t="s">
        <v>501</v>
      </c>
      <c r="E283" s="14" t="s">
        <v>137</v>
      </c>
      <c r="F283" s="15" t="s">
        <v>22</v>
      </c>
      <c r="G283" s="14"/>
      <c r="H283" s="58">
        <v>0</v>
      </c>
      <c r="I283" s="14"/>
      <c r="J283" s="14" t="s">
        <v>23</v>
      </c>
      <c r="K283" s="14"/>
      <c r="L283" s="14"/>
      <c r="M283" s="14" t="s">
        <v>32</v>
      </c>
      <c r="N283" s="14" t="s">
        <v>25</v>
      </c>
      <c r="O283" s="14"/>
      <c r="P283" s="18"/>
      <c r="Q283" s="14"/>
      <c r="R283" s="14" t="s">
        <v>308</v>
      </c>
    </row>
    <row r="284" spans="1:1027" ht="15" customHeight="1">
      <c r="A284" s="12">
        <v>130</v>
      </c>
      <c r="B284" s="13" t="s">
        <v>504</v>
      </c>
      <c r="C284" s="14"/>
      <c r="D284" s="14" t="s">
        <v>505</v>
      </c>
      <c r="E284" s="14" t="s">
        <v>36</v>
      </c>
      <c r="F284" s="15" t="s">
        <v>22</v>
      </c>
      <c r="G284" s="14"/>
      <c r="H284" s="58"/>
      <c r="I284" s="19"/>
      <c r="J284" s="14" t="s">
        <v>23</v>
      </c>
      <c r="K284" s="15"/>
      <c r="L284" s="15"/>
      <c r="M284" s="14" t="s">
        <v>27</v>
      </c>
      <c r="N284" s="22" t="s">
        <v>25</v>
      </c>
      <c r="O284" s="14"/>
      <c r="P284" s="14"/>
      <c r="Q284" s="14"/>
      <c r="R284" s="17">
        <v>43633</v>
      </c>
      <c r="S284" s="1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WZ284" s="3"/>
      <c r="XA284" s="3"/>
      <c r="XB284" s="3"/>
      <c r="XC284" s="3"/>
      <c r="XD284" s="3"/>
      <c r="XE284" s="3"/>
      <c r="XF284" s="3"/>
      <c r="XG284" s="3"/>
      <c r="XH284" s="3"/>
      <c r="XI284" s="3"/>
      <c r="XJ284" s="3"/>
      <c r="XK284" s="3"/>
      <c r="XL284" s="3"/>
      <c r="XM284" s="3"/>
      <c r="XN284" s="3"/>
      <c r="XO284" s="3"/>
      <c r="XP284" s="3"/>
      <c r="XQ284" s="3"/>
      <c r="XR284" s="3"/>
      <c r="XS284" s="3"/>
      <c r="XT284" s="3"/>
      <c r="XU284" s="3"/>
      <c r="XV284" s="3"/>
      <c r="XW284" s="3"/>
      <c r="XX284" s="3"/>
      <c r="XY284" s="3"/>
      <c r="XZ284" s="3"/>
      <c r="YA284" s="3"/>
      <c r="YB284" s="3"/>
      <c r="YC284" s="3"/>
      <c r="YD284" s="3"/>
      <c r="YE284" s="3"/>
      <c r="YF284" s="3"/>
      <c r="YG284" s="3"/>
      <c r="YH284" s="3"/>
      <c r="YI284" s="3"/>
      <c r="YJ284" s="3"/>
      <c r="YK284" s="3"/>
      <c r="YL284" s="3"/>
      <c r="YM284" s="3"/>
      <c r="YN284" s="3"/>
      <c r="YO284" s="3"/>
      <c r="YP284" s="3"/>
      <c r="YQ284" s="3"/>
      <c r="YR284" s="3"/>
      <c r="YS284" s="3"/>
      <c r="YT284" s="3"/>
      <c r="YU284" s="3"/>
      <c r="YV284" s="3"/>
      <c r="YW284" s="3"/>
      <c r="YX284" s="3"/>
      <c r="YY284" s="3"/>
      <c r="YZ284" s="3"/>
      <c r="ZA284" s="3"/>
      <c r="ZB284" s="3"/>
      <c r="ZC284" s="3"/>
      <c r="ZD284" s="3"/>
      <c r="ZE284" s="3"/>
      <c r="ZF284" s="3"/>
      <c r="ZG284" s="3"/>
      <c r="ZH284" s="3"/>
      <c r="ZI284" s="3"/>
      <c r="ZJ284" s="3"/>
      <c r="ZK284" s="3"/>
      <c r="ZL284" s="3"/>
      <c r="ZM284" s="3"/>
      <c r="ZN284" s="3"/>
      <c r="ZO284" s="3"/>
      <c r="ZP284" s="3"/>
      <c r="ZQ284" s="3"/>
      <c r="ZR284" s="3"/>
      <c r="ZS284" s="3"/>
      <c r="ZT284" s="3"/>
      <c r="ZU284" s="3"/>
      <c r="ZV284" s="3"/>
      <c r="ZW284" s="3"/>
      <c r="ZX284" s="3"/>
      <c r="ZY284" s="3"/>
      <c r="ZZ284" s="3"/>
      <c r="AAA284" s="3"/>
      <c r="AAB284" s="3"/>
      <c r="AAC284" s="3"/>
      <c r="AAD284" s="3"/>
      <c r="AAE284" s="3"/>
      <c r="AAF284" s="3"/>
      <c r="AAG284" s="3"/>
      <c r="AAH284" s="3"/>
      <c r="AAI284" s="3"/>
      <c r="AAJ284" s="3"/>
      <c r="AAK284" s="3"/>
      <c r="AAL284" s="3"/>
      <c r="AAM284" s="3"/>
      <c r="AAN284" s="3"/>
      <c r="AAO284" s="3"/>
      <c r="AAP284" s="3"/>
      <c r="AAQ284" s="3"/>
      <c r="AAR284" s="3"/>
      <c r="AAS284" s="3"/>
      <c r="AAT284" s="3"/>
      <c r="AAU284" s="3"/>
      <c r="AAV284" s="3"/>
      <c r="AAW284" s="3"/>
      <c r="AAX284" s="3"/>
      <c r="AAY284" s="3"/>
      <c r="AAZ284" s="3"/>
      <c r="ABA284" s="3"/>
      <c r="ABB284" s="3"/>
      <c r="ABC284" s="3"/>
      <c r="ABD284" s="3"/>
      <c r="ABE284" s="3"/>
      <c r="ABF284" s="3"/>
      <c r="ABG284" s="3"/>
      <c r="ABH284" s="3"/>
      <c r="ABI284" s="3"/>
      <c r="ABJ284" s="3"/>
      <c r="ABK284" s="3"/>
      <c r="ABL284" s="3"/>
      <c r="ABM284" s="3"/>
      <c r="ABN284" s="3"/>
      <c r="ABO284" s="3"/>
      <c r="ABP284" s="3"/>
      <c r="ABQ284" s="3"/>
      <c r="ABR284" s="3"/>
      <c r="ABS284" s="3"/>
      <c r="ABT284" s="3"/>
      <c r="ABU284" s="3"/>
      <c r="ABV284" s="3"/>
      <c r="ABW284" s="3"/>
      <c r="ABX284" s="3"/>
      <c r="ABY284" s="3"/>
      <c r="ABZ284" s="3"/>
      <c r="ACA284" s="3"/>
      <c r="ACB284" s="3"/>
      <c r="ACC284" s="3"/>
      <c r="ACD284" s="3"/>
      <c r="ACE284" s="3"/>
      <c r="ACF284" s="3"/>
      <c r="ACG284" s="3"/>
      <c r="ACH284" s="3"/>
      <c r="ACI284" s="3"/>
      <c r="ACJ284" s="3"/>
      <c r="ACK284" s="3"/>
      <c r="ACL284" s="3"/>
      <c r="ACM284" s="3"/>
      <c r="ACN284" s="3"/>
      <c r="ACO284" s="3"/>
      <c r="ACP284" s="3"/>
      <c r="ACQ284" s="3"/>
      <c r="ACR284" s="3"/>
      <c r="ACS284" s="3"/>
      <c r="ACT284" s="3"/>
      <c r="ACU284" s="3"/>
      <c r="ACV284" s="3"/>
      <c r="ACW284" s="3"/>
      <c r="ACX284" s="3"/>
      <c r="ACY284" s="3"/>
      <c r="ACZ284" s="3"/>
      <c r="ADA284" s="3"/>
      <c r="ADB284" s="3"/>
      <c r="ADC284" s="3"/>
      <c r="ADD284" s="3"/>
      <c r="ADE284" s="3"/>
      <c r="ADF284" s="3"/>
      <c r="ADG284" s="3"/>
      <c r="ADH284" s="3"/>
      <c r="ADI284" s="3"/>
      <c r="ADJ284" s="3"/>
      <c r="ADK284" s="3"/>
      <c r="ADL284" s="3"/>
      <c r="ADM284" s="3"/>
      <c r="ADN284" s="3"/>
      <c r="ADO284" s="3"/>
      <c r="ADP284" s="3"/>
      <c r="ADQ284" s="3"/>
      <c r="ADR284" s="3"/>
      <c r="ADS284" s="3"/>
      <c r="ADT284" s="3"/>
      <c r="ADU284" s="3"/>
      <c r="ADV284" s="3"/>
      <c r="ADW284" s="3"/>
      <c r="ADX284" s="3"/>
      <c r="ADY284" s="3"/>
      <c r="ADZ284" s="3"/>
      <c r="AEA284" s="3"/>
      <c r="AEB284" s="3"/>
      <c r="AEC284" s="3"/>
      <c r="AED284" s="3"/>
      <c r="AEE284" s="3"/>
      <c r="AEF284" s="3"/>
      <c r="AEG284" s="3"/>
      <c r="AEH284" s="3"/>
      <c r="AEI284" s="3"/>
      <c r="AEJ284" s="3"/>
      <c r="AEK284" s="3"/>
      <c r="AEL284" s="3"/>
      <c r="AEM284" s="3"/>
      <c r="AEN284" s="3"/>
      <c r="AEO284" s="3"/>
      <c r="AEP284" s="3"/>
      <c r="AEQ284" s="3"/>
      <c r="AER284" s="3"/>
      <c r="AES284" s="3"/>
      <c r="AET284" s="3"/>
      <c r="AEU284" s="3"/>
      <c r="AEV284" s="3"/>
      <c r="AEW284" s="3"/>
      <c r="AEX284" s="3"/>
      <c r="AEY284" s="3"/>
      <c r="AEZ284" s="3"/>
      <c r="AFA284" s="3"/>
      <c r="AFB284" s="3"/>
      <c r="AFC284" s="3"/>
      <c r="AFD284" s="3"/>
      <c r="AFE284" s="3"/>
      <c r="AFF284" s="3"/>
      <c r="AFG284" s="3"/>
      <c r="AFH284" s="3"/>
      <c r="AFI284" s="3"/>
      <c r="AFJ284" s="3"/>
      <c r="AFK284" s="3"/>
      <c r="AFL284" s="3"/>
      <c r="AFM284" s="3"/>
      <c r="AFN284" s="3"/>
      <c r="AFO284" s="3"/>
      <c r="AFP284" s="3"/>
      <c r="AFQ284" s="3"/>
      <c r="AFR284" s="3"/>
      <c r="AFS284" s="3"/>
      <c r="AFT284" s="3"/>
      <c r="AFU284" s="3"/>
      <c r="AFV284" s="3"/>
      <c r="AFW284" s="3"/>
      <c r="AFX284" s="3"/>
      <c r="AFY284" s="3"/>
      <c r="AFZ284" s="3"/>
      <c r="AGA284" s="3"/>
      <c r="AGB284" s="3"/>
      <c r="AGC284" s="3"/>
      <c r="AGD284" s="3"/>
      <c r="AGE284" s="3"/>
      <c r="AGF284" s="3"/>
      <c r="AGG284" s="3"/>
      <c r="AGH284" s="3"/>
      <c r="AGI284" s="3"/>
      <c r="AGJ284" s="3"/>
      <c r="AGK284" s="3"/>
      <c r="AGL284" s="3"/>
      <c r="AGM284" s="3"/>
      <c r="AGN284" s="3"/>
      <c r="AGO284" s="3"/>
      <c r="AGP284" s="3"/>
      <c r="AGQ284" s="3"/>
      <c r="AGR284" s="3"/>
      <c r="AGS284" s="3"/>
      <c r="AGT284" s="3"/>
      <c r="AGU284" s="3"/>
      <c r="AGV284" s="3"/>
      <c r="AGW284" s="3"/>
      <c r="AGX284" s="3"/>
      <c r="AGY284" s="3"/>
      <c r="AGZ284" s="3"/>
      <c r="AHA284" s="3"/>
      <c r="AHB284" s="3"/>
      <c r="AHC284" s="3"/>
      <c r="AHD284" s="3"/>
      <c r="AHE284" s="3"/>
      <c r="AHF284" s="3"/>
      <c r="AHG284" s="3"/>
      <c r="AHH284" s="3"/>
      <c r="AHI284" s="3"/>
      <c r="AHJ284" s="3"/>
      <c r="AHK284" s="3"/>
      <c r="AHL284" s="3"/>
      <c r="AHM284" s="3"/>
      <c r="AHN284" s="3"/>
      <c r="AHO284" s="3"/>
      <c r="AHP284" s="3"/>
      <c r="AHQ284" s="3"/>
      <c r="AHR284" s="3"/>
      <c r="AHS284" s="3"/>
      <c r="AHT284" s="3"/>
      <c r="AHU284" s="3"/>
      <c r="AHV284" s="3"/>
      <c r="AHW284" s="3"/>
      <c r="AHX284" s="3"/>
      <c r="AHY284" s="3"/>
      <c r="AHZ284" s="3"/>
      <c r="AIA284" s="3"/>
      <c r="AIB284" s="3"/>
      <c r="AIC284" s="3"/>
      <c r="AID284" s="3"/>
      <c r="AIE284" s="3"/>
      <c r="AIF284" s="3"/>
      <c r="AIG284" s="3"/>
      <c r="AIH284" s="3"/>
      <c r="AII284" s="3"/>
      <c r="AIJ284" s="3"/>
      <c r="AIK284" s="3"/>
      <c r="AIL284" s="3"/>
      <c r="AIM284" s="3"/>
      <c r="AIN284" s="3"/>
      <c r="AIO284" s="3"/>
      <c r="AIP284" s="3"/>
      <c r="AIQ284" s="3"/>
      <c r="AIR284" s="3"/>
      <c r="AIS284" s="3"/>
      <c r="AIT284" s="3"/>
      <c r="AIU284" s="3"/>
      <c r="AIV284" s="3"/>
      <c r="AIW284" s="3"/>
      <c r="AIX284" s="3"/>
      <c r="AIY284" s="3"/>
      <c r="AIZ284" s="3"/>
      <c r="AJA284" s="3"/>
      <c r="AJB284" s="3"/>
      <c r="AJC284" s="3"/>
      <c r="AJD284" s="3"/>
      <c r="AJE284" s="3"/>
      <c r="AJF284" s="3"/>
      <c r="AJG284" s="3"/>
      <c r="AJH284" s="3"/>
      <c r="AJI284" s="3"/>
      <c r="AJJ284" s="3"/>
      <c r="AJK284" s="3"/>
      <c r="AJL284" s="3"/>
      <c r="AJM284" s="3"/>
      <c r="AJN284" s="3"/>
      <c r="AJO284" s="3"/>
      <c r="AJP284" s="3"/>
      <c r="AJQ284" s="3"/>
      <c r="AJR284" s="3"/>
      <c r="AJS284" s="3"/>
      <c r="AJT284" s="3"/>
      <c r="AJU284" s="3"/>
      <c r="AJV284" s="3"/>
      <c r="AJW284" s="3"/>
      <c r="AJX284" s="3"/>
      <c r="AJY284" s="3"/>
      <c r="AJZ284" s="3"/>
      <c r="AKA284" s="3"/>
      <c r="AKB284" s="3"/>
      <c r="AKC284" s="3"/>
      <c r="AKD284" s="3"/>
      <c r="AKE284" s="3"/>
      <c r="AKF284" s="3"/>
      <c r="AKG284" s="3"/>
      <c r="AKH284" s="3"/>
      <c r="AKI284" s="3"/>
      <c r="AKJ284" s="3"/>
      <c r="AKK284" s="3"/>
      <c r="AKL284" s="3"/>
      <c r="AKM284" s="3"/>
      <c r="AKN284" s="3"/>
      <c r="AKO284" s="3"/>
      <c r="AKP284" s="3"/>
      <c r="AKQ284" s="3"/>
      <c r="AKR284" s="3"/>
      <c r="AKS284" s="3"/>
      <c r="AKT284" s="3"/>
      <c r="AKU284" s="3"/>
      <c r="AKV284" s="3"/>
      <c r="AKW284" s="3"/>
      <c r="AKX284" s="3"/>
      <c r="AKY284" s="3"/>
      <c r="AKZ284" s="3"/>
      <c r="ALA284" s="3"/>
      <c r="ALB284" s="3"/>
      <c r="ALC284" s="3"/>
      <c r="ALD284" s="3"/>
      <c r="ALE284" s="3"/>
      <c r="ALF284" s="3"/>
      <c r="ALG284" s="3"/>
      <c r="ALH284" s="3"/>
      <c r="ALI284" s="3"/>
      <c r="ALJ284" s="3"/>
      <c r="ALK284" s="3"/>
      <c r="ALL284" s="3"/>
      <c r="ALM284" s="3"/>
      <c r="ALN284" s="3"/>
      <c r="ALO284" s="3"/>
      <c r="ALP284" s="3"/>
      <c r="ALQ284" s="3"/>
      <c r="ALR284" s="3"/>
      <c r="ALS284" s="3"/>
      <c r="ALT284" s="3"/>
      <c r="ALU284" s="3"/>
      <c r="ALV284" s="3"/>
      <c r="ALW284" s="3"/>
      <c r="ALX284" s="3"/>
      <c r="ALY284" s="3"/>
      <c r="ALZ284" s="3"/>
      <c r="AMA284" s="3"/>
      <c r="AMB284" s="3"/>
      <c r="AMC284" s="3"/>
      <c r="AMD284" s="3"/>
      <c r="AME284" s="3"/>
      <c r="AMF284" s="3"/>
      <c r="AMG284" s="3"/>
      <c r="AMH284" s="3"/>
      <c r="AMI284" s="3"/>
      <c r="AMJ284" s="3"/>
      <c r="AMK284" s="3"/>
      <c r="AML284" s="3"/>
      <c r="AMM284" s="3"/>
    </row>
    <row r="285" spans="1:1027" ht="15" customHeight="1">
      <c r="A285" s="12">
        <v>907</v>
      </c>
      <c r="B285" s="13" t="s">
        <v>506</v>
      </c>
      <c r="C285" s="14"/>
      <c r="D285" s="14" t="s">
        <v>505</v>
      </c>
      <c r="E285" s="14" t="s">
        <v>36</v>
      </c>
      <c r="F285" s="15" t="s">
        <v>22</v>
      </c>
      <c r="G285" s="21"/>
      <c r="H285" s="58">
        <v>1</v>
      </c>
      <c r="I285" s="14"/>
      <c r="J285" s="14" t="s">
        <v>23</v>
      </c>
      <c r="K285" s="14"/>
      <c r="L285" s="14"/>
      <c r="M285" s="14" t="s">
        <v>29</v>
      </c>
      <c r="N285" s="25" t="s">
        <v>37</v>
      </c>
      <c r="O285" s="14" t="s">
        <v>507</v>
      </c>
      <c r="P285" s="14"/>
      <c r="Q285" s="14"/>
      <c r="R285" s="14" t="s">
        <v>158</v>
      </c>
    </row>
    <row r="286" spans="1:1027" ht="15" customHeight="1">
      <c r="A286" s="12">
        <v>1696</v>
      </c>
      <c r="B286" s="13" t="s">
        <v>508</v>
      </c>
      <c r="C286" s="14"/>
      <c r="D286" s="14" t="s">
        <v>505</v>
      </c>
      <c r="E286" s="14" t="s">
        <v>36</v>
      </c>
      <c r="F286" s="15" t="s">
        <v>22</v>
      </c>
      <c r="G286" s="14"/>
      <c r="H286" s="58">
        <v>0</v>
      </c>
      <c r="I286" s="14"/>
      <c r="J286" s="14" t="s">
        <v>23</v>
      </c>
      <c r="K286" s="14"/>
      <c r="L286" s="14"/>
      <c r="M286" s="14" t="s">
        <v>32</v>
      </c>
      <c r="N286" s="14" t="s">
        <v>25</v>
      </c>
      <c r="O286" s="14"/>
      <c r="P286" s="18"/>
      <c r="Q286" s="14"/>
      <c r="R286" s="14" t="s">
        <v>308</v>
      </c>
    </row>
    <row r="287" spans="1:1027" ht="15" customHeight="1">
      <c r="A287" s="12">
        <v>28</v>
      </c>
      <c r="B287" s="13" t="s">
        <v>509</v>
      </c>
      <c r="C287" s="14"/>
      <c r="D287" s="14" t="s">
        <v>510</v>
      </c>
      <c r="E287" s="14" t="s">
        <v>36</v>
      </c>
      <c r="F287" s="15" t="s">
        <v>22</v>
      </c>
      <c r="G287" s="14"/>
      <c r="H287" s="58"/>
      <c r="I287" s="14"/>
      <c r="J287" s="14" t="s">
        <v>23</v>
      </c>
      <c r="K287" s="15"/>
      <c r="L287" s="15"/>
      <c r="M287" s="14" t="s">
        <v>24</v>
      </c>
      <c r="N287" s="14" t="s">
        <v>25</v>
      </c>
      <c r="O287" s="14"/>
      <c r="P287" s="14"/>
      <c r="Q287" s="14"/>
      <c r="R287" s="17">
        <v>43599</v>
      </c>
      <c r="S287" s="1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WR287" s="3"/>
      <c r="WS287" s="3"/>
      <c r="WT287" s="3"/>
      <c r="WU287" s="3"/>
      <c r="WV287" s="3"/>
      <c r="WW287" s="3"/>
      <c r="WX287" s="3"/>
      <c r="WY287" s="3"/>
      <c r="WZ287" s="3"/>
      <c r="XA287" s="3"/>
      <c r="XB287" s="3"/>
      <c r="XC287" s="3"/>
      <c r="XD287" s="3"/>
      <c r="XE287" s="3"/>
      <c r="XF287" s="3"/>
      <c r="XG287" s="3"/>
      <c r="XH287" s="3"/>
      <c r="XI287" s="3"/>
      <c r="XJ287" s="3"/>
      <c r="XK287" s="3"/>
      <c r="XL287" s="3"/>
      <c r="XM287" s="3"/>
      <c r="XN287" s="3"/>
      <c r="XO287" s="3"/>
      <c r="XP287" s="3"/>
      <c r="XQ287" s="3"/>
      <c r="XR287" s="3"/>
      <c r="XS287" s="3"/>
      <c r="XT287" s="3"/>
      <c r="XU287" s="3"/>
      <c r="XV287" s="3"/>
      <c r="XW287" s="3"/>
      <c r="XX287" s="3"/>
      <c r="XY287" s="3"/>
      <c r="XZ287" s="3"/>
      <c r="YA287" s="3"/>
      <c r="YB287" s="3"/>
      <c r="YC287" s="3"/>
      <c r="YD287" s="3"/>
      <c r="YE287" s="3"/>
      <c r="YF287" s="3"/>
      <c r="YG287" s="3"/>
      <c r="YH287" s="3"/>
      <c r="YI287" s="3"/>
      <c r="YJ287" s="3"/>
      <c r="YK287" s="3"/>
      <c r="YL287" s="3"/>
      <c r="YM287" s="3"/>
      <c r="YN287" s="3"/>
      <c r="YO287" s="3"/>
      <c r="YP287" s="3"/>
      <c r="YQ287" s="3"/>
      <c r="YR287" s="3"/>
      <c r="YS287" s="3"/>
      <c r="YT287" s="3"/>
      <c r="YU287" s="3"/>
      <c r="YV287" s="3"/>
      <c r="YW287" s="3"/>
      <c r="YX287" s="3"/>
      <c r="YY287" s="3"/>
      <c r="YZ287" s="3"/>
      <c r="ZA287" s="3"/>
      <c r="ZB287" s="3"/>
      <c r="ZC287" s="3"/>
      <c r="ZD287" s="3"/>
      <c r="ZE287" s="3"/>
      <c r="ZF287" s="3"/>
      <c r="ZG287" s="3"/>
      <c r="ZH287" s="3"/>
      <c r="ZI287" s="3"/>
      <c r="ZJ287" s="3"/>
      <c r="ZK287" s="3"/>
      <c r="ZL287" s="3"/>
      <c r="ZM287" s="3"/>
      <c r="ZN287" s="3"/>
      <c r="ZO287" s="3"/>
      <c r="ZP287" s="3"/>
      <c r="ZQ287" s="3"/>
      <c r="ZR287" s="3"/>
      <c r="ZS287" s="3"/>
      <c r="ZT287" s="3"/>
      <c r="ZU287" s="3"/>
      <c r="ZV287" s="3"/>
      <c r="ZW287" s="3"/>
      <c r="ZX287" s="3"/>
      <c r="ZY287" s="3"/>
      <c r="ZZ287" s="3"/>
      <c r="AAA287" s="3"/>
      <c r="AAB287" s="3"/>
      <c r="AAC287" s="3"/>
      <c r="AAD287" s="3"/>
      <c r="AAE287" s="3"/>
      <c r="AAF287" s="3"/>
      <c r="AAG287" s="3"/>
      <c r="AAH287" s="3"/>
      <c r="AAI287" s="3"/>
      <c r="AAJ287" s="3"/>
      <c r="AAK287" s="3"/>
      <c r="AAL287" s="3"/>
      <c r="AAM287" s="3"/>
      <c r="AAN287" s="3"/>
      <c r="AAO287" s="3"/>
      <c r="AAP287" s="3"/>
      <c r="AAQ287" s="3"/>
      <c r="AAR287" s="3"/>
      <c r="AAS287" s="3"/>
      <c r="AAT287" s="3"/>
      <c r="AAU287" s="3"/>
      <c r="AAV287" s="3"/>
      <c r="AAW287" s="3"/>
      <c r="AAX287" s="3"/>
      <c r="AAY287" s="3"/>
      <c r="AAZ287" s="3"/>
      <c r="ABA287" s="3"/>
      <c r="ABB287" s="3"/>
      <c r="ABC287" s="3"/>
      <c r="ABD287" s="3"/>
      <c r="ABE287" s="3"/>
      <c r="ABF287" s="3"/>
      <c r="ABG287" s="3"/>
      <c r="ABH287" s="3"/>
      <c r="ABI287" s="3"/>
      <c r="ABJ287" s="3"/>
      <c r="ABK287" s="3"/>
      <c r="ABL287" s="3"/>
      <c r="ABM287" s="3"/>
      <c r="ABN287" s="3"/>
      <c r="ABO287" s="3"/>
      <c r="ABP287" s="3"/>
      <c r="ABQ287" s="3"/>
      <c r="ABR287" s="3"/>
      <c r="ABS287" s="3"/>
      <c r="ABT287" s="3"/>
      <c r="ABU287" s="3"/>
      <c r="ABV287" s="3"/>
      <c r="ABW287" s="3"/>
      <c r="ABX287" s="3"/>
      <c r="ABY287" s="3"/>
      <c r="ABZ287" s="3"/>
      <c r="ACA287" s="3"/>
      <c r="ACB287" s="3"/>
      <c r="ACC287" s="3"/>
      <c r="ACD287" s="3"/>
      <c r="ACE287" s="3"/>
      <c r="ACF287" s="3"/>
      <c r="ACG287" s="3"/>
      <c r="ACH287" s="3"/>
      <c r="ACI287" s="3"/>
      <c r="ACJ287" s="3"/>
      <c r="ACK287" s="3"/>
      <c r="ACL287" s="3"/>
      <c r="ACM287" s="3"/>
      <c r="ACN287" s="3"/>
      <c r="ACO287" s="3"/>
      <c r="ACP287" s="3"/>
      <c r="ACQ287" s="3"/>
      <c r="ACR287" s="3"/>
      <c r="ACS287" s="3"/>
      <c r="ACT287" s="3"/>
      <c r="ACU287" s="3"/>
      <c r="ACV287" s="3"/>
      <c r="ACW287" s="3"/>
      <c r="ACX287" s="3"/>
      <c r="ACY287" s="3"/>
      <c r="ACZ287" s="3"/>
      <c r="ADA287" s="3"/>
      <c r="ADB287" s="3"/>
      <c r="ADC287" s="3"/>
      <c r="ADD287" s="3"/>
      <c r="ADE287" s="3"/>
      <c r="ADF287" s="3"/>
      <c r="ADG287" s="3"/>
      <c r="ADH287" s="3"/>
      <c r="ADI287" s="3"/>
      <c r="ADJ287" s="3"/>
      <c r="ADK287" s="3"/>
      <c r="ADL287" s="3"/>
      <c r="ADM287" s="3"/>
      <c r="ADN287" s="3"/>
      <c r="ADO287" s="3"/>
      <c r="ADP287" s="3"/>
      <c r="ADQ287" s="3"/>
      <c r="ADR287" s="3"/>
      <c r="ADS287" s="3"/>
      <c r="ADT287" s="3"/>
      <c r="ADU287" s="3"/>
      <c r="ADV287" s="3"/>
      <c r="ADW287" s="3"/>
      <c r="ADX287" s="3"/>
      <c r="ADY287" s="3"/>
      <c r="ADZ287" s="3"/>
      <c r="AEA287" s="3"/>
      <c r="AEB287" s="3"/>
      <c r="AEC287" s="3"/>
      <c r="AED287" s="3"/>
      <c r="AEE287" s="3"/>
      <c r="AEF287" s="3"/>
      <c r="AEG287" s="3"/>
      <c r="AEH287" s="3"/>
      <c r="AEI287" s="3"/>
      <c r="AEJ287" s="3"/>
      <c r="AEK287" s="3"/>
      <c r="AEL287" s="3"/>
      <c r="AEM287" s="3"/>
      <c r="AEN287" s="3"/>
      <c r="AEO287" s="3"/>
      <c r="AEP287" s="3"/>
      <c r="AEQ287" s="3"/>
      <c r="AER287" s="3"/>
      <c r="AES287" s="3"/>
      <c r="AET287" s="3"/>
      <c r="AEU287" s="3"/>
      <c r="AEV287" s="3"/>
      <c r="AEW287" s="3"/>
      <c r="AEX287" s="3"/>
      <c r="AEY287" s="3"/>
      <c r="AEZ287" s="3"/>
      <c r="AFA287" s="3"/>
      <c r="AFB287" s="3"/>
      <c r="AFC287" s="3"/>
      <c r="AFD287" s="3"/>
      <c r="AFE287" s="3"/>
      <c r="AFF287" s="3"/>
      <c r="AFG287" s="3"/>
      <c r="AFH287" s="3"/>
      <c r="AFI287" s="3"/>
      <c r="AFJ287" s="3"/>
      <c r="AFK287" s="3"/>
      <c r="AFL287" s="3"/>
      <c r="AFM287" s="3"/>
      <c r="AFN287" s="3"/>
      <c r="AFO287" s="3"/>
      <c r="AFP287" s="3"/>
      <c r="AFQ287" s="3"/>
      <c r="AFR287" s="3"/>
      <c r="AFS287" s="3"/>
      <c r="AFT287" s="3"/>
      <c r="AFU287" s="3"/>
      <c r="AFV287" s="3"/>
      <c r="AFW287" s="3"/>
      <c r="AFX287" s="3"/>
      <c r="AFY287" s="3"/>
      <c r="AFZ287" s="3"/>
      <c r="AGA287" s="3"/>
      <c r="AGB287" s="3"/>
      <c r="AGC287" s="3"/>
      <c r="AGD287" s="3"/>
      <c r="AGE287" s="3"/>
      <c r="AGF287" s="3"/>
      <c r="AGG287" s="3"/>
      <c r="AGH287" s="3"/>
      <c r="AGI287" s="3"/>
      <c r="AGJ287" s="3"/>
      <c r="AGK287" s="3"/>
      <c r="AGL287" s="3"/>
      <c r="AGM287" s="3"/>
      <c r="AGN287" s="3"/>
      <c r="AGO287" s="3"/>
      <c r="AGP287" s="3"/>
      <c r="AGQ287" s="3"/>
      <c r="AGR287" s="3"/>
      <c r="AGS287" s="3"/>
      <c r="AGT287" s="3"/>
      <c r="AGU287" s="3"/>
      <c r="AGV287" s="3"/>
      <c r="AGW287" s="3"/>
      <c r="AGX287" s="3"/>
      <c r="AGY287" s="3"/>
      <c r="AGZ287" s="3"/>
      <c r="AHA287" s="3"/>
      <c r="AHB287" s="3"/>
      <c r="AHC287" s="3"/>
      <c r="AHD287" s="3"/>
      <c r="AHE287" s="3"/>
      <c r="AHF287" s="3"/>
      <c r="AHG287" s="3"/>
      <c r="AHH287" s="3"/>
      <c r="AHI287" s="3"/>
      <c r="AHJ287" s="3"/>
      <c r="AHK287" s="3"/>
      <c r="AHL287" s="3"/>
      <c r="AHM287" s="3"/>
      <c r="AHN287" s="3"/>
      <c r="AHO287" s="3"/>
      <c r="AHP287" s="3"/>
      <c r="AHQ287" s="3"/>
      <c r="AHR287" s="3"/>
      <c r="AHS287" s="3"/>
      <c r="AHT287" s="3"/>
      <c r="AHU287" s="3"/>
      <c r="AHV287" s="3"/>
      <c r="AHW287" s="3"/>
      <c r="AHX287" s="3"/>
      <c r="AHY287" s="3"/>
      <c r="AHZ287" s="3"/>
      <c r="AIA287" s="3"/>
      <c r="AIB287" s="3"/>
      <c r="AIC287" s="3"/>
      <c r="AID287" s="3"/>
      <c r="AIE287" s="3"/>
      <c r="AIF287" s="3"/>
      <c r="AIG287" s="3"/>
      <c r="AIH287" s="3"/>
      <c r="AII287" s="3"/>
      <c r="AIJ287" s="3"/>
      <c r="AIK287" s="3"/>
      <c r="AIL287" s="3"/>
      <c r="AIM287" s="3"/>
      <c r="AIN287" s="3"/>
      <c r="AIO287" s="3"/>
      <c r="AIP287" s="3"/>
      <c r="AIQ287" s="3"/>
      <c r="AIR287" s="3"/>
      <c r="AIS287" s="3"/>
      <c r="AIT287" s="3"/>
      <c r="AIU287" s="3"/>
      <c r="AIV287" s="3"/>
      <c r="AIW287" s="3"/>
      <c r="AIX287" s="3"/>
      <c r="AIY287" s="3"/>
      <c r="AIZ287" s="3"/>
      <c r="AJA287" s="3"/>
      <c r="AJB287" s="3"/>
      <c r="AJC287" s="3"/>
      <c r="AJD287" s="3"/>
      <c r="AJE287" s="3"/>
      <c r="AJF287" s="3"/>
      <c r="AJG287" s="3"/>
      <c r="AJH287" s="3"/>
      <c r="AJI287" s="3"/>
      <c r="AJJ287" s="3"/>
      <c r="AJK287" s="3"/>
      <c r="AJL287" s="3"/>
      <c r="AJM287" s="3"/>
      <c r="AJN287" s="3"/>
      <c r="AJO287" s="3"/>
      <c r="AJP287" s="3"/>
      <c r="AJQ287" s="3"/>
      <c r="AJR287" s="3"/>
      <c r="AJS287" s="3"/>
      <c r="AJT287" s="3"/>
      <c r="AJU287" s="3"/>
      <c r="AJV287" s="3"/>
      <c r="AJW287" s="3"/>
      <c r="AJX287" s="3"/>
      <c r="AJY287" s="3"/>
      <c r="AJZ287" s="3"/>
      <c r="AKA287" s="3"/>
      <c r="AKB287" s="3"/>
      <c r="AKC287" s="3"/>
      <c r="AKD287" s="3"/>
      <c r="AKE287" s="3"/>
      <c r="AKF287" s="3"/>
      <c r="AKG287" s="3"/>
      <c r="AKH287" s="3"/>
      <c r="AKI287" s="3"/>
      <c r="AKJ287" s="3"/>
      <c r="AKK287" s="3"/>
      <c r="AKL287" s="3"/>
      <c r="AKM287" s="3"/>
      <c r="AKN287" s="3"/>
      <c r="AKO287" s="3"/>
      <c r="AKP287" s="3"/>
      <c r="AKQ287" s="3"/>
      <c r="AKR287" s="3"/>
      <c r="AKS287" s="3"/>
      <c r="AKT287" s="3"/>
      <c r="AKU287" s="3"/>
      <c r="AKV287" s="3"/>
      <c r="AKW287" s="3"/>
      <c r="AKX287" s="3"/>
      <c r="AKY287" s="3"/>
      <c r="AKZ287" s="3"/>
      <c r="ALA287" s="3"/>
      <c r="ALB287" s="3"/>
      <c r="ALC287" s="3"/>
      <c r="ALD287" s="3"/>
      <c r="ALE287" s="3"/>
      <c r="ALF287" s="3"/>
      <c r="ALG287" s="3"/>
      <c r="ALH287" s="3"/>
      <c r="ALI287" s="3"/>
      <c r="ALJ287" s="3"/>
      <c r="ALK287" s="3"/>
      <c r="ALL287" s="3"/>
      <c r="ALM287" s="3"/>
      <c r="ALN287" s="3"/>
      <c r="ALO287" s="3"/>
      <c r="ALP287" s="3"/>
      <c r="ALQ287" s="3"/>
      <c r="ALR287" s="3"/>
      <c r="ALS287" s="3"/>
      <c r="ALT287" s="3"/>
      <c r="ALU287" s="3"/>
      <c r="ALV287" s="3"/>
      <c r="ALW287" s="3"/>
      <c r="ALX287" s="3"/>
      <c r="ALY287" s="3"/>
      <c r="ALZ287" s="3"/>
      <c r="AMA287" s="3"/>
      <c r="AMB287" s="3"/>
      <c r="AMC287" s="3"/>
      <c r="AMD287" s="3"/>
      <c r="AME287" s="3"/>
      <c r="AMF287" s="3"/>
      <c r="AMG287" s="3"/>
      <c r="AMH287" s="3"/>
      <c r="AMI287" s="3"/>
      <c r="AMJ287" s="3"/>
      <c r="AMK287" s="3"/>
      <c r="AML287" s="3"/>
      <c r="AMM287" s="3"/>
    </row>
    <row r="288" spans="1:1027" ht="15" customHeight="1">
      <c r="A288" s="12">
        <v>131</v>
      </c>
      <c r="B288" s="13" t="s">
        <v>511</v>
      </c>
      <c r="C288" s="14"/>
      <c r="D288" s="14" t="s">
        <v>510</v>
      </c>
      <c r="E288" s="14" t="s">
        <v>36</v>
      </c>
      <c r="F288" s="15" t="s">
        <v>22</v>
      </c>
      <c r="G288" s="14"/>
      <c r="H288" s="58"/>
      <c r="I288" s="19"/>
      <c r="J288" s="14" t="s">
        <v>23</v>
      </c>
      <c r="K288" s="15"/>
      <c r="L288" s="15"/>
      <c r="M288" s="14" t="s">
        <v>27</v>
      </c>
      <c r="N288" s="25" t="s">
        <v>37</v>
      </c>
      <c r="O288" s="14" t="s">
        <v>179</v>
      </c>
      <c r="P288" s="14"/>
      <c r="Q288" s="14"/>
      <c r="R288" s="17">
        <v>43633</v>
      </c>
      <c r="S288" s="1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WZ288" s="3"/>
      <c r="XA288" s="3"/>
      <c r="XB288" s="3"/>
      <c r="XC288" s="3"/>
      <c r="XD288" s="3"/>
      <c r="XE288" s="3"/>
      <c r="XF288" s="3"/>
      <c r="XG288" s="3"/>
      <c r="XH288" s="3"/>
      <c r="XI288" s="3"/>
      <c r="XJ288" s="3"/>
      <c r="XK288" s="3"/>
      <c r="XL288" s="3"/>
      <c r="XM288" s="3"/>
      <c r="XN288" s="3"/>
      <c r="XO288" s="3"/>
      <c r="XP288" s="3"/>
      <c r="XQ288" s="3"/>
      <c r="XR288" s="3"/>
      <c r="XS288" s="3"/>
      <c r="XT288" s="3"/>
      <c r="XU288" s="3"/>
      <c r="XV288" s="3"/>
      <c r="XW288" s="3"/>
      <c r="XX288" s="3"/>
      <c r="XY288" s="3"/>
      <c r="XZ288" s="3"/>
      <c r="YA288" s="3"/>
      <c r="YB288" s="3"/>
      <c r="YC288" s="3"/>
      <c r="YD288" s="3"/>
      <c r="YE288" s="3"/>
      <c r="YF288" s="3"/>
      <c r="YG288" s="3"/>
      <c r="YH288" s="3"/>
      <c r="YI288" s="3"/>
      <c r="YJ288" s="3"/>
      <c r="YK288" s="3"/>
      <c r="YL288" s="3"/>
      <c r="YM288" s="3"/>
      <c r="YN288" s="3"/>
      <c r="YO288" s="3"/>
      <c r="YP288" s="3"/>
      <c r="YQ288" s="3"/>
      <c r="YR288" s="3"/>
      <c r="YS288" s="3"/>
      <c r="YT288" s="3"/>
      <c r="YU288" s="3"/>
      <c r="YV288" s="3"/>
      <c r="YW288" s="3"/>
      <c r="YX288" s="3"/>
      <c r="YY288" s="3"/>
      <c r="YZ288" s="3"/>
      <c r="ZA288" s="3"/>
      <c r="ZB288" s="3"/>
      <c r="ZC288" s="3"/>
      <c r="ZD288" s="3"/>
      <c r="ZE288" s="3"/>
      <c r="ZF288" s="3"/>
      <c r="ZG288" s="3"/>
      <c r="ZH288" s="3"/>
      <c r="ZI288" s="3"/>
      <c r="ZJ288" s="3"/>
      <c r="ZK288" s="3"/>
      <c r="ZL288" s="3"/>
      <c r="ZM288" s="3"/>
      <c r="ZN288" s="3"/>
      <c r="ZO288" s="3"/>
      <c r="ZP288" s="3"/>
      <c r="ZQ288" s="3"/>
      <c r="ZR288" s="3"/>
      <c r="ZS288" s="3"/>
      <c r="ZT288" s="3"/>
      <c r="ZU288" s="3"/>
      <c r="ZV288" s="3"/>
      <c r="ZW288" s="3"/>
      <c r="ZX288" s="3"/>
      <c r="ZY288" s="3"/>
      <c r="ZZ288" s="3"/>
      <c r="AAA288" s="3"/>
      <c r="AAB288" s="3"/>
      <c r="AAC288" s="3"/>
      <c r="AAD288" s="3"/>
      <c r="AAE288" s="3"/>
      <c r="AAF288" s="3"/>
      <c r="AAG288" s="3"/>
      <c r="AAH288" s="3"/>
      <c r="AAI288" s="3"/>
      <c r="AAJ288" s="3"/>
      <c r="AAK288" s="3"/>
      <c r="AAL288" s="3"/>
      <c r="AAM288" s="3"/>
      <c r="AAN288" s="3"/>
      <c r="AAO288" s="3"/>
      <c r="AAP288" s="3"/>
      <c r="AAQ288" s="3"/>
      <c r="AAR288" s="3"/>
      <c r="AAS288" s="3"/>
      <c r="AAT288" s="3"/>
      <c r="AAU288" s="3"/>
      <c r="AAV288" s="3"/>
      <c r="AAW288" s="3"/>
      <c r="AAX288" s="3"/>
      <c r="AAY288" s="3"/>
      <c r="AAZ288" s="3"/>
      <c r="ABA288" s="3"/>
      <c r="ABB288" s="3"/>
      <c r="ABC288" s="3"/>
      <c r="ABD288" s="3"/>
      <c r="ABE288" s="3"/>
      <c r="ABF288" s="3"/>
      <c r="ABG288" s="3"/>
      <c r="ABH288" s="3"/>
      <c r="ABI288" s="3"/>
      <c r="ABJ288" s="3"/>
      <c r="ABK288" s="3"/>
      <c r="ABL288" s="3"/>
      <c r="ABM288" s="3"/>
      <c r="ABN288" s="3"/>
      <c r="ABO288" s="3"/>
      <c r="ABP288" s="3"/>
      <c r="ABQ288" s="3"/>
      <c r="ABR288" s="3"/>
      <c r="ABS288" s="3"/>
      <c r="ABT288" s="3"/>
      <c r="ABU288" s="3"/>
      <c r="ABV288" s="3"/>
      <c r="ABW288" s="3"/>
      <c r="ABX288" s="3"/>
      <c r="ABY288" s="3"/>
      <c r="ABZ288" s="3"/>
      <c r="ACA288" s="3"/>
      <c r="ACB288" s="3"/>
      <c r="ACC288" s="3"/>
      <c r="ACD288" s="3"/>
      <c r="ACE288" s="3"/>
      <c r="ACF288" s="3"/>
      <c r="ACG288" s="3"/>
      <c r="ACH288" s="3"/>
      <c r="ACI288" s="3"/>
      <c r="ACJ288" s="3"/>
      <c r="ACK288" s="3"/>
      <c r="ACL288" s="3"/>
      <c r="ACM288" s="3"/>
      <c r="ACN288" s="3"/>
      <c r="ACO288" s="3"/>
      <c r="ACP288" s="3"/>
      <c r="ACQ288" s="3"/>
      <c r="ACR288" s="3"/>
      <c r="ACS288" s="3"/>
      <c r="ACT288" s="3"/>
      <c r="ACU288" s="3"/>
      <c r="ACV288" s="3"/>
      <c r="ACW288" s="3"/>
      <c r="ACX288" s="3"/>
      <c r="ACY288" s="3"/>
      <c r="ACZ288" s="3"/>
      <c r="ADA288" s="3"/>
      <c r="ADB288" s="3"/>
      <c r="ADC288" s="3"/>
      <c r="ADD288" s="3"/>
      <c r="ADE288" s="3"/>
      <c r="ADF288" s="3"/>
      <c r="ADG288" s="3"/>
      <c r="ADH288" s="3"/>
      <c r="ADI288" s="3"/>
      <c r="ADJ288" s="3"/>
      <c r="ADK288" s="3"/>
      <c r="ADL288" s="3"/>
      <c r="ADM288" s="3"/>
      <c r="ADN288" s="3"/>
      <c r="ADO288" s="3"/>
      <c r="ADP288" s="3"/>
      <c r="ADQ288" s="3"/>
      <c r="ADR288" s="3"/>
      <c r="ADS288" s="3"/>
      <c r="ADT288" s="3"/>
      <c r="ADU288" s="3"/>
      <c r="ADV288" s="3"/>
      <c r="ADW288" s="3"/>
      <c r="ADX288" s="3"/>
      <c r="ADY288" s="3"/>
      <c r="ADZ288" s="3"/>
      <c r="AEA288" s="3"/>
      <c r="AEB288" s="3"/>
      <c r="AEC288" s="3"/>
      <c r="AED288" s="3"/>
      <c r="AEE288" s="3"/>
      <c r="AEF288" s="3"/>
      <c r="AEG288" s="3"/>
      <c r="AEH288" s="3"/>
      <c r="AEI288" s="3"/>
      <c r="AEJ288" s="3"/>
      <c r="AEK288" s="3"/>
      <c r="AEL288" s="3"/>
      <c r="AEM288" s="3"/>
      <c r="AEN288" s="3"/>
      <c r="AEO288" s="3"/>
      <c r="AEP288" s="3"/>
      <c r="AEQ288" s="3"/>
      <c r="AER288" s="3"/>
      <c r="AES288" s="3"/>
      <c r="AET288" s="3"/>
      <c r="AEU288" s="3"/>
      <c r="AEV288" s="3"/>
      <c r="AEW288" s="3"/>
      <c r="AEX288" s="3"/>
      <c r="AEY288" s="3"/>
      <c r="AEZ288" s="3"/>
      <c r="AFA288" s="3"/>
      <c r="AFB288" s="3"/>
      <c r="AFC288" s="3"/>
      <c r="AFD288" s="3"/>
      <c r="AFE288" s="3"/>
      <c r="AFF288" s="3"/>
      <c r="AFG288" s="3"/>
      <c r="AFH288" s="3"/>
      <c r="AFI288" s="3"/>
      <c r="AFJ288" s="3"/>
      <c r="AFK288" s="3"/>
      <c r="AFL288" s="3"/>
      <c r="AFM288" s="3"/>
      <c r="AFN288" s="3"/>
      <c r="AFO288" s="3"/>
      <c r="AFP288" s="3"/>
      <c r="AFQ288" s="3"/>
      <c r="AFR288" s="3"/>
      <c r="AFS288" s="3"/>
      <c r="AFT288" s="3"/>
      <c r="AFU288" s="3"/>
      <c r="AFV288" s="3"/>
      <c r="AFW288" s="3"/>
      <c r="AFX288" s="3"/>
      <c r="AFY288" s="3"/>
      <c r="AFZ288" s="3"/>
      <c r="AGA288" s="3"/>
      <c r="AGB288" s="3"/>
      <c r="AGC288" s="3"/>
      <c r="AGD288" s="3"/>
      <c r="AGE288" s="3"/>
      <c r="AGF288" s="3"/>
      <c r="AGG288" s="3"/>
      <c r="AGH288" s="3"/>
      <c r="AGI288" s="3"/>
      <c r="AGJ288" s="3"/>
      <c r="AGK288" s="3"/>
      <c r="AGL288" s="3"/>
      <c r="AGM288" s="3"/>
      <c r="AGN288" s="3"/>
      <c r="AGO288" s="3"/>
      <c r="AGP288" s="3"/>
      <c r="AGQ288" s="3"/>
      <c r="AGR288" s="3"/>
      <c r="AGS288" s="3"/>
      <c r="AGT288" s="3"/>
      <c r="AGU288" s="3"/>
      <c r="AGV288" s="3"/>
      <c r="AGW288" s="3"/>
      <c r="AGX288" s="3"/>
      <c r="AGY288" s="3"/>
      <c r="AGZ288" s="3"/>
      <c r="AHA288" s="3"/>
      <c r="AHB288" s="3"/>
      <c r="AHC288" s="3"/>
      <c r="AHD288" s="3"/>
      <c r="AHE288" s="3"/>
      <c r="AHF288" s="3"/>
      <c r="AHG288" s="3"/>
      <c r="AHH288" s="3"/>
      <c r="AHI288" s="3"/>
      <c r="AHJ288" s="3"/>
      <c r="AHK288" s="3"/>
      <c r="AHL288" s="3"/>
      <c r="AHM288" s="3"/>
      <c r="AHN288" s="3"/>
      <c r="AHO288" s="3"/>
      <c r="AHP288" s="3"/>
      <c r="AHQ288" s="3"/>
      <c r="AHR288" s="3"/>
      <c r="AHS288" s="3"/>
      <c r="AHT288" s="3"/>
      <c r="AHU288" s="3"/>
      <c r="AHV288" s="3"/>
      <c r="AHW288" s="3"/>
      <c r="AHX288" s="3"/>
      <c r="AHY288" s="3"/>
      <c r="AHZ288" s="3"/>
      <c r="AIA288" s="3"/>
      <c r="AIB288" s="3"/>
      <c r="AIC288" s="3"/>
      <c r="AID288" s="3"/>
      <c r="AIE288" s="3"/>
      <c r="AIF288" s="3"/>
      <c r="AIG288" s="3"/>
      <c r="AIH288" s="3"/>
      <c r="AII288" s="3"/>
      <c r="AIJ288" s="3"/>
      <c r="AIK288" s="3"/>
      <c r="AIL288" s="3"/>
      <c r="AIM288" s="3"/>
      <c r="AIN288" s="3"/>
      <c r="AIO288" s="3"/>
      <c r="AIP288" s="3"/>
      <c r="AIQ288" s="3"/>
      <c r="AIR288" s="3"/>
      <c r="AIS288" s="3"/>
      <c r="AIT288" s="3"/>
      <c r="AIU288" s="3"/>
      <c r="AIV288" s="3"/>
      <c r="AIW288" s="3"/>
      <c r="AIX288" s="3"/>
      <c r="AIY288" s="3"/>
      <c r="AIZ288" s="3"/>
      <c r="AJA288" s="3"/>
      <c r="AJB288" s="3"/>
      <c r="AJC288" s="3"/>
      <c r="AJD288" s="3"/>
      <c r="AJE288" s="3"/>
      <c r="AJF288" s="3"/>
      <c r="AJG288" s="3"/>
      <c r="AJH288" s="3"/>
      <c r="AJI288" s="3"/>
      <c r="AJJ288" s="3"/>
      <c r="AJK288" s="3"/>
      <c r="AJL288" s="3"/>
      <c r="AJM288" s="3"/>
      <c r="AJN288" s="3"/>
      <c r="AJO288" s="3"/>
      <c r="AJP288" s="3"/>
      <c r="AJQ288" s="3"/>
      <c r="AJR288" s="3"/>
      <c r="AJS288" s="3"/>
      <c r="AJT288" s="3"/>
      <c r="AJU288" s="3"/>
      <c r="AJV288" s="3"/>
      <c r="AJW288" s="3"/>
      <c r="AJX288" s="3"/>
      <c r="AJY288" s="3"/>
      <c r="AJZ288" s="3"/>
      <c r="AKA288" s="3"/>
      <c r="AKB288" s="3"/>
      <c r="AKC288" s="3"/>
      <c r="AKD288" s="3"/>
      <c r="AKE288" s="3"/>
      <c r="AKF288" s="3"/>
      <c r="AKG288" s="3"/>
      <c r="AKH288" s="3"/>
      <c r="AKI288" s="3"/>
      <c r="AKJ288" s="3"/>
      <c r="AKK288" s="3"/>
      <c r="AKL288" s="3"/>
      <c r="AKM288" s="3"/>
      <c r="AKN288" s="3"/>
      <c r="AKO288" s="3"/>
      <c r="AKP288" s="3"/>
      <c r="AKQ288" s="3"/>
      <c r="AKR288" s="3"/>
      <c r="AKS288" s="3"/>
      <c r="AKT288" s="3"/>
      <c r="AKU288" s="3"/>
      <c r="AKV288" s="3"/>
      <c r="AKW288" s="3"/>
      <c r="AKX288" s="3"/>
      <c r="AKY288" s="3"/>
      <c r="AKZ288" s="3"/>
      <c r="ALA288" s="3"/>
      <c r="ALB288" s="3"/>
      <c r="ALC288" s="3"/>
      <c r="ALD288" s="3"/>
      <c r="ALE288" s="3"/>
      <c r="ALF288" s="3"/>
      <c r="ALG288" s="3"/>
      <c r="ALH288" s="3"/>
      <c r="ALI288" s="3"/>
      <c r="ALJ288" s="3"/>
      <c r="ALK288" s="3"/>
      <c r="ALL288" s="3"/>
      <c r="ALM288" s="3"/>
      <c r="ALN288" s="3"/>
      <c r="ALO288" s="3"/>
      <c r="ALP288" s="3"/>
      <c r="ALQ288" s="3"/>
      <c r="ALR288" s="3"/>
      <c r="ALS288" s="3"/>
      <c r="ALT288" s="3"/>
      <c r="ALU288" s="3"/>
      <c r="ALV288" s="3"/>
      <c r="ALW288" s="3"/>
      <c r="ALX288" s="3"/>
      <c r="ALY288" s="3"/>
      <c r="ALZ288" s="3"/>
      <c r="AMA288" s="3"/>
      <c r="AMB288" s="3"/>
      <c r="AMC288" s="3"/>
      <c r="AMD288" s="3"/>
      <c r="AME288" s="3"/>
      <c r="AMF288" s="3"/>
      <c r="AMG288" s="3"/>
      <c r="AMH288" s="3"/>
      <c r="AMI288" s="3"/>
      <c r="AMJ288" s="3"/>
      <c r="AMK288" s="3"/>
      <c r="AML288" s="3"/>
      <c r="AMM288" s="3"/>
    </row>
    <row r="289" spans="1:1027" ht="15" customHeight="1">
      <c r="A289" s="12">
        <v>908</v>
      </c>
      <c r="B289" s="13" t="s">
        <v>512</v>
      </c>
      <c r="C289" s="14"/>
      <c r="D289" s="14" t="s">
        <v>510</v>
      </c>
      <c r="E289" s="14" t="s">
        <v>36</v>
      </c>
      <c r="F289" s="15" t="s">
        <v>22</v>
      </c>
      <c r="G289" s="21"/>
      <c r="H289" s="58">
        <v>1</v>
      </c>
      <c r="I289" s="14"/>
      <c r="J289" s="14" t="s">
        <v>23</v>
      </c>
      <c r="K289" s="14"/>
      <c r="L289" s="14"/>
      <c r="M289" s="14" t="s">
        <v>29</v>
      </c>
      <c r="N289" s="14" t="s">
        <v>25</v>
      </c>
      <c r="O289" s="14"/>
      <c r="P289" s="14"/>
      <c r="Q289" s="14"/>
      <c r="R289" s="14" t="s">
        <v>158</v>
      </c>
    </row>
    <row r="290" spans="1:1027" ht="15" customHeight="1">
      <c r="A290" s="12">
        <v>1697</v>
      </c>
      <c r="B290" s="13" t="s">
        <v>513</v>
      </c>
      <c r="C290" s="14"/>
      <c r="D290" s="14" t="s">
        <v>510</v>
      </c>
      <c r="E290" s="14" t="s">
        <v>36</v>
      </c>
      <c r="F290" s="15" t="s">
        <v>22</v>
      </c>
      <c r="G290" s="14"/>
      <c r="H290" s="58">
        <v>1</v>
      </c>
      <c r="I290" s="14"/>
      <c r="J290" s="14" t="s">
        <v>23</v>
      </c>
      <c r="K290" s="14"/>
      <c r="L290" s="14"/>
      <c r="M290" s="14" t="s">
        <v>32</v>
      </c>
      <c r="N290" s="14" t="s">
        <v>25</v>
      </c>
      <c r="O290" s="14"/>
      <c r="P290" s="18"/>
      <c r="Q290" s="14"/>
      <c r="R290" s="14" t="s">
        <v>308</v>
      </c>
    </row>
    <row r="291" spans="1:1027" ht="15" customHeight="1">
      <c r="A291" s="12">
        <v>132</v>
      </c>
      <c r="B291" s="13" t="s">
        <v>514</v>
      </c>
      <c r="C291" s="14"/>
      <c r="D291" s="14" t="s">
        <v>515</v>
      </c>
      <c r="E291" s="14" t="s">
        <v>21</v>
      </c>
      <c r="F291" s="15" t="s">
        <v>22</v>
      </c>
      <c r="G291" s="14"/>
      <c r="H291" s="58">
        <v>1</v>
      </c>
      <c r="I291" s="19"/>
      <c r="J291" s="14" t="s">
        <v>23</v>
      </c>
      <c r="K291" s="15"/>
      <c r="L291" s="15"/>
      <c r="M291" s="14" t="s">
        <v>27</v>
      </c>
      <c r="N291" s="22" t="s">
        <v>25</v>
      </c>
      <c r="O291" s="14"/>
      <c r="P291" s="14"/>
      <c r="Q291" s="14"/>
      <c r="R291" s="17">
        <v>43633</v>
      </c>
      <c r="S291" s="1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WR291" s="3"/>
      <c r="WS291" s="3"/>
      <c r="WT291" s="3"/>
      <c r="WU291" s="3"/>
      <c r="WV291" s="3"/>
      <c r="WW291" s="3"/>
      <c r="WX291" s="3"/>
      <c r="WY291" s="3"/>
      <c r="WZ291" s="3"/>
      <c r="XA291" s="3"/>
      <c r="XB291" s="3"/>
      <c r="XC291" s="3"/>
      <c r="XD291" s="3"/>
      <c r="XE291" s="3"/>
      <c r="XF291" s="3"/>
      <c r="XG291" s="3"/>
      <c r="XH291" s="3"/>
      <c r="XI291" s="3"/>
      <c r="XJ291" s="3"/>
      <c r="XK291" s="3"/>
      <c r="XL291" s="3"/>
      <c r="XM291" s="3"/>
      <c r="XN291" s="3"/>
      <c r="XO291" s="3"/>
      <c r="XP291" s="3"/>
      <c r="XQ291" s="3"/>
      <c r="XR291" s="3"/>
      <c r="XS291" s="3"/>
      <c r="XT291" s="3"/>
      <c r="XU291" s="3"/>
      <c r="XV291" s="3"/>
      <c r="XW291" s="3"/>
      <c r="XX291" s="3"/>
      <c r="XY291" s="3"/>
      <c r="XZ291" s="3"/>
      <c r="YA291" s="3"/>
      <c r="YB291" s="3"/>
      <c r="YC291" s="3"/>
      <c r="YD291" s="3"/>
      <c r="YE291" s="3"/>
      <c r="YF291" s="3"/>
      <c r="YG291" s="3"/>
      <c r="YH291" s="3"/>
      <c r="YI291" s="3"/>
      <c r="YJ291" s="3"/>
      <c r="YK291" s="3"/>
      <c r="YL291" s="3"/>
      <c r="YM291" s="3"/>
      <c r="YN291" s="3"/>
      <c r="YO291" s="3"/>
      <c r="YP291" s="3"/>
      <c r="YQ291" s="3"/>
      <c r="YR291" s="3"/>
      <c r="YS291" s="3"/>
      <c r="YT291" s="3"/>
      <c r="YU291" s="3"/>
      <c r="YV291" s="3"/>
      <c r="YW291" s="3"/>
      <c r="YX291" s="3"/>
      <c r="YY291" s="3"/>
      <c r="YZ291" s="3"/>
      <c r="ZA291" s="3"/>
      <c r="ZB291" s="3"/>
      <c r="ZC291" s="3"/>
      <c r="ZD291" s="3"/>
      <c r="ZE291" s="3"/>
      <c r="ZF291" s="3"/>
      <c r="ZG291" s="3"/>
      <c r="ZH291" s="3"/>
      <c r="ZI291" s="3"/>
      <c r="ZJ291" s="3"/>
      <c r="ZK291" s="3"/>
      <c r="ZL291" s="3"/>
      <c r="ZM291" s="3"/>
      <c r="ZN291" s="3"/>
      <c r="ZO291" s="3"/>
      <c r="ZP291" s="3"/>
      <c r="ZQ291" s="3"/>
      <c r="ZR291" s="3"/>
      <c r="ZS291" s="3"/>
      <c r="ZT291" s="3"/>
      <c r="ZU291" s="3"/>
      <c r="ZV291" s="3"/>
      <c r="ZW291" s="3"/>
      <c r="ZX291" s="3"/>
      <c r="ZY291" s="3"/>
      <c r="ZZ291" s="3"/>
      <c r="AAA291" s="3"/>
      <c r="AAB291" s="3"/>
      <c r="AAC291" s="3"/>
      <c r="AAD291" s="3"/>
      <c r="AAE291" s="3"/>
      <c r="AAF291" s="3"/>
      <c r="AAG291" s="3"/>
      <c r="AAH291" s="3"/>
      <c r="AAI291" s="3"/>
      <c r="AAJ291" s="3"/>
      <c r="AAK291" s="3"/>
      <c r="AAL291" s="3"/>
      <c r="AAM291" s="3"/>
      <c r="AAN291" s="3"/>
      <c r="AAO291" s="3"/>
      <c r="AAP291" s="3"/>
      <c r="AAQ291" s="3"/>
      <c r="AAR291" s="3"/>
      <c r="AAS291" s="3"/>
      <c r="AAT291" s="3"/>
      <c r="AAU291" s="3"/>
      <c r="AAV291" s="3"/>
      <c r="AAW291" s="3"/>
      <c r="AAX291" s="3"/>
      <c r="AAY291" s="3"/>
      <c r="AAZ291" s="3"/>
      <c r="ABA291" s="3"/>
      <c r="ABB291" s="3"/>
      <c r="ABC291" s="3"/>
      <c r="ABD291" s="3"/>
      <c r="ABE291" s="3"/>
      <c r="ABF291" s="3"/>
      <c r="ABG291" s="3"/>
      <c r="ABH291" s="3"/>
      <c r="ABI291" s="3"/>
      <c r="ABJ291" s="3"/>
      <c r="ABK291" s="3"/>
      <c r="ABL291" s="3"/>
      <c r="ABM291" s="3"/>
      <c r="ABN291" s="3"/>
      <c r="ABO291" s="3"/>
      <c r="ABP291" s="3"/>
      <c r="ABQ291" s="3"/>
      <c r="ABR291" s="3"/>
      <c r="ABS291" s="3"/>
      <c r="ABT291" s="3"/>
      <c r="ABU291" s="3"/>
      <c r="ABV291" s="3"/>
      <c r="ABW291" s="3"/>
      <c r="ABX291" s="3"/>
      <c r="ABY291" s="3"/>
      <c r="ABZ291" s="3"/>
      <c r="ACA291" s="3"/>
      <c r="ACB291" s="3"/>
      <c r="ACC291" s="3"/>
      <c r="ACD291" s="3"/>
      <c r="ACE291" s="3"/>
      <c r="ACF291" s="3"/>
      <c r="ACG291" s="3"/>
      <c r="ACH291" s="3"/>
      <c r="ACI291" s="3"/>
      <c r="ACJ291" s="3"/>
      <c r="ACK291" s="3"/>
      <c r="ACL291" s="3"/>
      <c r="ACM291" s="3"/>
      <c r="ACN291" s="3"/>
      <c r="ACO291" s="3"/>
      <c r="ACP291" s="3"/>
      <c r="ACQ291" s="3"/>
      <c r="ACR291" s="3"/>
      <c r="ACS291" s="3"/>
      <c r="ACT291" s="3"/>
      <c r="ACU291" s="3"/>
      <c r="ACV291" s="3"/>
      <c r="ACW291" s="3"/>
      <c r="ACX291" s="3"/>
      <c r="ACY291" s="3"/>
      <c r="ACZ291" s="3"/>
      <c r="ADA291" s="3"/>
      <c r="ADB291" s="3"/>
      <c r="ADC291" s="3"/>
      <c r="ADD291" s="3"/>
      <c r="ADE291" s="3"/>
      <c r="ADF291" s="3"/>
      <c r="ADG291" s="3"/>
      <c r="ADH291" s="3"/>
      <c r="ADI291" s="3"/>
      <c r="ADJ291" s="3"/>
      <c r="ADK291" s="3"/>
      <c r="ADL291" s="3"/>
      <c r="ADM291" s="3"/>
      <c r="ADN291" s="3"/>
      <c r="ADO291" s="3"/>
      <c r="ADP291" s="3"/>
      <c r="ADQ291" s="3"/>
      <c r="ADR291" s="3"/>
      <c r="ADS291" s="3"/>
      <c r="ADT291" s="3"/>
      <c r="ADU291" s="3"/>
      <c r="ADV291" s="3"/>
      <c r="ADW291" s="3"/>
      <c r="ADX291" s="3"/>
      <c r="ADY291" s="3"/>
      <c r="ADZ291" s="3"/>
      <c r="AEA291" s="3"/>
      <c r="AEB291" s="3"/>
      <c r="AEC291" s="3"/>
      <c r="AED291" s="3"/>
      <c r="AEE291" s="3"/>
      <c r="AEF291" s="3"/>
      <c r="AEG291" s="3"/>
      <c r="AEH291" s="3"/>
      <c r="AEI291" s="3"/>
      <c r="AEJ291" s="3"/>
      <c r="AEK291" s="3"/>
      <c r="AEL291" s="3"/>
      <c r="AEM291" s="3"/>
      <c r="AEN291" s="3"/>
      <c r="AEO291" s="3"/>
      <c r="AEP291" s="3"/>
      <c r="AEQ291" s="3"/>
      <c r="AER291" s="3"/>
      <c r="AES291" s="3"/>
      <c r="AET291" s="3"/>
      <c r="AEU291" s="3"/>
      <c r="AEV291" s="3"/>
      <c r="AEW291" s="3"/>
      <c r="AEX291" s="3"/>
      <c r="AEY291" s="3"/>
      <c r="AEZ291" s="3"/>
      <c r="AFA291" s="3"/>
      <c r="AFB291" s="3"/>
      <c r="AFC291" s="3"/>
      <c r="AFD291" s="3"/>
      <c r="AFE291" s="3"/>
      <c r="AFF291" s="3"/>
      <c r="AFG291" s="3"/>
      <c r="AFH291" s="3"/>
      <c r="AFI291" s="3"/>
      <c r="AFJ291" s="3"/>
      <c r="AFK291" s="3"/>
      <c r="AFL291" s="3"/>
      <c r="AFM291" s="3"/>
      <c r="AFN291" s="3"/>
      <c r="AFO291" s="3"/>
      <c r="AFP291" s="3"/>
      <c r="AFQ291" s="3"/>
      <c r="AFR291" s="3"/>
      <c r="AFS291" s="3"/>
      <c r="AFT291" s="3"/>
      <c r="AFU291" s="3"/>
      <c r="AFV291" s="3"/>
      <c r="AFW291" s="3"/>
      <c r="AFX291" s="3"/>
      <c r="AFY291" s="3"/>
      <c r="AFZ291" s="3"/>
      <c r="AGA291" s="3"/>
      <c r="AGB291" s="3"/>
      <c r="AGC291" s="3"/>
      <c r="AGD291" s="3"/>
      <c r="AGE291" s="3"/>
      <c r="AGF291" s="3"/>
      <c r="AGG291" s="3"/>
      <c r="AGH291" s="3"/>
      <c r="AGI291" s="3"/>
      <c r="AGJ291" s="3"/>
      <c r="AGK291" s="3"/>
      <c r="AGL291" s="3"/>
      <c r="AGM291" s="3"/>
      <c r="AGN291" s="3"/>
      <c r="AGO291" s="3"/>
      <c r="AGP291" s="3"/>
      <c r="AGQ291" s="3"/>
      <c r="AGR291" s="3"/>
      <c r="AGS291" s="3"/>
      <c r="AGT291" s="3"/>
      <c r="AGU291" s="3"/>
      <c r="AGV291" s="3"/>
      <c r="AGW291" s="3"/>
      <c r="AGX291" s="3"/>
      <c r="AGY291" s="3"/>
      <c r="AGZ291" s="3"/>
      <c r="AHA291" s="3"/>
      <c r="AHB291" s="3"/>
      <c r="AHC291" s="3"/>
      <c r="AHD291" s="3"/>
      <c r="AHE291" s="3"/>
      <c r="AHF291" s="3"/>
      <c r="AHG291" s="3"/>
      <c r="AHH291" s="3"/>
      <c r="AHI291" s="3"/>
      <c r="AHJ291" s="3"/>
      <c r="AHK291" s="3"/>
      <c r="AHL291" s="3"/>
      <c r="AHM291" s="3"/>
      <c r="AHN291" s="3"/>
      <c r="AHO291" s="3"/>
      <c r="AHP291" s="3"/>
      <c r="AHQ291" s="3"/>
      <c r="AHR291" s="3"/>
      <c r="AHS291" s="3"/>
      <c r="AHT291" s="3"/>
      <c r="AHU291" s="3"/>
      <c r="AHV291" s="3"/>
      <c r="AHW291" s="3"/>
      <c r="AHX291" s="3"/>
      <c r="AHY291" s="3"/>
      <c r="AHZ291" s="3"/>
      <c r="AIA291" s="3"/>
      <c r="AIB291" s="3"/>
      <c r="AIC291" s="3"/>
      <c r="AID291" s="3"/>
      <c r="AIE291" s="3"/>
      <c r="AIF291" s="3"/>
      <c r="AIG291" s="3"/>
      <c r="AIH291" s="3"/>
      <c r="AII291" s="3"/>
      <c r="AIJ291" s="3"/>
      <c r="AIK291" s="3"/>
      <c r="AIL291" s="3"/>
      <c r="AIM291" s="3"/>
      <c r="AIN291" s="3"/>
      <c r="AIO291" s="3"/>
      <c r="AIP291" s="3"/>
      <c r="AIQ291" s="3"/>
      <c r="AIR291" s="3"/>
      <c r="AIS291" s="3"/>
      <c r="AIT291" s="3"/>
      <c r="AIU291" s="3"/>
      <c r="AIV291" s="3"/>
      <c r="AIW291" s="3"/>
      <c r="AIX291" s="3"/>
      <c r="AIY291" s="3"/>
      <c r="AIZ291" s="3"/>
      <c r="AJA291" s="3"/>
      <c r="AJB291" s="3"/>
      <c r="AJC291" s="3"/>
      <c r="AJD291" s="3"/>
      <c r="AJE291" s="3"/>
      <c r="AJF291" s="3"/>
      <c r="AJG291" s="3"/>
      <c r="AJH291" s="3"/>
      <c r="AJI291" s="3"/>
      <c r="AJJ291" s="3"/>
      <c r="AJK291" s="3"/>
      <c r="AJL291" s="3"/>
      <c r="AJM291" s="3"/>
      <c r="AJN291" s="3"/>
      <c r="AJO291" s="3"/>
      <c r="AJP291" s="3"/>
      <c r="AJQ291" s="3"/>
      <c r="AJR291" s="3"/>
      <c r="AJS291" s="3"/>
      <c r="AJT291" s="3"/>
      <c r="AJU291" s="3"/>
      <c r="AJV291" s="3"/>
      <c r="AJW291" s="3"/>
      <c r="AJX291" s="3"/>
      <c r="AJY291" s="3"/>
      <c r="AJZ291" s="3"/>
      <c r="AKA291" s="3"/>
      <c r="AKB291" s="3"/>
      <c r="AKC291" s="3"/>
      <c r="AKD291" s="3"/>
      <c r="AKE291" s="3"/>
      <c r="AKF291" s="3"/>
      <c r="AKG291" s="3"/>
      <c r="AKH291" s="3"/>
      <c r="AKI291" s="3"/>
      <c r="AKJ291" s="3"/>
      <c r="AKK291" s="3"/>
      <c r="AKL291" s="3"/>
      <c r="AKM291" s="3"/>
      <c r="AKN291" s="3"/>
      <c r="AKO291" s="3"/>
      <c r="AKP291" s="3"/>
      <c r="AKQ291" s="3"/>
      <c r="AKR291" s="3"/>
      <c r="AKS291" s="3"/>
      <c r="AKT291" s="3"/>
      <c r="AKU291" s="3"/>
      <c r="AKV291" s="3"/>
      <c r="AKW291" s="3"/>
      <c r="AKX291" s="3"/>
      <c r="AKY291" s="3"/>
      <c r="AKZ291" s="3"/>
      <c r="ALA291" s="3"/>
      <c r="ALB291" s="3"/>
      <c r="ALC291" s="3"/>
      <c r="ALD291" s="3"/>
      <c r="ALE291" s="3"/>
      <c r="ALF291" s="3"/>
      <c r="ALG291" s="3"/>
      <c r="ALH291" s="3"/>
      <c r="ALI291" s="3"/>
      <c r="ALJ291" s="3"/>
      <c r="ALK291" s="3"/>
      <c r="ALL291" s="3"/>
      <c r="ALM291" s="3"/>
      <c r="ALN291" s="3"/>
      <c r="ALO291" s="3"/>
      <c r="ALP291" s="3"/>
      <c r="ALQ291" s="3"/>
      <c r="ALR291" s="3"/>
      <c r="ALS291" s="3"/>
      <c r="ALT291" s="3"/>
      <c r="ALU291" s="3"/>
      <c r="ALV291" s="3"/>
      <c r="ALW291" s="3"/>
      <c r="ALX291" s="3"/>
      <c r="ALY291" s="3"/>
      <c r="ALZ291" s="3"/>
      <c r="AMA291" s="3"/>
      <c r="AMB291" s="3"/>
      <c r="AMC291" s="3"/>
      <c r="AMD291" s="3"/>
      <c r="AME291" s="3"/>
      <c r="AMF291" s="3"/>
      <c r="AMG291" s="3"/>
      <c r="AMH291" s="3"/>
      <c r="AMI291" s="3"/>
      <c r="AMJ291" s="3"/>
      <c r="AMK291" s="3"/>
      <c r="AML291" s="3"/>
      <c r="AMM291" s="3"/>
    </row>
    <row r="292" spans="1:1027" ht="15" customHeight="1">
      <c r="A292" s="12">
        <v>909</v>
      </c>
      <c r="B292" s="13" t="s">
        <v>516</v>
      </c>
      <c r="C292" s="14"/>
      <c r="D292" s="14" t="s">
        <v>515</v>
      </c>
      <c r="E292" s="14" t="s">
        <v>21</v>
      </c>
      <c r="F292" s="15" t="s">
        <v>22</v>
      </c>
      <c r="G292" s="21"/>
      <c r="H292" s="58">
        <v>1</v>
      </c>
      <c r="I292" s="14"/>
      <c r="J292" s="14" t="s">
        <v>23</v>
      </c>
      <c r="K292" s="14"/>
      <c r="L292" s="14"/>
      <c r="M292" s="14" t="s">
        <v>29</v>
      </c>
      <c r="N292" s="14" t="s">
        <v>25</v>
      </c>
      <c r="O292" s="14"/>
      <c r="P292" s="14"/>
      <c r="Q292" s="14"/>
      <c r="R292" s="14" t="s">
        <v>158</v>
      </c>
    </row>
    <row r="293" spans="1:1027" ht="15" customHeight="1">
      <c r="A293" s="12">
        <v>1698</v>
      </c>
      <c r="B293" s="13" t="s">
        <v>517</v>
      </c>
      <c r="C293" s="14"/>
      <c r="D293" s="14" t="s">
        <v>515</v>
      </c>
      <c r="E293" s="14" t="s">
        <v>21</v>
      </c>
      <c r="F293" s="15" t="s">
        <v>22</v>
      </c>
      <c r="G293" s="14"/>
      <c r="H293" s="58">
        <v>0</v>
      </c>
      <c r="I293" s="14"/>
      <c r="J293" s="14" t="s">
        <v>23</v>
      </c>
      <c r="K293" s="14"/>
      <c r="L293" s="14"/>
      <c r="M293" s="14" t="s">
        <v>32</v>
      </c>
      <c r="N293" s="14" t="s">
        <v>25</v>
      </c>
      <c r="O293" s="14"/>
      <c r="P293" s="18"/>
      <c r="Q293" s="14"/>
      <c r="R293" s="14" t="s">
        <v>308</v>
      </c>
    </row>
    <row r="294" spans="1:1027" ht="15" customHeight="1">
      <c r="A294" s="12">
        <v>133</v>
      </c>
      <c r="B294" s="13" t="s">
        <v>518</v>
      </c>
      <c r="C294" s="14"/>
      <c r="D294" s="14" t="s">
        <v>519</v>
      </c>
      <c r="E294" s="14" t="s">
        <v>36</v>
      </c>
      <c r="F294" s="15" t="s">
        <v>22</v>
      </c>
      <c r="G294" s="14"/>
      <c r="H294" s="58"/>
      <c r="I294" s="19"/>
      <c r="J294" s="14" t="s">
        <v>23</v>
      </c>
      <c r="K294" s="15"/>
      <c r="L294" s="15"/>
      <c r="M294" s="14" t="s">
        <v>27</v>
      </c>
      <c r="N294" s="25" t="s">
        <v>37</v>
      </c>
      <c r="O294" s="14" t="s">
        <v>38</v>
      </c>
      <c r="P294" s="14"/>
      <c r="Q294" s="14"/>
      <c r="R294" s="17">
        <v>43633</v>
      </c>
      <c r="S294" s="12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WZ294" s="3"/>
      <c r="XA294" s="3"/>
      <c r="XB294" s="3"/>
      <c r="XC294" s="3"/>
      <c r="XD294" s="3"/>
      <c r="XE294" s="3"/>
      <c r="XF294" s="3"/>
      <c r="XG294" s="3"/>
      <c r="XH294" s="3"/>
      <c r="XI294" s="3"/>
      <c r="XJ294" s="3"/>
      <c r="XK294" s="3"/>
      <c r="XL294" s="3"/>
      <c r="XM294" s="3"/>
      <c r="XN294" s="3"/>
      <c r="XO294" s="3"/>
      <c r="XP294" s="3"/>
      <c r="XQ294" s="3"/>
      <c r="XR294" s="3"/>
      <c r="XS294" s="3"/>
      <c r="XT294" s="3"/>
      <c r="XU294" s="3"/>
      <c r="XV294" s="3"/>
      <c r="XW294" s="3"/>
      <c r="XX294" s="3"/>
      <c r="XY294" s="3"/>
      <c r="XZ294" s="3"/>
      <c r="YA294" s="3"/>
      <c r="YB294" s="3"/>
      <c r="YC294" s="3"/>
      <c r="YD294" s="3"/>
      <c r="YE294" s="3"/>
      <c r="YF294" s="3"/>
      <c r="YG294" s="3"/>
      <c r="YH294" s="3"/>
      <c r="YI294" s="3"/>
      <c r="YJ294" s="3"/>
      <c r="YK294" s="3"/>
      <c r="YL294" s="3"/>
      <c r="YM294" s="3"/>
      <c r="YN294" s="3"/>
      <c r="YO294" s="3"/>
      <c r="YP294" s="3"/>
      <c r="YQ294" s="3"/>
      <c r="YR294" s="3"/>
      <c r="YS294" s="3"/>
      <c r="YT294" s="3"/>
      <c r="YU294" s="3"/>
      <c r="YV294" s="3"/>
      <c r="YW294" s="3"/>
      <c r="YX294" s="3"/>
      <c r="YY294" s="3"/>
      <c r="YZ294" s="3"/>
      <c r="ZA294" s="3"/>
      <c r="ZB294" s="3"/>
      <c r="ZC294" s="3"/>
      <c r="ZD294" s="3"/>
      <c r="ZE294" s="3"/>
      <c r="ZF294" s="3"/>
      <c r="ZG294" s="3"/>
      <c r="ZH294" s="3"/>
      <c r="ZI294" s="3"/>
      <c r="ZJ294" s="3"/>
      <c r="ZK294" s="3"/>
      <c r="ZL294" s="3"/>
      <c r="ZM294" s="3"/>
      <c r="ZN294" s="3"/>
      <c r="ZO294" s="3"/>
      <c r="ZP294" s="3"/>
      <c r="ZQ294" s="3"/>
      <c r="ZR294" s="3"/>
      <c r="ZS294" s="3"/>
      <c r="ZT294" s="3"/>
      <c r="ZU294" s="3"/>
      <c r="ZV294" s="3"/>
      <c r="ZW294" s="3"/>
      <c r="ZX294" s="3"/>
      <c r="ZY294" s="3"/>
      <c r="ZZ294" s="3"/>
      <c r="AAA294" s="3"/>
      <c r="AAB294" s="3"/>
      <c r="AAC294" s="3"/>
      <c r="AAD294" s="3"/>
      <c r="AAE294" s="3"/>
      <c r="AAF294" s="3"/>
      <c r="AAG294" s="3"/>
      <c r="AAH294" s="3"/>
      <c r="AAI294" s="3"/>
      <c r="AAJ294" s="3"/>
      <c r="AAK294" s="3"/>
      <c r="AAL294" s="3"/>
      <c r="AAM294" s="3"/>
      <c r="AAN294" s="3"/>
      <c r="AAO294" s="3"/>
      <c r="AAP294" s="3"/>
      <c r="AAQ294" s="3"/>
      <c r="AAR294" s="3"/>
      <c r="AAS294" s="3"/>
      <c r="AAT294" s="3"/>
      <c r="AAU294" s="3"/>
      <c r="AAV294" s="3"/>
      <c r="AAW294" s="3"/>
      <c r="AAX294" s="3"/>
      <c r="AAY294" s="3"/>
      <c r="AAZ294" s="3"/>
      <c r="ABA294" s="3"/>
      <c r="ABB294" s="3"/>
      <c r="ABC294" s="3"/>
      <c r="ABD294" s="3"/>
      <c r="ABE294" s="3"/>
      <c r="ABF294" s="3"/>
      <c r="ABG294" s="3"/>
      <c r="ABH294" s="3"/>
      <c r="ABI294" s="3"/>
      <c r="ABJ294" s="3"/>
      <c r="ABK294" s="3"/>
      <c r="ABL294" s="3"/>
      <c r="ABM294" s="3"/>
      <c r="ABN294" s="3"/>
      <c r="ABO294" s="3"/>
      <c r="ABP294" s="3"/>
      <c r="ABQ294" s="3"/>
      <c r="ABR294" s="3"/>
      <c r="ABS294" s="3"/>
      <c r="ABT294" s="3"/>
      <c r="ABU294" s="3"/>
      <c r="ABV294" s="3"/>
      <c r="ABW294" s="3"/>
      <c r="ABX294" s="3"/>
      <c r="ABY294" s="3"/>
      <c r="ABZ294" s="3"/>
      <c r="ACA294" s="3"/>
      <c r="ACB294" s="3"/>
      <c r="ACC294" s="3"/>
      <c r="ACD294" s="3"/>
      <c r="ACE294" s="3"/>
      <c r="ACF294" s="3"/>
      <c r="ACG294" s="3"/>
      <c r="ACH294" s="3"/>
      <c r="ACI294" s="3"/>
      <c r="ACJ294" s="3"/>
      <c r="ACK294" s="3"/>
      <c r="ACL294" s="3"/>
      <c r="ACM294" s="3"/>
      <c r="ACN294" s="3"/>
      <c r="ACO294" s="3"/>
      <c r="ACP294" s="3"/>
      <c r="ACQ294" s="3"/>
      <c r="ACR294" s="3"/>
      <c r="ACS294" s="3"/>
      <c r="ACT294" s="3"/>
      <c r="ACU294" s="3"/>
      <c r="ACV294" s="3"/>
      <c r="ACW294" s="3"/>
      <c r="ACX294" s="3"/>
      <c r="ACY294" s="3"/>
      <c r="ACZ294" s="3"/>
      <c r="ADA294" s="3"/>
      <c r="ADB294" s="3"/>
      <c r="ADC294" s="3"/>
      <c r="ADD294" s="3"/>
      <c r="ADE294" s="3"/>
      <c r="ADF294" s="3"/>
      <c r="ADG294" s="3"/>
      <c r="ADH294" s="3"/>
      <c r="ADI294" s="3"/>
      <c r="ADJ294" s="3"/>
      <c r="ADK294" s="3"/>
      <c r="ADL294" s="3"/>
      <c r="ADM294" s="3"/>
      <c r="ADN294" s="3"/>
      <c r="ADO294" s="3"/>
      <c r="ADP294" s="3"/>
      <c r="ADQ294" s="3"/>
      <c r="ADR294" s="3"/>
      <c r="ADS294" s="3"/>
      <c r="ADT294" s="3"/>
      <c r="ADU294" s="3"/>
      <c r="ADV294" s="3"/>
      <c r="ADW294" s="3"/>
      <c r="ADX294" s="3"/>
      <c r="ADY294" s="3"/>
      <c r="ADZ294" s="3"/>
      <c r="AEA294" s="3"/>
      <c r="AEB294" s="3"/>
      <c r="AEC294" s="3"/>
      <c r="AED294" s="3"/>
      <c r="AEE294" s="3"/>
      <c r="AEF294" s="3"/>
      <c r="AEG294" s="3"/>
      <c r="AEH294" s="3"/>
      <c r="AEI294" s="3"/>
      <c r="AEJ294" s="3"/>
      <c r="AEK294" s="3"/>
      <c r="AEL294" s="3"/>
      <c r="AEM294" s="3"/>
      <c r="AEN294" s="3"/>
      <c r="AEO294" s="3"/>
      <c r="AEP294" s="3"/>
      <c r="AEQ294" s="3"/>
      <c r="AER294" s="3"/>
      <c r="AES294" s="3"/>
      <c r="AET294" s="3"/>
      <c r="AEU294" s="3"/>
      <c r="AEV294" s="3"/>
      <c r="AEW294" s="3"/>
      <c r="AEX294" s="3"/>
      <c r="AEY294" s="3"/>
      <c r="AEZ294" s="3"/>
      <c r="AFA294" s="3"/>
      <c r="AFB294" s="3"/>
      <c r="AFC294" s="3"/>
      <c r="AFD294" s="3"/>
      <c r="AFE294" s="3"/>
      <c r="AFF294" s="3"/>
      <c r="AFG294" s="3"/>
      <c r="AFH294" s="3"/>
      <c r="AFI294" s="3"/>
      <c r="AFJ294" s="3"/>
      <c r="AFK294" s="3"/>
      <c r="AFL294" s="3"/>
      <c r="AFM294" s="3"/>
      <c r="AFN294" s="3"/>
      <c r="AFO294" s="3"/>
      <c r="AFP294" s="3"/>
      <c r="AFQ294" s="3"/>
      <c r="AFR294" s="3"/>
      <c r="AFS294" s="3"/>
      <c r="AFT294" s="3"/>
      <c r="AFU294" s="3"/>
      <c r="AFV294" s="3"/>
      <c r="AFW294" s="3"/>
      <c r="AFX294" s="3"/>
      <c r="AFY294" s="3"/>
      <c r="AFZ294" s="3"/>
      <c r="AGA294" s="3"/>
      <c r="AGB294" s="3"/>
      <c r="AGC294" s="3"/>
      <c r="AGD294" s="3"/>
      <c r="AGE294" s="3"/>
      <c r="AGF294" s="3"/>
      <c r="AGG294" s="3"/>
      <c r="AGH294" s="3"/>
      <c r="AGI294" s="3"/>
      <c r="AGJ294" s="3"/>
      <c r="AGK294" s="3"/>
      <c r="AGL294" s="3"/>
      <c r="AGM294" s="3"/>
      <c r="AGN294" s="3"/>
      <c r="AGO294" s="3"/>
      <c r="AGP294" s="3"/>
      <c r="AGQ294" s="3"/>
      <c r="AGR294" s="3"/>
      <c r="AGS294" s="3"/>
      <c r="AGT294" s="3"/>
      <c r="AGU294" s="3"/>
      <c r="AGV294" s="3"/>
      <c r="AGW294" s="3"/>
      <c r="AGX294" s="3"/>
      <c r="AGY294" s="3"/>
      <c r="AGZ294" s="3"/>
      <c r="AHA294" s="3"/>
      <c r="AHB294" s="3"/>
      <c r="AHC294" s="3"/>
      <c r="AHD294" s="3"/>
      <c r="AHE294" s="3"/>
      <c r="AHF294" s="3"/>
      <c r="AHG294" s="3"/>
      <c r="AHH294" s="3"/>
      <c r="AHI294" s="3"/>
      <c r="AHJ294" s="3"/>
      <c r="AHK294" s="3"/>
      <c r="AHL294" s="3"/>
      <c r="AHM294" s="3"/>
      <c r="AHN294" s="3"/>
      <c r="AHO294" s="3"/>
      <c r="AHP294" s="3"/>
      <c r="AHQ294" s="3"/>
      <c r="AHR294" s="3"/>
      <c r="AHS294" s="3"/>
      <c r="AHT294" s="3"/>
      <c r="AHU294" s="3"/>
      <c r="AHV294" s="3"/>
      <c r="AHW294" s="3"/>
      <c r="AHX294" s="3"/>
      <c r="AHY294" s="3"/>
      <c r="AHZ294" s="3"/>
      <c r="AIA294" s="3"/>
      <c r="AIB294" s="3"/>
      <c r="AIC294" s="3"/>
      <c r="AID294" s="3"/>
      <c r="AIE294" s="3"/>
      <c r="AIF294" s="3"/>
      <c r="AIG294" s="3"/>
      <c r="AIH294" s="3"/>
      <c r="AII294" s="3"/>
      <c r="AIJ294" s="3"/>
      <c r="AIK294" s="3"/>
      <c r="AIL294" s="3"/>
      <c r="AIM294" s="3"/>
      <c r="AIN294" s="3"/>
      <c r="AIO294" s="3"/>
      <c r="AIP294" s="3"/>
      <c r="AIQ294" s="3"/>
      <c r="AIR294" s="3"/>
      <c r="AIS294" s="3"/>
      <c r="AIT294" s="3"/>
      <c r="AIU294" s="3"/>
      <c r="AIV294" s="3"/>
      <c r="AIW294" s="3"/>
      <c r="AIX294" s="3"/>
      <c r="AIY294" s="3"/>
      <c r="AIZ294" s="3"/>
      <c r="AJA294" s="3"/>
      <c r="AJB294" s="3"/>
      <c r="AJC294" s="3"/>
      <c r="AJD294" s="3"/>
      <c r="AJE294" s="3"/>
      <c r="AJF294" s="3"/>
      <c r="AJG294" s="3"/>
      <c r="AJH294" s="3"/>
      <c r="AJI294" s="3"/>
      <c r="AJJ294" s="3"/>
      <c r="AJK294" s="3"/>
      <c r="AJL294" s="3"/>
      <c r="AJM294" s="3"/>
      <c r="AJN294" s="3"/>
      <c r="AJO294" s="3"/>
      <c r="AJP294" s="3"/>
      <c r="AJQ294" s="3"/>
      <c r="AJR294" s="3"/>
      <c r="AJS294" s="3"/>
      <c r="AJT294" s="3"/>
      <c r="AJU294" s="3"/>
      <c r="AJV294" s="3"/>
      <c r="AJW294" s="3"/>
      <c r="AJX294" s="3"/>
      <c r="AJY294" s="3"/>
      <c r="AJZ294" s="3"/>
      <c r="AKA294" s="3"/>
      <c r="AKB294" s="3"/>
      <c r="AKC294" s="3"/>
      <c r="AKD294" s="3"/>
      <c r="AKE294" s="3"/>
      <c r="AKF294" s="3"/>
      <c r="AKG294" s="3"/>
      <c r="AKH294" s="3"/>
      <c r="AKI294" s="3"/>
      <c r="AKJ294" s="3"/>
      <c r="AKK294" s="3"/>
      <c r="AKL294" s="3"/>
      <c r="AKM294" s="3"/>
      <c r="AKN294" s="3"/>
      <c r="AKO294" s="3"/>
      <c r="AKP294" s="3"/>
      <c r="AKQ294" s="3"/>
      <c r="AKR294" s="3"/>
      <c r="AKS294" s="3"/>
      <c r="AKT294" s="3"/>
      <c r="AKU294" s="3"/>
      <c r="AKV294" s="3"/>
      <c r="AKW294" s="3"/>
      <c r="AKX294" s="3"/>
      <c r="AKY294" s="3"/>
      <c r="AKZ294" s="3"/>
      <c r="ALA294" s="3"/>
      <c r="ALB294" s="3"/>
      <c r="ALC294" s="3"/>
      <c r="ALD294" s="3"/>
      <c r="ALE294" s="3"/>
      <c r="ALF294" s="3"/>
      <c r="ALG294" s="3"/>
      <c r="ALH294" s="3"/>
      <c r="ALI294" s="3"/>
      <c r="ALJ294" s="3"/>
      <c r="ALK294" s="3"/>
      <c r="ALL294" s="3"/>
      <c r="ALM294" s="3"/>
      <c r="ALN294" s="3"/>
      <c r="ALO294" s="3"/>
      <c r="ALP294" s="3"/>
      <c r="ALQ294" s="3"/>
      <c r="ALR294" s="3"/>
      <c r="ALS294" s="3"/>
      <c r="ALT294" s="3"/>
      <c r="ALU294" s="3"/>
      <c r="ALV294" s="3"/>
      <c r="ALW294" s="3"/>
      <c r="ALX294" s="3"/>
      <c r="ALY294" s="3"/>
      <c r="ALZ294" s="3"/>
      <c r="AMA294" s="3"/>
      <c r="AMB294" s="3"/>
      <c r="AMC294" s="3"/>
      <c r="AMD294" s="3"/>
      <c r="AME294" s="3"/>
      <c r="AMF294" s="3"/>
      <c r="AMG294" s="3"/>
      <c r="AMH294" s="3"/>
      <c r="AMI294" s="3"/>
      <c r="AMJ294" s="3"/>
      <c r="AMK294" s="3"/>
      <c r="AML294" s="3"/>
      <c r="AMM294" s="3"/>
    </row>
    <row r="295" spans="1:1027" ht="15" customHeight="1">
      <c r="A295" s="12">
        <v>910</v>
      </c>
      <c r="B295" s="13" t="s">
        <v>520</v>
      </c>
      <c r="C295" s="14"/>
      <c r="D295" s="14" t="s">
        <v>519</v>
      </c>
      <c r="E295" s="14" t="s">
        <v>36</v>
      </c>
      <c r="F295" s="15" t="s">
        <v>22</v>
      </c>
      <c r="G295" s="21"/>
      <c r="H295" s="58">
        <v>1</v>
      </c>
      <c r="I295" s="14"/>
      <c r="J295" s="14" t="s">
        <v>23</v>
      </c>
      <c r="K295" s="14"/>
      <c r="L295" s="14"/>
      <c r="M295" s="14" t="s">
        <v>29</v>
      </c>
      <c r="N295" s="14" t="s">
        <v>25</v>
      </c>
      <c r="O295" s="14"/>
      <c r="P295" s="14"/>
      <c r="Q295" s="14"/>
      <c r="R295" s="14" t="s">
        <v>158</v>
      </c>
    </row>
    <row r="296" spans="1:1027" ht="15" customHeight="1">
      <c r="A296" s="12">
        <v>1699</v>
      </c>
      <c r="B296" s="13" t="s">
        <v>521</v>
      </c>
      <c r="C296" s="14"/>
      <c r="D296" s="14" t="s">
        <v>519</v>
      </c>
      <c r="E296" s="14" t="s">
        <v>36</v>
      </c>
      <c r="F296" s="15" t="s">
        <v>22</v>
      </c>
      <c r="G296" s="14"/>
      <c r="H296" s="58">
        <v>3</v>
      </c>
      <c r="I296" s="14"/>
      <c r="J296" s="14" t="s">
        <v>23</v>
      </c>
      <c r="K296" s="14"/>
      <c r="L296" s="14"/>
      <c r="M296" s="14" t="s">
        <v>32</v>
      </c>
      <c r="N296" s="14" t="s">
        <v>25</v>
      </c>
      <c r="O296" s="14"/>
      <c r="P296" s="14"/>
      <c r="Q296" s="14"/>
      <c r="R296" s="14" t="s">
        <v>308</v>
      </c>
    </row>
    <row r="297" spans="1:1027" ht="15" customHeight="1">
      <c r="A297" s="12">
        <v>134</v>
      </c>
      <c r="B297" s="13" t="s">
        <v>522</v>
      </c>
      <c r="C297" s="14"/>
      <c r="D297" s="14" t="s">
        <v>523</v>
      </c>
      <c r="E297" s="14" t="s">
        <v>21</v>
      </c>
      <c r="F297" s="15" t="s">
        <v>22</v>
      </c>
      <c r="G297" s="14"/>
      <c r="H297" s="58"/>
      <c r="I297" s="19"/>
      <c r="J297" s="14" t="s">
        <v>23</v>
      </c>
      <c r="K297" s="15"/>
      <c r="L297" s="15"/>
      <c r="M297" s="14" t="s">
        <v>27</v>
      </c>
      <c r="N297" s="22" t="s">
        <v>25</v>
      </c>
      <c r="O297" s="14"/>
      <c r="P297" s="14"/>
      <c r="Q297" s="14"/>
      <c r="R297" s="17">
        <v>43633</v>
      </c>
      <c r="S297" s="12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WR297" s="3"/>
      <c r="WS297" s="3"/>
      <c r="WT297" s="3"/>
      <c r="WU297" s="3"/>
      <c r="WV297" s="3"/>
      <c r="WW297" s="3"/>
      <c r="WX297" s="3"/>
      <c r="WY297" s="3"/>
      <c r="WZ297" s="3"/>
      <c r="XA297" s="3"/>
      <c r="XB297" s="3"/>
      <c r="XC297" s="3"/>
      <c r="XD297" s="3"/>
      <c r="XE297" s="3"/>
      <c r="XF297" s="3"/>
      <c r="XG297" s="3"/>
      <c r="XH297" s="3"/>
      <c r="XI297" s="3"/>
      <c r="XJ297" s="3"/>
      <c r="XK297" s="3"/>
      <c r="XL297" s="3"/>
      <c r="XM297" s="3"/>
      <c r="XN297" s="3"/>
      <c r="XO297" s="3"/>
      <c r="XP297" s="3"/>
      <c r="XQ297" s="3"/>
      <c r="XR297" s="3"/>
      <c r="XS297" s="3"/>
      <c r="XT297" s="3"/>
      <c r="XU297" s="3"/>
      <c r="XV297" s="3"/>
      <c r="XW297" s="3"/>
      <c r="XX297" s="3"/>
      <c r="XY297" s="3"/>
      <c r="XZ297" s="3"/>
      <c r="YA297" s="3"/>
      <c r="YB297" s="3"/>
      <c r="YC297" s="3"/>
      <c r="YD297" s="3"/>
      <c r="YE297" s="3"/>
      <c r="YF297" s="3"/>
      <c r="YG297" s="3"/>
      <c r="YH297" s="3"/>
      <c r="YI297" s="3"/>
      <c r="YJ297" s="3"/>
      <c r="YK297" s="3"/>
      <c r="YL297" s="3"/>
      <c r="YM297" s="3"/>
      <c r="YN297" s="3"/>
      <c r="YO297" s="3"/>
      <c r="YP297" s="3"/>
      <c r="YQ297" s="3"/>
      <c r="YR297" s="3"/>
      <c r="YS297" s="3"/>
      <c r="YT297" s="3"/>
      <c r="YU297" s="3"/>
      <c r="YV297" s="3"/>
      <c r="YW297" s="3"/>
      <c r="YX297" s="3"/>
      <c r="YY297" s="3"/>
      <c r="YZ297" s="3"/>
      <c r="ZA297" s="3"/>
      <c r="ZB297" s="3"/>
      <c r="ZC297" s="3"/>
      <c r="ZD297" s="3"/>
      <c r="ZE297" s="3"/>
      <c r="ZF297" s="3"/>
      <c r="ZG297" s="3"/>
      <c r="ZH297" s="3"/>
      <c r="ZI297" s="3"/>
      <c r="ZJ297" s="3"/>
      <c r="ZK297" s="3"/>
      <c r="ZL297" s="3"/>
      <c r="ZM297" s="3"/>
      <c r="ZN297" s="3"/>
      <c r="ZO297" s="3"/>
      <c r="ZP297" s="3"/>
      <c r="ZQ297" s="3"/>
      <c r="ZR297" s="3"/>
      <c r="ZS297" s="3"/>
      <c r="ZT297" s="3"/>
      <c r="ZU297" s="3"/>
      <c r="ZV297" s="3"/>
      <c r="ZW297" s="3"/>
      <c r="ZX297" s="3"/>
      <c r="ZY297" s="3"/>
      <c r="ZZ297" s="3"/>
      <c r="AAA297" s="3"/>
      <c r="AAB297" s="3"/>
      <c r="AAC297" s="3"/>
      <c r="AAD297" s="3"/>
      <c r="AAE297" s="3"/>
      <c r="AAF297" s="3"/>
      <c r="AAG297" s="3"/>
      <c r="AAH297" s="3"/>
      <c r="AAI297" s="3"/>
      <c r="AAJ297" s="3"/>
      <c r="AAK297" s="3"/>
      <c r="AAL297" s="3"/>
      <c r="AAM297" s="3"/>
      <c r="AAN297" s="3"/>
      <c r="AAO297" s="3"/>
      <c r="AAP297" s="3"/>
      <c r="AAQ297" s="3"/>
      <c r="AAR297" s="3"/>
      <c r="AAS297" s="3"/>
      <c r="AAT297" s="3"/>
      <c r="AAU297" s="3"/>
      <c r="AAV297" s="3"/>
      <c r="AAW297" s="3"/>
      <c r="AAX297" s="3"/>
      <c r="AAY297" s="3"/>
      <c r="AAZ297" s="3"/>
      <c r="ABA297" s="3"/>
      <c r="ABB297" s="3"/>
      <c r="ABC297" s="3"/>
      <c r="ABD297" s="3"/>
      <c r="ABE297" s="3"/>
      <c r="ABF297" s="3"/>
      <c r="ABG297" s="3"/>
      <c r="ABH297" s="3"/>
      <c r="ABI297" s="3"/>
      <c r="ABJ297" s="3"/>
      <c r="ABK297" s="3"/>
      <c r="ABL297" s="3"/>
      <c r="ABM297" s="3"/>
      <c r="ABN297" s="3"/>
      <c r="ABO297" s="3"/>
      <c r="ABP297" s="3"/>
      <c r="ABQ297" s="3"/>
      <c r="ABR297" s="3"/>
      <c r="ABS297" s="3"/>
      <c r="ABT297" s="3"/>
      <c r="ABU297" s="3"/>
      <c r="ABV297" s="3"/>
      <c r="ABW297" s="3"/>
      <c r="ABX297" s="3"/>
      <c r="ABY297" s="3"/>
      <c r="ABZ297" s="3"/>
      <c r="ACA297" s="3"/>
      <c r="ACB297" s="3"/>
      <c r="ACC297" s="3"/>
      <c r="ACD297" s="3"/>
      <c r="ACE297" s="3"/>
      <c r="ACF297" s="3"/>
      <c r="ACG297" s="3"/>
      <c r="ACH297" s="3"/>
      <c r="ACI297" s="3"/>
      <c r="ACJ297" s="3"/>
      <c r="ACK297" s="3"/>
      <c r="ACL297" s="3"/>
      <c r="ACM297" s="3"/>
      <c r="ACN297" s="3"/>
      <c r="ACO297" s="3"/>
      <c r="ACP297" s="3"/>
      <c r="ACQ297" s="3"/>
      <c r="ACR297" s="3"/>
      <c r="ACS297" s="3"/>
      <c r="ACT297" s="3"/>
      <c r="ACU297" s="3"/>
      <c r="ACV297" s="3"/>
      <c r="ACW297" s="3"/>
      <c r="ACX297" s="3"/>
      <c r="ACY297" s="3"/>
      <c r="ACZ297" s="3"/>
      <c r="ADA297" s="3"/>
      <c r="ADB297" s="3"/>
      <c r="ADC297" s="3"/>
      <c r="ADD297" s="3"/>
      <c r="ADE297" s="3"/>
      <c r="ADF297" s="3"/>
      <c r="ADG297" s="3"/>
      <c r="ADH297" s="3"/>
      <c r="ADI297" s="3"/>
      <c r="ADJ297" s="3"/>
      <c r="ADK297" s="3"/>
      <c r="ADL297" s="3"/>
      <c r="ADM297" s="3"/>
      <c r="ADN297" s="3"/>
      <c r="ADO297" s="3"/>
      <c r="ADP297" s="3"/>
      <c r="ADQ297" s="3"/>
      <c r="ADR297" s="3"/>
      <c r="ADS297" s="3"/>
      <c r="ADT297" s="3"/>
      <c r="ADU297" s="3"/>
      <c r="ADV297" s="3"/>
      <c r="ADW297" s="3"/>
      <c r="ADX297" s="3"/>
      <c r="ADY297" s="3"/>
      <c r="ADZ297" s="3"/>
      <c r="AEA297" s="3"/>
      <c r="AEB297" s="3"/>
      <c r="AEC297" s="3"/>
      <c r="AED297" s="3"/>
      <c r="AEE297" s="3"/>
      <c r="AEF297" s="3"/>
      <c r="AEG297" s="3"/>
      <c r="AEH297" s="3"/>
      <c r="AEI297" s="3"/>
      <c r="AEJ297" s="3"/>
      <c r="AEK297" s="3"/>
      <c r="AEL297" s="3"/>
      <c r="AEM297" s="3"/>
      <c r="AEN297" s="3"/>
      <c r="AEO297" s="3"/>
      <c r="AEP297" s="3"/>
      <c r="AEQ297" s="3"/>
      <c r="AER297" s="3"/>
      <c r="AES297" s="3"/>
      <c r="AET297" s="3"/>
      <c r="AEU297" s="3"/>
      <c r="AEV297" s="3"/>
      <c r="AEW297" s="3"/>
      <c r="AEX297" s="3"/>
      <c r="AEY297" s="3"/>
      <c r="AEZ297" s="3"/>
      <c r="AFA297" s="3"/>
      <c r="AFB297" s="3"/>
      <c r="AFC297" s="3"/>
      <c r="AFD297" s="3"/>
      <c r="AFE297" s="3"/>
      <c r="AFF297" s="3"/>
      <c r="AFG297" s="3"/>
      <c r="AFH297" s="3"/>
      <c r="AFI297" s="3"/>
      <c r="AFJ297" s="3"/>
      <c r="AFK297" s="3"/>
      <c r="AFL297" s="3"/>
      <c r="AFM297" s="3"/>
      <c r="AFN297" s="3"/>
      <c r="AFO297" s="3"/>
      <c r="AFP297" s="3"/>
      <c r="AFQ297" s="3"/>
      <c r="AFR297" s="3"/>
      <c r="AFS297" s="3"/>
      <c r="AFT297" s="3"/>
      <c r="AFU297" s="3"/>
      <c r="AFV297" s="3"/>
      <c r="AFW297" s="3"/>
      <c r="AFX297" s="3"/>
      <c r="AFY297" s="3"/>
      <c r="AFZ297" s="3"/>
      <c r="AGA297" s="3"/>
      <c r="AGB297" s="3"/>
      <c r="AGC297" s="3"/>
      <c r="AGD297" s="3"/>
      <c r="AGE297" s="3"/>
      <c r="AGF297" s="3"/>
      <c r="AGG297" s="3"/>
      <c r="AGH297" s="3"/>
      <c r="AGI297" s="3"/>
      <c r="AGJ297" s="3"/>
      <c r="AGK297" s="3"/>
      <c r="AGL297" s="3"/>
      <c r="AGM297" s="3"/>
      <c r="AGN297" s="3"/>
      <c r="AGO297" s="3"/>
      <c r="AGP297" s="3"/>
      <c r="AGQ297" s="3"/>
      <c r="AGR297" s="3"/>
      <c r="AGS297" s="3"/>
      <c r="AGT297" s="3"/>
      <c r="AGU297" s="3"/>
      <c r="AGV297" s="3"/>
      <c r="AGW297" s="3"/>
      <c r="AGX297" s="3"/>
      <c r="AGY297" s="3"/>
      <c r="AGZ297" s="3"/>
      <c r="AHA297" s="3"/>
      <c r="AHB297" s="3"/>
      <c r="AHC297" s="3"/>
      <c r="AHD297" s="3"/>
      <c r="AHE297" s="3"/>
      <c r="AHF297" s="3"/>
      <c r="AHG297" s="3"/>
      <c r="AHH297" s="3"/>
      <c r="AHI297" s="3"/>
      <c r="AHJ297" s="3"/>
      <c r="AHK297" s="3"/>
      <c r="AHL297" s="3"/>
      <c r="AHM297" s="3"/>
      <c r="AHN297" s="3"/>
      <c r="AHO297" s="3"/>
      <c r="AHP297" s="3"/>
      <c r="AHQ297" s="3"/>
      <c r="AHR297" s="3"/>
      <c r="AHS297" s="3"/>
      <c r="AHT297" s="3"/>
      <c r="AHU297" s="3"/>
      <c r="AHV297" s="3"/>
      <c r="AHW297" s="3"/>
      <c r="AHX297" s="3"/>
      <c r="AHY297" s="3"/>
      <c r="AHZ297" s="3"/>
      <c r="AIA297" s="3"/>
      <c r="AIB297" s="3"/>
      <c r="AIC297" s="3"/>
      <c r="AID297" s="3"/>
      <c r="AIE297" s="3"/>
      <c r="AIF297" s="3"/>
      <c r="AIG297" s="3"/>
      <c r="AIH297" s="3"/>
      <c r="AII297" s="3"/>
      <c r="AIJ297" s="3"/>
      <c r="AIK297" s="3"/>
      <c r="AIL297" s="3"/>
      <c r="AIM297" s="3"/>
      <c r="AIN297" s="3"/>
      <c r="AIO297" s="3"/>
      <c r="AIP297" s="3"/>
      <c r="AIQ297" s="3"/>
      <c r="AIR297" s="3"/>
      <c r="AIS297" s="3"/>
      <c r="AIT297" s="3"/>
      <c r="AIU297" s="3"/>
      <c r="AIV297" s="3"/>
      <c r="AIW297" s="3"/>
      <c r="AIX297" s="3"/>
      <c r="AIY297" s="3"/>
      <c r="AIZ297" s="3"/>
      <c r="AJA297" s="3"/>
      <c r="AJB297" s="3"/>
      <c r="AJC297" s="3"/>
      <c r="AJD297" s="3"/>
      <c r="AJE297" s="3"/>
      <c r="AJF297" s="3"/>
      <c r="AJG297" s="3"/>
      <c r="AJH297" s="3"/>
      <c r="AJI297" s="3"/>
      <c r="AJJ297" s="3"/>
      <c r="AJK297" s="3"/>
      <c r="AJL297" s="3"/>
      <c r="AJM297" s="3"/>
      <c r="AJN297" s="3"/>
      <c r="AJO297" s="3"/>
      <c r="AJP297" s="3"/>
      <c r="AJQ297" s="3"/>
      <c r="AJR297" s="3"/>
      <c r="AJS297" s="3"/>
      <c r="AJT297" s="3"/>
      <c r="AJU297" s="3"/>
      <c r="AJV297" s="3"/>
      <c r="AJW297" s="3"/>
      <c r="AJX297" s="3"/>
      <c r="AJY297" s="3"/>
      <c r="AJZ297" s="3"/>
      <c r="AKA297" s="3"/>
      <c r="AKB297" s="3"/>
      <c r="AKC297" s="3"/>
      <c r="AKD297" s="3"/>
      <c r="AKE297" s="3"/>
      <c r="AKF297" s="3"/>
      <c r="AKG297" s="3"/>
      <c r="AKH297" s="3"/>
      <c r="AKI297" s="3"/>
      <c r="AKJ297" s="3"/>
      <c r="AKK297" s="3"/>
      <c r="AKL297" s="3"/>
      <c r="AKM297" s="3"/>
      <c r="AKN297" s="3"/>
      <c r="AKO297" s="3"/>
      <c r="AKP297" s="3"/>
      <c r="AKQ297" s="3"/>
      <c r="AKR297" s="3"/>
      <c r="AKS297" s="3"/>
      <c r="AKT297" s="3"/>
      <c r="AKU297" s="3"/>
      <c r="AKV297" s="3"/>
      <c r="AKW297" s="3"/>
      <c r="AKX297" s="3"/>
      <c r="AKY297" s="3"/>
      <c r="AKZ297" s="3"/>
      <c r="ALA297" s="3"/>
      <c r="ALB297" s="3"/>
      <c r="ALC297" s="3"/>
      <c r="ALD297" s="3"/>
      <c r="ALE297" s="3"/>
      <c r="ALF297" s="3"/>
      <c r="ALG297" s="3"/>
      <c r="ALH297" s="3"/>
      <c r="ALI297" s="3"/>
      <c r="ALJ297" s="3"/>
      <c r="ALK297" s="3"/>
      <c r="ALL297" s="3"/>
      <c r="ALM297" s="3"/>
      <c r="ALN297" s="3"/>
      <c r="ALO297" s="3"/>
      <c r="ALP297" s="3"/>
      <c r="ALQ297" s="3"/>
      <c r="ALR297" s="3"/>
      <c r="ALS297" s="3"/>
      <c r="ALT297" s="3"/>
      <c r="ALU297" s="3"/>
      <c r="ALV297" s="3"/>
      <c r="ALW297" s="3"/>
      <c r="ALX297" s="3"/>
      <c r="ALY297" s="3"/>
      <c r="ALZ297" s="3"/>
      <c r="AMA297" s="3"/>
      <c r="AMB297" s="3"/>
      <c r="AMC297" s="3"/>
      <c r="AMD297" s="3"/>
      <c r="AME297" s="3"/>
      <c r="AMF297" s="3"/>
      <c r="AMG297" s="3"/>
      <c r="AMH297" s="3"/>
      <c r="AMI297" s="3"/>
      <c r="AMJ297" s="3"/>
      <c r="AMK297" s="3"/>
      <c r="AML297" s="3"/>
      <c r="AMM297" s="3"/>
    </row>
    <row r="298" spans="1:1027" ht="18" customHeight="1">
      <c r="A298" s="12">
        <v>911</v>
      </c>
      <c r="B298" s="13" t="s">
        <v>524</v>
      </c>
      <c r="C298" s="14"/>
      <c r="D298" s="14" t="s">
        <v>523</v>
      </c>
      <c r="E298" s="14" t="s">
        <v>21</v>
      </c>
      <c r="F298" s="15" t="s">
        <v>22</v>
      </c>
      <c r="G298" s="21"/>
      <c r="H298" s="58"/>
      <c r="I298" s="14"/>
      <c r="J298" s="14" t="s">
        <v>23</v>
      </c>
      <c r="K298" s="14"/>
      <c r="L298" s="14"/>
      <c r="M298" s="14" t="s">
        <v>29</v>
      </c>
      <c r="N298" s="14" t="s">
        <v>25</v>
      </c>
      <c r="O298" s="14"/>
      <c r="P298" s="14"/>
      <c r="Q298" s="14"/>
      <c r="R298" s="14" t="s">
        <v>158</v>
      </c>
    </row>
    <row r="299" spans="1:1027" ht="15" customHeight="1">
      <c r="A299" s="12">
        <v>1700</v>
      </c>
      <c r="B299" s="13" t="s">
        <v>525</v>
      </c>
      <c r="C299" s="14"/>
      <c r="D299" s="14" t="s">
        <v>523</v>
      </c>
      <c r="E299" s="14" t="s">
        <v>21</v>
      </c>
      <c r="F299" s="15" t="s">
        <v>22</v>
      </c>
      <c r="G299" s="14"/>
      <c r="H299" s="58">
        <v>0</v>
      </c>
      <c r="I299" s="14"/>
      <c r="J299" s="14" t="s">
        <v>23</v>
      </c>
      <c r="K299" s="14"/>
      <c r="L299" s="14"/>
      <c r="M299" s="14" t="s">
        <v>32</v>
      </c>
      <c r="N299" s="14" t="s">
        <v>25</v>
      </c>
      <c r="O299" s="14"/>
      <c r="P299" s="14"/>
      <c r="Q299" s="14"/>
      <c r="R299" s="14" t="s">
        <v>308</v>
      </c>
    </row>
    <row r="300" spans="1:1027" ht="15" customHeight="1">
      <c r="A300" s="12">
        <v>29</v>
      </c>
      <c r="B300" s="13" t="s">
        <v>526</v>
      </c>
      <c r="C300" s="14"/>
      <c r="D300" s="14" t="s">
        <v>527</v>
      </c>
      <c r="E300" s="14" t="s">
        <v>36</v>
      </c>
      <c r="F300" s="15" t="s">
        <v>22</v>
      </c>
      <c r="G300" s="14"/>
      <c r="H300" s="58"/>
      <c r="I300" s="14"/>
      <c r="J300" s="14" t="s">
        <v>23</v>
      </c>
      <c r="K300" s="15"/>
      <c r="L300" s="15"/>
      <c r="M300" s="14" t="s">
        <v>24</v>
      </c>
      <c r="N300" s="14" t="s">
        <v>25</v>
      </c>
      <c r="O300" s="14"/>
      <c r="P300" s="14"/>
      <c r="Q300" s="14"/>
      <c r="R300" s="17">
        <v>43599</v>
      </c>
      <c r="S300" s="1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  <c r="WQ300" s="3"/>
      <c r="WR300" s="3"/>
      <c r="WS300" s="3"/>
      <c r="WT300" s="3"/>
      <c r="WU300" s="3"/>
      <c r="WV300" s="3"/>
      <c r="WW300" s="3"/>
      <c r="WX300" s="3"/>
      <c r="WY300" s="3"/>
      <c r="WZ300" s="3"/>
      <c r="XA300" s="3"/>
      <c r="XB300" s="3"/>
      <c r="XC300" s="3"/>
      <c r="XD300" s="3"/>
      <c r="XE300" s="3"/>
      <c r="XF300" s="3"/>
      <c r="XG300" s="3"/>
      <c r="XH300" s="3"/>
      <c r="XI300" s="3"/>
      <c r="XJ300" s="3"/>
      <c r="XK300" s="3"/>
      <c r="XL300" s="3"/>
      <c r="XM300" s="3"/>
      <c r="XN300" s="3"/>
      <c r="XO300" s="3"/>
      <c r="XP300" s="3"/>
      <c r="XQ300" s="3"/>
      <c r="XR300" s="3"/>
      <c r="XS300" s="3"/>
      <c r="XT300" s="3"/>
      <c r="XU300" s="3"/>
      <c r="XV300" s="3"/>
      <c r="XW300" s="3"/>
      <c r="XX300" s="3"/>
      <c r="XY300" s="3"/>
      <c r="XZ300" s="3"/>
      <c r="YA300" s="3"/>
      <c r="YB300" s="3"/>
      <c r="YC300" s="3"/>
      <c r="YD300" s="3"/>
      <c r="YE300" s="3"/>
      <c r="YF300" s="3"/>
      <c r="YG300" s="3"/>
      <c r="YH300" s="3"/>
      <c r="YI300" s="3"/>
      <c r="YJ300" s="3"/>
      <c r="YK300" s="3"/>
      <c r="YL300" s="3"/>
      <c r="YM300" s="3"/>
      <c r="YN300" s="3"/>
      <c r="YO300" s="3"/>
      <c r="YP300" s="3"/>
      <c r="YQ300" s="3"/>
      <c r="YR300" s="3"/>
      <c r="YS300" s="3"/>
      <c r="YT300" s="3"/>
      <c r="YU300" s="3"/>
      <c r="YV300" s="3"/>
      <c r="YW300" s="3"/>
      <c r="YX300" s="3"/>
      <c r="YY300" s="3"/>
      <c r="YZ300" s="3"/>
      <c r="ZA300" s="3"/>
      <c r="ZB300" s="3"/>
      <c r="ZC300" s="3"/>
      <c r="ZD300" s="3"/>
      <c r="ZE300" s="3"/>
      <c r="ZF300" s="3"/>
      <c r="ZG300" s="3"/>
      <c r="ZH300" s="3"/>
      <c r="ZI300" s="3"/>
      <c r="ZJ300" s="3"/>
      <c r="ZK300" s="3"/>
      <c r="ZL300" s="3"/>
      <c r="ZM300" s="3"/>
      <c r="ZN300" s="3"/>
      <c r="ZO300" s="3"/>
      <c r="ZP300" s="3"/>
      <c r="ZQ300" s="3"/>
      <c r="ZR300" s="3"/>
      <c r="ZS300" s="3"/>
      <c r="ZT300" s="3"/>
      <c r="ZU300" s="3"/>
      <c r="ZV300" s="3"/>
      <c r="ZW300" s="3"/>
      <c r="ZX300" s="3"/>
      <c r="ZY300" s="3"/>
      <c r="ZZ300" s="3"/>
      <c r="AAA300" s="3"/>
      <c r="AAB300" s="3"/>
      <c r="AAC300" s="3"/>
      <c r="AAD300" s="3"/>
      <c r="AAE300" s="3"/>
      <c r="AAF300" s="3"/>
      <c r="AAG300" s="3"/>
      <c r="AAH300" s="3"/>
      <c r="AAI300" s="3"/>
      <c r="AAJ300" s="3"/>
      <c r="AAK300" s="3"/>
      <c r="AAL300" s="3"/>
      <c r="AAM300" s="3"/>
      <c r="AAN300" s="3"/>
      <c r="AAO300" s="3"/>
      <c r="AAP300" s="3"/>
      <c r="AAQ300" s="3"/>
      <c r="AAR300" s="3"/>
      <c r="AAS300" s="3"/>
      <c r="AAT300" s="3"/>
      <c r="AAU300" s="3"/>
      <c r="AAV300" s="3"/>
      <c r="AAW300" s="3"/>
      <c r="AAX300" s="3"/>
      <c r="AAY300" s="3"/>
      <c r="AAZ300" s="3"/>
      <c r="ABA300" s="3"/>
      <c r="ABB300" s="3"/>
      <c r="ABC300" s="3"/>
      <c r="ABD300" s="3"/>
      <c r="ABE300" s="3"/>
      <c r="ABF300" s="3"/>
      <c r="ABG300" s="3"/>
      <c r="ABH300" s="3"/>
      <c r="ABI300" s="3"/>
      <c r="ABJ300" s="3"/>
      <c r="ABK300" s="3"/>
      <c r="ABL300" s="3"/>
      <c r="ABM300" s="3"/>
      <c r="ABN300" s="3"/>
      <c r="ABO300" s="3"/>
      <c r="ABP300" s="3"/>
      <c r="ABQ300" s="3"/>
      <c r="ABR300" s="3"/>
      <c r="ABS300" s="3"/>
      <c r="ABT300" s="3"/>
      <c r="ABU300" s="3"/>
      <c r="ABV300" s="3"/>
      <c r="ABW300" s="3"/>
      <c r="ABX300" s="3"/>
      <c r="ABY300" s="3"/>
      <c r="ABZ300" s="3"/>
      <c r="ACA300" s="3"/>
      <c r="ACB300" s="3"/>
      <c r="ACC300" s="3"/>
      <c r="ACD300" s="3"/>
      <c r="ACE300" s="3"/>
      <c r="ACF300" s="3"/>
      <c r="ACG300" s="3"/>
      <c r="ACH300" s="3"/>
      <c r="ACI300" s="3"/>
      <c r="ACJ300" s="3"/>
      <c r="ACK300" s="3"/>
      <c r="ACL300" s="3"/>
      <c r="ACM300" s="3"/>
      <c r="ACN300" s="3"/>
      <c r="ACO300" s="3"/>
      <c r="ACP300" s="3"/>
      <c r="ACQ300" s="3"/>
      <c r="ACR300" s="3"/>
      <c r="ACS300" s="3"/>
      <c r="ACT300" s="3"/>
      <c r="ACU300" s="3"/>
      <c r="ACV300" s="3"/>
      <c r="ACW300" s="3"/>
      <c r="ACX300" s="3"/>
      <c r="ACY300" s="3"/>
      <c r="ACZ300" s="3"/>
      <c r="ADA300" s="3"/>
      <c r="ADB300" s="3"/>
      <c r="ADC300" s="3"/>
      <c r="ADD300" s="3"/>
      <c r="ADE300" s="3"/>
      <c r="ADF300" s="3"/>
      <c r="ADG300" s="3"/>
      <c r="ADH300" s="3"/>
      <c r="ADI300" s="3"/>
      <c r="ADJ300" s="3"/>
      <c r="ADK300" s="3"/>
      <c r="ADL300" s="3"/>
      <c r="ADM300" s="3"/>
      <c r="ADN300" s="3"/>
      <c r="ADO300" s="3"/>
      <c r="ADP300" s="3"/>
      <c r="ADQ300" s="3"/>
      <c r="ADR300" s="3"/>
      <c r="ADS300" s="3"/>
      <c r="ADT300" s="3"/>
      <c r="ADU300" s="3"/>
      <c r="ADV300" s="3"/>
      <c r="ADW300" s="3"/>
      <c r="ADX300" s="3"/>
      <c r="ADY300" s="3"/>
      <c r="ADZ300" s="3"/>
      <c r="AEA300" s="3"/>
      <c r="AEB300" s="3"/>
      <c r="AEC300" s="3"/>
      <c r="AED300" s="3"/>
      <c r="AEE300" s="3"/>
      <c r="AEF300" s="3"/>
      <c r="AEG300" s="3"/>
      <c r="AEH300" s="3"/>
      <c r="AEI300" s="3"/>
      <c r="AEJ300" s="3"/>
      <c r="AEK300" s="3"/>
      <c r="AEL300" s="3"/>
      <c r="AEM300" s="3"/>
      <c r="AEN300" s="3"/>
      <c r="AEO300" s="3"/>
      <c r="AEP300" s="3"/>
      <c r="AEQ300" s="3"/>
      <c r="AER300" s="3"/>
      <c r="AES300" s="3"/>
      <c r="AET300" s="3"/>
      <c r="AEU300" s="3"/>
      <c r="AEV300" s="3"/>
      <c r="AEW300" s="3"/>
      <c r="AEX300" s="3"/>
      <c r="AEY300" s="3"/>
      <c r="AEZ300" s="3"/>
      <c r="AFA300" s="3"/>
      <c r="AFB300" s="3"/>
      <c r="AFC300" s="3"/>
      <c r="AFD300" s="3"/>
      <c r="AFE300" s="3"/>
      <c r="AFF300" s="3"/>
      <c r="AFG300" s="3"/>
      <c r="AFH300" s="3"/>
      <c r="AFI300" s="3"/>
      <c r="AFJ300" s="3"/>
      <c r="AFK300" s="3"/>
      <c r="AFL300" s="3"/>
      <c r="AFM300" s="3"/>
      <c r="AFN300" s="3"/>
      <c r="AFO300" s="3"/>
      <c r="AFP300" s="3"/>
      <c r="AFQ300" s="3"/>
      <c r="AFR300" s="3"/>
      <c r="AFS300" s="3"/>
      <c r="AFT300" s="3"/>
      <c r="AFU300" s="3"/>
      <c r="AFV300" s="3"/>
      <c r="AFW300" s="3"/>
      <c r="AFX300" s="3"/>
      <c r="AFY300" s="3"/>
      <c r="AFZ300" s="3"/>
      <c r="AGA300" s="3"/>
      <c r="AGB300" s="3"/>
      <c r="AGC300" s="3"/>
      <c r="AGD300" s="3"/>
      <c r="AGE300" s="3"/>
      <c r="AGF300" s="3"/>
      <c r="AGG300" s="3"/>
      <c r="AGH300" s="3"/>
      <c r="AGI300" s="3"/>
      <c r="AGJ300" s="3"/>
      <c r="AGK300" s="3"/>
      <c r="AGL300" s="3"/>
      <c r="AGM300" s="3"/>
      <c r="AGN300" s="3"/>
      <c r="AGO300" s="3"/>
      <c r="AGP300" s="3"/>
      <c r="AGQ300" s="3"/>
      <c r="AGR300" s="3"/>
      <c r="AGS300" s="3"/>
      <c r="AGT300" s="3"/>
      <c r="AGU300" s="3"/>
      <c r="AGV300" s="3"/>
      <c r="AGW300" s="3"/>
      <c r="AGX300" s="3"/>
      <c r="AGY300" s="3"/>
      <c r="AGZ300" s="3"/>
      <c r="AHA300" s="3"/>
      <c r="AHB300" s="3"/>
      <c r="AHC300" s="3"/>
      <c r="AHD300" s="3"/>
      <c r="AHE300" s="3"/>
      <c r="AHF300" s="3"/>
      <c r="AHG300" s="3"/>
      <c r="AHH300" s="3"/>
      <c r="AHI300" s="3"/>
      <c r="AHJ300" s="3"/>
      <c r="AHK300" s="3"/>
      <c r="AHL300" s="3"/>
      <c r="AHM300" s="3"/>
      <c r="AHN300" s="3"/>
      <c r="AHO300" s="3"/>
      <c r="AHP300" s="3"/>
      <c r="AHQ300" s="3"/>
      <c r="AHR300" s="3"/>
      <c r="AHS300" s="3"/>
      <c r="AHT300" s="3"/>
      <c r="AHU300" s="3"/>
      <c r="AHV300" s="3"/>
      <c r="AHW300" s="3"/>
      <c r="AHX300" s="3"/>
      <c r="AHY300" s="3"/>
      <c r="AHZ300" s="3"/>
      <c r="AIA300" s="3"/>
      <c r="AIB300" s="3"/>
      <c r="AIC300" s="3"/>
      <c r="AID300" s="3"/>
      <c r="AIE300" s="3"/>
      <c r="AIF300" s="3"/>
      <c r="AIG300" s="3"/>
      <c r="AIH300" s="3"/>
      <c r="AII300" s="3"/>
      <c r="AIJ300" s="3"/>
      <c r="AIK300" s="3"/>
      <c r="AIL300" s="3"/>
      <c r="AIM300" s="3"/>
      <c r="AIN300" s="3"/>
      <c r="AIO300" s="3"/>
      <c r="AIP300" s="3"/>
      <c r="AIQ300" s="3"/>
      <c r="AIR300" s="3"/>
      <c r="AIS300" s="3"/>
      <c r="AIT300" s="3"/>
      <c r="AIU300" s="3"/>
      <c r="AIV300" s="3"/>
      <c r="AIW300" s="3"/>
      <c r="AIX300" s="3"/>
      <c r="AIY300" s="3"/>
      <c r="AIZ300" s="3"/>
      <c r="AJA300" s="3"/>
      <c r="AJB300" s="3"/>
      <c r="AJC300" s="3"/>
      <c r="AJD300" s="3"/>
      <c r="AJE300" s="3"/>
      <c r="AJF300" s="3"/>
      <c r="AJG300" s="3"/>
      <c r="AJH300" s="3"/>
      <c r="AJI300" s="3"/>
      <c r="AJJ300" s="3"/>
      <c r="AJK300" s="3"/>
      <c r="AJL300" s="3"/>
      <c r="AJM300" s="3"/>
      <c r="AJN300" s="3"/>
      <c r="AJO300" s="3"/>
      <c r="AJP300" s="3"/>
      <c r="AJQ300" s="3"/>
      <c r="AJR300" s="3"/>
      <c r="AJS300" s="3"/>
      <c r="AJT300" s="3"/>
      <c r="AJU300" s="3"/>
      <c r="AJV300" s="3"/>
      <c r="AJW300" s="3"/>
      <c r="AJX300" s="3"/>
      <c r="AJY300" s="3"/>
      <c r="AJZ300" s="3"/>
      <c r="AKA300" s="3"/>
      <c r="AKB300" s="3"/>
      <c r="AKC300" s="3"/>
      <c r="AKD300" s="3"/>
      <c r="AKE300" s="3"/>
      <c r="AKF300" s="3"/>
      <c r="AKG300" s="3"/>
      <c r="AKH300" s="3"/>
      <c r="AKI300" s="3"/>
      <c r="AKJ300" s="3"/>
      <c r="AKK300" s="3"/>
      <c r="AKL300" s="3"/>
      <c r="AKM300" s="3"/>
      <c r="AKN300" s="3"/>
      <c r="AKO300" s="3"/>
      <c r="AKP300" s="3"/>
      <c r="AKQ300" s="3"/>
      <c r="AKR300" s="3"/>
      <c r="AKS300" s="3"/>
      <c r="AKT300" s="3"/>
      <c r="AKU300" s="3"/>
      <c r="AKV300" s="3"/>
      <c r="AKW300" s="3"/>
      <c r="AKX300" s="3"/>
      <c r="AKY300" s="3"/>
      <c r="AKZ300" s="3"/>
      <c r="ALA300" s="3"/>
      <c r="ALB300" s="3"/>
      <c r="ALC300" s="3"/>
      <c r="ALD300" s="3"/>
      <c r="ALE300" s="3"/>
      <c r="ALF300" s="3"/>
      <c r="ALG300" s="3"/>
      <c r="ALH300" s="3"/>
      <c r="ALI300" s="3"/>
      <c r="ALJ300" s="3"/>
      <c r="ALK300" s="3"/>
      <c r="ALL300" s="3"/>
      <c r="ALM300" s="3"/>
      <c r="ALN300" s="3"/>
      <c r="ALO300" s="3"/>
      <c r="ALP300" s="3"/>
      <c r="ALQ300" s="3"/>
      <c r="ALR300" s="3"/>
      <c r="ALS300" s="3"/>
      <c r="ALT300" s="3"/>
      <c r="ALU300" s="3"/>
      <c r="ALV300" s="3"/>
      <c r="ALW300" s="3"/>
      <c r="ALX300" s="3"/>
      <c r="ALY300" s="3"/>
      <c r="ALZ300" s="3"/>
      <c r="AMA300" s="3"/>
      <c r="AMB300" s="3"/>
      <c r="AMC300" s="3"/>
      <c r="AMD300" s="3"/>
      <c r="AME300" s="3"/>
      <c r="AMF300" s="3"/>
      <c r="AMG300" s="3"/>
      <c r="AMH300" s="3"/>
      <c r="AMI300" s="3"/>
      <c r="AMJ300" s="3"/>
      <c r="AMK300" s="3"/>
      <c r="AML300" s="3"/>
      <c r="AMM300" s="3"/>
    </row>
    <row r="301" spans="1:1027" ht="15" customHeight="1">
      <c r="A301" s="12">
        <v>135</v>
      </c>
      <c r="B301" s="13" t="s">
        <v>528</v>
      </c>
      <c r="C301" s="14"/>
      <c r="D301" s="14" t="s">
        <v>527</v>
      </c>
      <c r="E301" s="14" t="s">
        <v>36</v>
      </c>
      <c r="F301" s="15" t="s">
        <v>22</v>
      </c>
      <c r="G301" s="14"/>
      <c r="H301" s="58"/>
      <c r="I301" s="19"/>
      <c r="J301" s="14" t="s">
        <v>23</v>
      </c>
      <c r="K301" s="15"/>
      <c r="L301" s="15"/>
      <c r="M301" s="14" t="s">
        <v>27</v>
      </c>
      <c r="N301" s="22" t="s">
        <v>25</v>
      </c>
      <c r="O301" s="14"/>
      <c r="P301" s="14"/>
      <c r="Q301" s="14"/>
      <c r="R301" s="17">
        <v>43633</v>
      </c>
      <c r="S301" s="1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WZ301" s="3"/>
      <c r="XA301" s="3"/>
      <c r="XB301" s="3"/>
      <c r="XC301" s="3"/>
      <c r="XD301" s="3"/>
      <c r="XE301" s="3"/>
      <c r="XF301" s="3"/>
      <c r="XG301" s="3"/>
      <c r="XH301" s="3"/>
      <c r="XI301" s="3"/>
      <c r="XJ301" s="3"/>
      <c r="XK301" s="3"/>
      <c r="XL301" s="3"/>
      <c r="XM301" s="3"/>
      <c r="XN301" s="3"/>
      <c r="XO301" s="3"/>
      <c r="XP301" s="3"/>
      <c r="XQ301" s="3"/>
      <c r="XR301" s="3"/>
      <c r="XS301" s="3"/>
      <c r="XT301" s="3"/>
      <c r="XU301" s="3"/>
      <c r="XV301" s="3"/>
      <c r="XW301" s="3"/>
      <c r="XX301" s="3"/>
      <c r="XY301" s="3"/>
      <c r="XZ301" s="3"/>
      <c r="YA301" s="3"/>
      <c r="YB301" s="3"/>
      <c r="YC301" s="3"/>
      <c r="YD301" s="3"/>
      <c r="YE301" s="3"/>
      <c r="YF301" s="3"/>
      <c r="YG301" s="3"/>
      <c r="YH301" s="3"/>
      <c r="YI301" s="3"/>
      <c r="YJ301" s="3"/>
      <c r="YK301" s="3"/>
      <c r="YL301" s="3"/>
      <c r="YM301" s="3"/>
      <c r="YN301" s="3"/>
      <c r="YO301" s="3"/>
      <c r="YP301" s="3"/>
      <c r="YQ301" s="3"/>
      <c r="YR301" s="3"/>
      <c r="YS301" s="3"/>
      <c r="YT301" s="3"/>
      <c r="YU301" s="3"/>
      <c r="YV301" s="3"/>
      <c r="YW301" s="3"/>
      <c r="YX301" s="3"/>
      <c r="YY301" s="3"/>
      <c r="YZ301" s="3"/>
      <c r="ZA301" s="3"/>
      <c r="ZB301" s="3"/>
      <c r="ZC301" s="3"/>
      <c r="ZD301" s="3"/>
      <c r="ZE301" s="3"/>
      <c r="ZF301" s="3"/>
      <c r="ZG301" s="3"/>
      <c r="ZH301" s="3"/>
      <c r="ZI301" s="3"/>
      <c r="ZJ301" s="3"/>
      <c r="ZK301" s="3"/>
      <c r="ZL301" s="3"/>
      <c r="ZM301" s="3"/>
      <c r="ZN301" s="3"/>
      <c r="ZO301" s="3"/>
      <c r="ZP301" s="3"/>
      <c r="ZQ301" s="3"/>
      <c r="ZR301" s="3"/>
      <c r="ZS301" s="3"/>
      <c r="ZT301" s="3"/>
      <c r="ZU301" s="3"/>
      <c r="ZV301" s="3"/>
      <c r="ZW301" s="3"/>
      <c r="ZX301" s="3"/>
      <c r="ZY301" s="3"/>
      <c r="ZZ301" s="3"/>
      <c r="AAA301" s="3"/>
      <c r="AAB301" s="3"/>
      <c r="AAC301" s="3"/>
      <c r="AAD301" s="3"/>
      <c r="AAE301" s="3"/>
      <c r="AAF301" s="3"/>
      <c r="AAG301" s="3"/>
      <c r="AAH301" s="3"/>
      <c r="AAI301" s="3"/>
      <c r="AAJ301" s="3"/>
      <c r="AAK301" s="3"/>
      <c r="AAL301" s="3"/>
      <c r="AAM301" s="3"/>
      <c r="AAN301" s="3"/>
      <c r="AAO301" s="3"/>
      <c r="AAP301" s="3"/>
      <c r="AAQ301" s="3"/>
      <c r="AAR301" s="3"/>
      <c r="AAS301" s="3"/>
      <c r="AAT301" s="3"/>
      <c r="AAU301" s="3"/>
      <c r="AAV301" s="3"/>
      <c r="AAW301" s="3"/>
      <c r="AAX301" s="3"/>
      <c r="AAY301" s="3"/>
      <c r="AAZ301" s="3"/>
      <c r="ABA301" s="3"/>
      <c r="ABB301" s="3"/>
      <c r="ABC301" s="3"/>
      <c r="ABD301" s="3"/>
      <c r="ABE301" s="3"/>
      <c r="ABF301" s="3"/>
      <c r="ABG301" s="3"/>
      <c r="ABH301" s="3"/>
      <c r="ABI301" s="3"/>
      <c r="ABJ301" s="3"/>
      <c r="ABK301" s="3"/>
      <c r="ABL301" s="3"/>
      <c r="ABM301" s="3"/>
      <c r="ABN301" s="3"/>
      <c r="ABO301" s="3"/>
      <c r="ABP301" s="3"/>
      <c r="ABQ301" s="3"/>
      <c r="ABR301" s="3"/>
      <c r="ABS301" s="3"/>
      <c r="ABT301" s="3"/>
      <c r="ABU301" s="3"/>
      <c r="ABV301" s="3"/>
      <c r="ABW301" s="3"/>
      <c r="ABX301" s="3"/>
      <c r="ABY301" s="3"/>
      <c r="ABZ301" s="3"/>
      <c r="ACA301" s="3"/>
      <c r="ACB301" s="3"/>
      <c r="ACC301" s="3"/>
      <c r="ACD301" s="3"/>
      <c r="ACE301" s="3"/>
      <c r="ACF301" s="3"/>
      <c r="ACG301" s="3"/>
      <c r="ACH301" s="3"/>
      <c r="ACI301" s="3"/>
      <c r="ACJ301" s="3"/>
      <c r="ACK301" s="3"/>
      <c r="ACL301" s="3"/>
      <c r="ACM301" s="3"/>
      <c r="ACN301" s="3"/>
      <c r="ACO301" s="3"/>
      <c r="ACP301" s="3"/>
      <c r="ACQ301" s="3"/>
      <c r="ACR301" s="3"/>
      <c r="ACS301" s="3"/>
      <c r="ACT301" s="3"/>
      <c r="ACU301" s="3"/>
      <c r="ACV301" s="3"/>
      <c r="ACW301" s="3"/>
      <c r="ACX301" s="3"/>
      <c r="ACY301" s="3"/>
      <c r="ACZ301" s="3"/>
      <c r="ADA301" s="3"/>
      <c r="ADB301" s="3"/>
      <c r="ADC301" s="3"/>
      <c r="ADD301" s="3"/>
      <c r="ADE301" s="3"/>
      <c r="ADF301" s="3"/>
      <c r="ADG301" s="3"/>
      <c r="ADH301" s="3"/>
      <c r="ADI301" s="3"/>
      <c r="ADJ301" s="3"/>
      <c r="ADK301" s="3"/>
      <c r="ADL301" s="3"/>
      <c r="ADM301" s="3"/>
      <c r="ADN301" s="3"/>
      <c r="ADO301" s="3"/>
      <c r="ADP301" s="3"/>
      <c r="ADQ301" s="3"/>
      <c r="ADR301" s="3"/>
      <c r="ADS301" s="3"/>
      <c r="ADT301" s="3"/>
      <c r="ADU301" s="3"/>
      <c r="ADV301" s="3"/>
      <c r="ADW301" s="3"/>
      <c r="ADX301" s="3"/>
      <c r="ADY301" s="3"/>
      <c r="ADZ301" s="3"/>
      <c r="AEA301" s="3"/>
      <c r="AEB301" s="3"/>
      <c r="AEC301" s="3"/>
      <c r="AED301" s="3"/>
      <c r="AEE301" s="3"/>
      <c r="AEF301" s="3"/>
      <c r="AEG301" s="3"/>
      <c r="AEH301" s="3"/>
      <c r="AEI301" s="3"/>
      <c r="AEJ301" s="3"/>
      <c r="AEK301" s="3"/>
      <c r="AEL301" s="3"/>
      <c r="AEM301" s="3"/>
      <c r="AEN301" s="3"/>
      <c r="AEO301" s="3"/>
      <c r="AEP301" s="3"/>
      <c r="AEQ301" s="3"/>
      <c r="AER301" s="3"/>
      <c r="AES301" s="3"/>
      <c r="AET301" s="3"/>
      <c r="AEU301" s="3"/>
      <c r="AEV301" s="3"/>
      <c r="AEW301" s="3"/>
      <c r="AEX301" s="3"/>
      <c r="AEY301" s="3"/>
      <c r="AEZ301" s="3"/>
      <c r="AFA301" s="3"/>
      <c r="AFB301" s="3"/>
      <c r="AFC301" s="3"/>
      <c r="AFD301" s="3"/>
      <c r="AFE301" s="3"/>
      <c r="AFF301" s="3"/>
      <c r="AFG301" s="3"/>
      <c r="AFH301" s="3"/>
      <c r="AFI301" s="3"/>
      <c r="AFJ301" s="3"/>
      <c r="AFK301" s="3"/>
      <c r="AFL301" s="3"/>
      <c r="AFM301" s="3"/>
      <c r="AFN301" s="3"/>
      <c r="AFO301" s="3"/>
      <c r="AFP301" s="3"/>
      <c r="AFQ301" s="3"/>
      <c r="AFR301" s="3"/>
      <c r="AFS301" s="3"/>
      <c r="AFT301" s="3"/>
      <c r="AFU301" s="3"/>
      <c r="AFV301" s="3"/>
      <c r="AFW301" s="3"/>
      <c r="AFX301" s="3"/>
      <c r="AFY301" s="3"/>
      <c r="AFZ301" s="3"/>
      <c r="AGA301" s="3"/>
      <c r="AGB301" s="3"/>
      <c r="AGC301" s="3"/>
      <c r="AGD301" s="3"/>
      <c r="AGE301" s="3"/>
      <c r="AGF301" s="3"/>
      <c r="AGG301" s="3"/>
      <c r="AGH301" s="3"/>
      <c r="AGI301" s="3"/>
      <c r="AGJ301" s="3"/>
      <c r="AGK301" s="3"/>
      <c r="AGL301" s="3"/>
      <c r="AGM301" s="3"/>
      <c r="AGN301" s="3"/>
      <c r="AGO301" s="3"/>
      <c r="AGP301" s="3"/>
      <c r="AGQ301" s="3"/>
      <c r="AGR301" s="3"/>
      <c r="AGS301" s="3"/>
      <c r="AGT301" s="3"/>
      <c r="AGU301" s="3"/>
      <c r="AGV301" s="3"/>
      <c r="AGW301" s="3"/>
      <c r="AGX301" s="3"/>
      <c r="AGY301" s="3"/>
      <c r="AGZ301" s="3"/>
      <c r="AHA301" s="3"/>
      <c r="AHB301" s="3"/>
      <c r="AHC301" s="3"/>
      <c r="AHD301" s="3"/>
      <c r="AHE301" s="3"/>
      <c r="AHF301" s="3"/>
      <c r="AHG301" s="3"/>
      <c r="AHH301" s="3"/>
      <c r="AHI301" s="3"/>
      <c r="AHJ301" s="3"/>
      <c r="AHK301" s="3"/>
      <c r="AHL301" s="3"/>
      <c r="AHM301" s="3"/>
      <c r="AHN301" s="3"/>
      <c r="AHO301" s="3"/>
      <c r="AHP301" s="3"/>
      <c r="AHQ301" s="3"/>
      <c r="AHR301" s="3"/>
      <c r="AHS301" s="3"/>
      <c r="AHT301" s="3"/>
      <c r="AHU301" s="3"/>
      <c r="AHV301" s="3"/>
      <c r="AHW301" s="3"/>
      <c r="AHX301" s="3"/>
      <c r="AHY301" s="3"/>
      <c r="AHZ301" s="3"/>
      <c r="AIA301" s="3"/>
      <c r="AIB301" s="3"/>
      <c r="AIC301" s="3"/>
      <c r="AID301" s="3"/>
      <c r="AIE301" s="3"/>
      <c r="AIF301" s="3"/>
      <c r="AIG301" s="3"/>
      <c r="AIH301" s="3"/>
      <c r="AII301" s="3"/>
      <c r="AIJ301" s="3"/>
      <c r="AIK301" s="3"/>
      <c r="AIL301" s="3"/>
      <c r="AIM301" s="3"/>
      <c r="AIN301" s="3"/>
      <c r="AIO301" s="3"/>
      <c r="AIP301" s="3"/>
      <c r="AIQ301" s="3"/>
      <c r="AIR301" s="3"/>
      <c r="AIS301" s="3"/>
      <c r="AIT301" s="3"/>
      <c r="AIU301" s="3"/>
      <c r="AIV301" s="3"/>
      <c r="AIW301" s="3"/>
      <c r="AIX301" s="3"/>
      <c r="AIY301" s="3"/>
      <c r="AIZ301" s="3"/>
      <c r="AJA301" s="3"/>
      <c r="AJB301" s="3"/>
      <c r="AJC301" s="3"/>
      <c r="AJD301" s="3"/>
      <c r="AJE301" s="3"/>
      <c r="AJF301" s="3"/>
      <c r="AJG301" s="3"/>
      <c r="AJH301" s="3"/>
      <c r="AJI301" s="3"/>
      <c r="AJJ301" s="3"/>
      <c r="AJK301" s="3"/>
      <c r="AJL301" s="3"/>
      <c r="AJM301" s="3"/>
      <c r="AJN301" s="3"/>
      <c r="AJO301" s="3"/>
      <c r="AJP301" s="3"/>
      <c r="AJQ301" s="3"/>
      <c r="AJR301" s="3"/>
      <c r="AJS301" s="3"/>
      <c r="AJT301" s="3"/>
      <c r="AJU301" s="3"/>
      <c r="AJV301" s="3"/>
      <c r="AJW301" s="3"/>
      <c r="AJX301" s="3"/>
      <c r="AJY301" s="3"/>
      <c r="AJZ301" s="3"/>
      <c r="AKA301" s="3"/>
      <c r="AKB301" s="3"/>
      <c r="AKC301" s="3"/>
      <c r="AKD301" s="3"/>
      <c r="AKE301" s="3"/>
      <c r="AKF301" s="3"/>
      <c r="AKG301" s="3"/>
      <c r="AKH301" s="3"/>
      <c r="AKI301" s="3"/>
      <c r="AKJ301" s="3"/>
      <c r="AKK301" s="3"/>
      <c r="AKL301" s="3"/>
      <c r="AKM301" s="3"/>
      <c r="AKN301" s="3"/>
      <c r="AKO301" s="3"/>
      <c r="AKP301" s="3"/>
      <c r="AKQ301" s="3"/>
      <c r="AKR301" s="3"/>
      <c r="AKS301" s="3"/>
      <c r="AKT301" s="3"/>
      <c r="AKU301" s="3"/>
      <c r="AKV301" s="3"/>
      <c r="AKW301" s="3"/>
      <c r="AKX301" s="3"/>
      <c r="AKY301" s="3"/>
      <c r="AKZ301" s="3"/>
      <c r="ALA301" s="3"/>
      <c r="ALB301" s="3"/>
      <c r="ALC301" s="3"/>
      <c r="ALD301" s="3"/>
      <c r="ALE301" s="3"/>
      <c r="ALF301" s="3"/>
      <c r="ALG301" s="3"/>
      <c r="ALH301" s="3"/>
      <c r="ALI301" s="3"/>
      <c r="ALJ301" s="3"/>
      <c r="ALK301" s="3"/>
      <c r="ALL301" s="3"/>
      <c r="ALM301" s="3"/>
      <c r="ALN301" s="3"/>
      <c r="ALO301" s="3"/>
      <c r="ALP301" s="3"/>
      <c r="ALQ301" s="3"/>
      <c r="ALR301" s="3"/>
      <c r="ALS301" s="3"/>
      <c r="ALT301" s="3"/>
      <c r="ALU301" s="3"/>
      <c r="ALV301" s="3"/>
      <c r="ALW301" s="3"/>
      <c r="ALX301" s="3"/>
      <c r="ALY301" s="3"/>
      <c r="ALZ301" s="3"/>
      <c r="AMA301" s="3"/>
      <c r="AMB301" s="3"/>
      <c r="AMC301" s="3"/>
      <c r="AMD301" s="3"/>
      <c r="AME301" s="3"/>
      <c r="AMF301" s="3"/>
      <c r="AMG301" s="3"/>
      <c r="AMH301" s="3"/>
      <c r="AMI301" s="3"/>
      <c r="AMJ301" s="3"/>
      <c r="AMK301" s="3"/>
      <c r="AML301" s="3"/>
      <c r="AMM301" s="3"/>
    </row>
    <row r="302" spans="1:1027" ht="15" customHeight="1">
      <c r="A302" s="12">
        <v>912</v>
      </c>
      <c r="B302" s="13" t="s">
        <v>529</v>
      </c>
      <c r="C302" s="14"/>
      <c r="D302" s="14" t="s">
        <v>527</v>
      </c>
      <c r="E302" s="14" t="s">
        <v>36</v>
      </c>
      <c r="F302" s="15" t="s">
        <v>22</v>
      </c>
      <c r="G302" s="21"/>
      <c r="H302" s="58">
        <v>1</v>
      </c>
      <c r="I302" s="14"/>
      <c r="J302" s="14" t="s">
        <v>23</v>
      </c>
      <c r="K302" s="14"/>
      <c r="L302" s="14"/>
      <c r="M302" s="14" t="s">
        <v>29</v>
      </c>
      <c r="N302" s="25" t="s">
        <v>37</v>
      </c>
      <c r="O302" s="14" t="s">
        <v>530</v>
      </c>
      <c r="P302" s="14"/>
      <c r="Q302" s="14"/>
      <c r="R302" s="14" t="s">
        <v>158</v>
      </c>
    </row>
    <row r="303" spans="1:1027" ht="15" customHeight="1">
      <c r="A303" s="12">
        <v>1701</v>
      </c>
      <c r="B303" s="13" t="s">
        <v>531</v>
      </c>
      <c r="C303" s="14"/>
      <c r="D303" s="14" t="s">
        <v>527</v>
      </c>
      <c r="E303" s="14" t="s">
        <v>36</v>
      </c>
      <c r="F303" s="15" t="s">
        <v>22</v>
      </c>
      <c r="G303" s="14"/>
      <c r="H303" s="58">
        <v>4</v>
      </c>
      <c r="I303" s="14"/>
      <c r="J303" s="14" t="s">
        <v>23</v>
      </c>
      <c r="K303" s="14"/>
      <c r="L303" s="14"/>
      <c r="M303" s="14" t="s">
        <v>32</v>
      </c>
      <c r="N303" s="25" t="s">
        <v>37</v>
      </c>
      <c r="O303" s="14" t="s">
        <v>532</v>
      </c>
      <c r="P303" s="14"/>
      <c r="Q303" s="14"/>
      <c r="R303" s="14" t="s">
        <v>308</v>
      </c>
    </row>
    <row r="304" spans="1:1027" ht="15" customHeight="1">
      <c r="A304" s="12">
        <v>136</v>
      </c>
      <c r="B304" s="13" t="s">
        <v>533</v>
      </c>
      <c r="C304" s="14"/>
      <c r="D304" s="14" t="s">
        <v>534</v>
      </c>
      <c r="E304" s="14" t="s">
        <v>21</v>
      </c>
      <c r="F304" s="15" t="s">
        <v>22</v>
      </c>
      <c r="G304" s="14"/>
      <c r="H304" s="58"/>
      <c r="I304" s="19"/>
      <c r="J304" s="14" t="s">
        <v>23</v>
      </c>
      <c r="K304" s="15"/>
      <c r="L304" s="15"/>
      <c r="M304" s="14" t="s">
        <v>27</v>
      </c>
      <c r="N304" s="22" t="s">
        <v>25</v>
      </c>
      <c r="O304" s="14"/>
      <c r="P304" s="14"/>
      <c r="Q304" s="14"/>
      <c r="R304" s="17">
        <v>43633</v>
      </c>
      <c r="S304" s="1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  <c r="WQ304" s="3"/>
      <c r="WR304" s="3"/>
      <c r="WS304" s="3"/>
      <c r="WT304" s="3"/>
      <c r="WU304" s="3"/>
      <c r="WV304" s="3"/>
      <c r="WW304" s="3"/>
      <c r="WX304" s="3"/>
      <c r="WY304" s="3"/>
      <c r="WZ304" s="3"/>
      <c r="XA304" s="3"/>
      <c r="XB304" s="3"/>
      <c r="XC304" s="3"/>
      <c r="XD304" s="3"/>
      <c r="XE304" s="3"/>
      <c r="XF304" s="3"/>
      <c r="XG304" s="3"/>
      <c r="XH304" s="3"/>
      <c r="XI304" s="3"/>
      <c r="XJ304" s="3"/>
      <c r="XK304" s="3"/>
      <c r="XL304" s="3"/>
      <c r="XM304" s="3"/>
      <c r="XN304" s="3"/>
      <c r="XO304" s="3"/>
      <c r="XP304" s="3"/>
      <c r="XQ304" s="3"/>
      <c r="XR304" s="3"/>
      <c r="XS304" s="3"/>
      <c r="XT304" s="3"/>
      <c r="XU304" s="3"/>
      <c r="XV304" s="3"/>
      <c r="XW304" s="3"/>
      <c r="XX304" s="3"/>
      <c r="XY304" s="3"/>
      <c r="XZ304" s="3"/>
      <c r="YA304" s="3"/>
      <c r="YB304" s="3"/>
      <c r="YC304" s="3"/>
      <c r="YD304" s="3"/>
      <c r="YE304" s="3"/>
      <c r="YF304" s="3"/>
      <c r="YG304" s="3"/>
      <c r="YH304" s="3"/>
      <c r="YI304" s="3"/>
      <c r="YJ304" s="3"/>
      <c r="YK304" s="3"/>
      <c r="YL304" s="3"/>
      <c r="YM304" s="3"/>
      <c r="YN304" s="3"/>
      <c r="YO304" s="3"/>
      <c r="YP304" s="3"/>
      <c r="YQ304" s="3"/>
      <c r="YR304" s="3"/>
      <c r="YS304" s="3"/>
      <c r="YT304" s="3"/>
      <c r="YU304" s="3"/>
      <c r="YV304" s="3"/>
      <c r="YW304" s="3"/>
      <c r="YX304" s="3"/>
      <c r="YY304" s="3"/>
      <c r="YZ304" s="3"/>
      <c r="ZA304" s="3"/>
      <c r="ZB304" s="3"/>
      <c r="ZC304" s="3"/>
      <c r="ZD304" s="3"/>
      <c r="ZE304" s="3"/>
      <c r="ZF304" s="3"/>
      <c r="ZG304" s="3"/>
      <c r="ZH304" s="3"/>
      <c r="ZI304" s="3"/>
      <c r="ZJ304" s="3"/>
      <c r="ZK304" s="3"/>
      <c r="ZL304" s="3"/>
      <c r="ZM304" s="3"/>
      <c r="ZN304" s="3"/>
      <c r="ZO304" s="3"/>
      <c r="ZP304" s="3"/>
      <c r="ZQ304" s="3"/>
      <c r="ZR304" s="3"/>
      <c r="ZS304" s="3"/>
      <c r="ZT304" s="3"/>
      <c r="ZU304" s="3"/>
      <c r="ZV304" s="3"/>
      <c r="ZW304" s="3"/>
      <c r="ZX304" s="3"/>
      <c r="ZY304" s="3"/>
      <c r="ZZ304" s="3"/>
      <c r="AAA304" s="3"/>
      <c r="AAB304" s="3"/>
      <c r="AAC304" s="3"/>
      <c r="AAD304" s="3"/>
      <c r="AAE304" s="3"/>
      <c r="AAF304" s="3"/>
      <c r="AAG304" s="3"/>
      <c r="AAH304" s="3"/>
      <c r="AAI304" s="3"/>
      <c r="AAJ304" s="3"/>
      <c r="AAK304" s="3"/>
      <c r="AAL304" s="3"/>
      <c r="AAM304" s="3"/>
      <c r="AAN304" s="3"/>
      <c r="AAO304" s="3"/>
      <c r="AAP304" s="3"/>
      <c r="AAQ304" s="3"/>
      <c r="AAR304" s="3"/>
      <c r="AAS304" s="3"/>
      <c r="AAT304" s="3"/>
      <c r="AAU304" s="3"/>
      <c r="AAV304" s="3"/>
      <c r="AAW304" s="3"/>
      <c r="AAX304" s="3"/>
      <c r="AAY304" s="3"/>
      <c r="AAZ304" s="3"/>
      <c r="ABA304" s="3"/>
      <c r="ABB304" s="3"/>
      <c r="ABC304" s="3"/>
      <c r="ABD304" s="3"/>
      <c r="ABE304" s="3"/>
      <c r="ABF304" s="3"/>
      <c r="ABG304" s="3"/>
      <c r="ABH304" s="3"/>
      <c r="ABI304" s="3"/>
      <c r="ABJ304" s="3"/>
      <c r="ABK304" s="3"/>
      <c r="ABL304" s="3"/>
      <c r="ABM304" s="3"/>
      <c r="ABN304" s="3"/>
      <c r="ABO304" s="3"/>
      <c r="ABP304" s="3"/>
      <c r="ABQ304" s="3"/>
      <c r="ABR304" s="3"/>
      <c r="ABS304" s="3"/>
      <c r="ABT304" s="3"/>
      <c r="ABU304" s="3"/>
      <c r="ABV304" s="3"/>
      <c r="ABW304" s="3"/>
      <c r="ABX304" s="3"/>
      <c r="ABY304" s="3"/>
      <c r="ABZ304" s="3"/>
      <c r="ACA304" s="3"/>
      <c r="ACB304" s="3"/>
      <c r="ACC304" s="3"/>
      <c r="ACD304" s="3"/>
      <c r="ACE304" s="3"/>
      <c r="ACF304" s="3"/>
      <c r="ACG304" s="3"/>
      <c r="ACH304" s="3"/>
      <c r="ACI304" s="3"/>
      <c r="ACJ304" s="3"/>
      <c r="ACK304" s="3"/>
      <c r="ACL304" s="3"/>
      <c r="ACM304" s="3"/>
      <c r="ACN304" s="3"/>
      <c r="ACO304" s="3"/>
      <c r="ACP304" s="3"/>
      <c r="ACQ304" s="3"/>
      <c r="ACR304" s="3"/>
      <c r="ACS304" s="3"/>
      <c r="ACT304" s="3"/>
      <c r="ACU304" s="3"/>
      <c r="ACV304" s="3"/>
      <c r="ACW304" s="3"/>
      <c r="ACX304" s="3"/>
      <c r="ACY304" s="3"/>
      <c r="ACZ304" s="3"/>
      <c r="ADA304" s="3"/>
      <c r="ADB304" s="3"/>
      <c r="ADC304" s="3"/>
      <c r="ADD304" s="3"/>
      <c r="ADE304" s="3"/>
      <c r="ADF304" s="3"/>
      <c r="ADG304" s="3"/>
      <c r="ADH304" s="3"/>
      <c r="ADI304" s="3"/>
      <c r="ADJ304" s="3"/>
      <c r="ADK304" s="3"/>
      <c r="ADL304" s="3"/>
      <c r="ADM304" s="3"/>
      <c r="ADN304" s="3"/>
      <c r="ADO304" s="3"/>
      <c r="ADP304" s="3"/>
      <c r="ADQ304" s="3"/>
      <c r="ADR304" s="3"/>
      <c r="ADS304" s="3"/>
      <c r="ADT304" s="3"/>
      <c r="ADU304" s="3"/>
      <c r="ADV304" s="3"/>
      <c r="ADW304" s="3"/>
      <c r="ADX304" s="3"/>
      <c r="ADY304" s="3"/>
      <c r="ADZ304" s="3"/>
      <c r="AEA304" s="3"/>
      <c r="AEB304" s="3"/>
      <c r="AEC304" s="3"/>
      <c r="AED304" s="3"/>
      <c r="AEE304" s="3"/>
      <c r="AEF304" s="3"/>
      <c r="AEG304" s="3"/>
      <c r="AEH304" s="3"/>
      <c r="AEI304" s="3"/>
      <c r="AEJ304" s="3"/>
      <c r="AEK304" s="3"/>
      <c r="AEL304" s="3"/>
      <c r="AEM304" s="3"/>
      <c r="AEN304" s="3"/>
      <c r="AEO304" s="3"/>
      <c r="AEP304" s="3"/>
      <c r="AEQ304" s="3"/>
      <c r="AER304" s="3"/>
      <c r="AES304" s="3"/>
      <c r="AET304" s="3"/>
      <c r="AEU304" s="3"/>
      <c r="AEV304" s="3"/>
      <c r="AEW304" s="3"/>
      <c r="AEX304" s="3"/>
      <c r="AEY304" s="3"/>
      <c r="AEZ304" s="3"/>
      <c r="AFA304" s="3"/>
      <c r="AFB304" s="3"/>
      <c r="AFC304" s="3"/>
      <c r="AFD304" s="3"/>
      <c r="AFE304" s="3"/>
      <c r="AFF304" s="3"/>
      <c r="AFG304" s="3"/>
      <c r="AFH304" s="3"/>
      <c r="AFI304" s="3"/>
      <c r="AFJ304" s="3"/>
      <c r="AFK304" s="3"/>
      <c r="AFL304" s="3"/>
      <c r="AFM304" s="3"/>
      <c r="AFN304" s="3"/>
      <c r="AFO304" s="3"/>
      <c r="AFP304" s="3"/>
      <c r="AFQ304" s="3"/>
      <c r="AFR304" s="3"/>
      <c r="AFS304" s="3"/>
      <c r="AFT304" s="3"/>
      <c r="AFU304" s="3"/>
      <c r="AFV304" s="3"/>
      <c r="AFW304" s="3"/>
      <c r="AFX304" s="3"/>
      <c r="AFY304" s="3"/>
      <c r="AFZ304" s="3"/>
      <c r="AGA304" s="3"/>
      <c r="AGB304" s="3"/>
      <c r="AGC304" s="3"/>
      <c r="AGD304" s="3"/>
      <c r="AGE304" s="3"/>
      <c r="AGF304" s="3"/>
      <c r="AGG304" s="3"/>
      <c r="AGH304" s="3"/>
      <c r="AGI304" s="3"/>
      <c r="AGJ304" s="3"/>
      <c r="AGK304" s="3"/>
      <c r="AGL304" s="3"/>
      <c r="AGM304" s="3"/>
      <c r="AGN304" s="3"/>
      <c r="AGO304" s="3"/>
      <c r="AGP304" s="3"/>
      <c r="AGQ304" s="3"/>
      <c r="AGR304" s="3"/>
      <c r="AGS304" s="3"/>
      <c r="AGT304" s="3"/>
      <c r="AGU304" s="3"/>
      <c r="AGV304" s="3"/>
      <c r="AGW304" s="3"/>
      <c r="AGX304" s="3"/>
      <c r="AGY304" s="3"/>
      <c r="AGZ304" s="3"/>
      <c r="AHA304" s="3"/>
      <c r="AHB304" s="3"/>
      <c r="AHC304" s="3"/>
      <c r="AHD304" s="3"/>
      <c r="AHE304" s="3"/>
      <c r="AHF304" s="3"/>
      <c r="AHG304" s="3"/>
      <c r="AHH304" s="3"/>
      <c r="AHI304" s="3"/>
      <c r="AHJ304" s="3"/>
      <c r="AHK304" s="3"/>
      <c r="AHL304" s="3"/>
      <c r="AHM304" s="3"/>
      <c r="AHN304" s="3"/>
      <c r="AHO304" s="3"/>
      <c r="AHP304" s="3"/>
      <c r="AHQ304" s="3"/>
      <c r="AHR304" s="3"/>
      <c r="AHS304" s="3"/>
      <c r="AHT304" s="3"/>
      <c r="AHU304" s="3"/>
      <c r="AHV304" s="3"/>
      <c r="AHW304" s="3"/>
      <c r="AHX304" s="3"/>
      <c r="AHY304" s="3"/>
      <c r="AHZ304" s="3"/>
      <c r="AIA304" s="3"/>
      <c r="AIB304" s="3"/>
      <c r="AIC304" s="3"/>
      <c r="AID304" s="3"/>
      <c r="AIE304" s="3"/>
      <c r="AIF304" s="3"/>
      <c r="AIG304" s="3"/>
      <c r="AIH304" s="3"/>
      <c r="AII304" s="3"/>
      <c r="AIJ304" s="3"/>
      <c r="AIK304" s="3"/>
      <c r="AIL304" s="3"/>
      <c r="AIM304" s="3"/>
      <c r="AIN304" s="3"/>
      <c r="AIO304" s="3"/>
      <c r="AIP304" s="3"/>
      <c r="AIQ304" s="3"/>
      <c r="AIR304" s="3"/>
      <c r="AIS304" s="3"/>
      <c r="AIT304" s="3"/>
      <c r="AIU304" s="3"/>
      <c r="AIV304" s="3"/>
      <c r="AIW304" s="3"/>
      <c r="AIX304" s="3"/>
      <c r="AIY304" s="3"/>
      <c r="AIZ304" s="3"/>
      <c r="AJA304" s="3"/>
      <c r="AJB304" s="3"/>
      <c r="AJC304" s="3"/>
      <c r="AJD304" s="3"/>
      <c r="AJE304" s="3"/>
      <c r="AJF304" s="3"/>
      <c r="AJG304" s="3"/>
      <c r="AJH304" s="3"/>
      <c r="AJI304" s="3"/>
      <c r="AJJ304" s="3"/>
      <c r="AJK304" s="3"/>
      <c r="AJL304" s="3"/>
      <c r="AJM304" s="3"/>
      <c r="AJN304" s="3"/>
      <c r="AJO304" s="3"/>
      <c r="AJP304" s="3"/>
      <c r="AJQ304" s="3"/>
      <c r="AJR304" s="3"/>
      <c r="AJS304" s="3"/>
      <c r="AJT304" s="3"/>
      <c r="AJU304" s="3"/>
      <c r="AJV304" s="3"/>
      <c r="AJW304" s="3"/>
      <c r="AJX304" s="3"/>
      <c r="AJY304" s="3"/>
      <c r="AJZ304" s="3"/>
      <c r="AKA304" s="3"/>
      <c r="AKB304" s="3"/>
      <c r="AKC304" s="3"/>
      <c r="AKD304" s="3"/>
      <c r="AKE304" s="3"/>
      <c r="AKF304" s="3"/>
      <c r="AKG304" s="3"/>
      <c r="AKH304" s="3"/>
      <c r="AKI304" s="3"/>
      <c r="AKJ304" s="3"/>
      <c r="AKK304" s="3"/>
      <c r="AKL304" s="3"/>
      <c r="AKM304" s="3"/>
      <c r="AKN304" s="3"/>
      <c r="AKO304" s="3"/>
      <c r="AKP304" s="3"/>
      <c r="AKQ304" s="3"/>
      <c r="AKR304" s="3"/>
      <c r="AKS304" s="3"/>
      <c r="AKT304" s="3"/>
      <c r="AKU304" s="3"/>
      <c r="AKV304" s="3"/>
      <c r="AKW304" s="3"/>
      <c r="AKX304" s="3"/>
      <c r="AKY304" s="3"/>
      <c r="AKZ304" s="3"/>
      <c r="ALA304" s="3"/>
      <c r="ALB304" s="3"/>
      <c r="ALC304" s="3"/>
      <c r="ALD304" s="3"/>
      <c r="ALE304" s="3"/>
      <c r="ALF304" s="3"/>
      <c r="ALG304" s="3"/>
      <c r="ALH304" s="3"/>
      <c r="ALI304" s="3"/>
      <c r="ALJ304" s="3"/>
      <c r="ALK304" s="3"/>
      <c r="ALL304" s="3"/>
      <c r="ALM304" s="3"/>
      <c r="ALN304" s="3"/>
      <c r="ALO304" s="3"/>
      <c r="ALP304" s="3"/>
      <c r="ALQ304" s="3"/>
      <c r="ALR304" s="3"/>
      <c r="ALS304" s="3"/>
      <c r="ALT304" s="3"/>
      <c r="ALU304" s="3"/>
      <c r="ALV304" s="3"/>
      <c r="ALW304" s="3"/>
      <c r="ALX304" s="3"/>
      <c r="ALY304" s="3"/>
      <c r="ALZ304" s="3"/>
      <c r="AMA304" s="3"/>
      <c r="AMB304" s="3"/>
      <c r="AMC304" s="3"/>
      <c r="AMD304" s="3"/>
      <c r="AME304" s="3"/>
      <c r="AMF304" s="3"/>
      <c r="AMG304" s="3"/>
      <c r="AMH304" s="3"/>
      <c r="AMI304" s="3"/>
      <c r="AMJ304" s="3"/>
      <c r="AMK304" s="3"/>
      <c r="AML304" s="3"/>
      <c r="AMM304" s="3"/>
    </row>
    <row r="305" spans="1:1027" ht="15" customHeight="1">
      <c r="A305" s="12">
        <v>913</v>
      </c>
      <c r="B305" s="13" t="s">
        <v>535</v>
      </c>
      <c r="C305" s="14"/>
      <c r="D305" s="14" t="s">
        <v>534</v>
      </c>
      <c r="E305" s="14" t="s">
        <v>21</v>
      </c>
      <c r="F305" s="15" t="s">
        <v>22</v>
      </c>
      <c r="G305" s="21"/>
      <c r="H305" s="58"/>
      <c r="I305" s="14"/>
      <c r="J305" s="14" t="s">
        <v>23</v>
      </c>
      <c r="K305" s="14"/>
      <c r="L305" s="14"/>
      <c r="M305" s="14" t="s">
        <v>29</v>
      </c>
      <c r="N305" s="14" t="s">
        <v>25</v>
      </c>
      <c r="O305" s="14"/>
      <c r="P305" s="14"/>
      <c r="Q305" s="14"/>
      <c r="R305" s="14" t="s">
        <v>158</v>
      </c>
    </row>
    <row r="306" spans="1:1027" ht="15" customHeight="1">
      <c r="A306" s="12">
        <v>1702</v>
      </c>
      <c r="B306" s="13" t="s">
        <v>536</v>
      </c>
      <c r="C306" s="14"/>
      <c r="D306" s="14" t="s">
        <v>534</v>
      </c>
      <c r="E306" s="14" t="s">
        <v>21</v>
      </c>
      <c r="F306" s="15" t="s">
        <v>22</v>
      </c>
      <c r="G306" s="14"/>
      <c r="H306" s="58">
        <v>0</v>
      </c>
      <c r="I306" s="14"/>
      <c r="J306" s="14" t="s">
        <v>23</v>
      </c>
      <c r="K306" s="14"/>
      <c r="L306" s="14"/>
      <c r="M306" s="14" t="s">
        <v>32</v>
      </c>
      <c r="N306" s="14" t="s">
        <v>25</v>
      </c>
      <c r="O306" s="14"/>
      <c r="P306" s="14"/>
      <c r="Q306" s="14"/>
      <c r="R306" s="14" t="s">
        <v>308</v>
      </c>
    </row>
    <row r="307" spans="1:1027" ht="15" customHeight="1">
      <c r="A307" s="12">
        <v>137</v>
      </c>
      <c r="B307" s="13" t="s">
        <v>537</v>
      </c>
      <c r="C307" s="14"/>
      <c r="D307" s="14" t="s">
        <v>538</v>
      </c>
      <c r="E307" s="14" t="s">
        <v>172</v>
      </c>
      <c r="F307" s="15" t="s">
        <v>22</v>
      </c>
      <c r="G307" s="14"/>
      <c r="H307" s="58"/>
      <c r="I307" s="19"/>
      <c r="J307" s="14" t="s">
        <v>23</v>
      </c>
      <c r="K307" s="15"/>
      <c r="L307" s="15"/>
      <c r="M307" s="14" t="s">
        <v>27</v>
      </c>
      <c r="N307" s="22" t="s">
        <v>25</v>
      </c>
      <c r="O307" s="14"/>
      <c r="P307" s="14"/>
      <c r="Q307" s="14"/>
      <c r="R307" s="17">
        <v>43633</v>
      </c>
      <c r="S307" s="1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WZ307" s="3"/>
      <c r="XA307" s="3"/>
      <c r="XB307" s="3"/>
      <c r="XC307" s="3"/>
      <c r="XD307" s="3"/>
      <c r="XE307" s="3"/>
      <c r="XF307" s="3"/>
      <c r="XG307" s="3"/>
      <c r="XH307" s="3"/>
      <c r="XI307" s="3"/>
      <c r="XJ307" s="3"/>
      <c r="XK307" s="3"/>
      <c r="XL307" s="3"/>
      <c r="XM307" s="3"/>
      <c r="XN307" s="3"/>
      <c r="XO307" s="3"/>
      <c r="XP307" s="3"/>
      <c r="XQ307" s="3"/>
      <c r="XR307" s="3"/>
      <c r="XS307" s="3"/>
      <c r="XT307" s="3"/>
      <c r="XU307" s="3"/>
      <c r="XV307" s="3"/>
      <c r="XW307" s="3"/>
      <c r="XX307" s="3"/>
      <c r="XY307" s="3"/>
      <c r="XZ307" s="3"/>
      <c r="YA307" s="3"/>
      <c r="YB307" s="3"/>
      <c r="YC307" s="3"/>
      <c r="YD307" s="3"/>
      <c r="YE307" s="3"/>
      <c r="YF307" s="3"/>
      <c r="YG307" s="3"/>
      <c r="YH307" s="3"/>
      <c r="YI307" s="3"/>
      <c r="YJ307" s="3"/>
      <c r="YK307" s="3"/>
      <c r="YL307" s="3"/>
      <c r="YM307" s="3"/>
      <c r="YN307" s="3"/>
      <c r="YO307" s="3"/>
      <c r="YP307" s="3"/>
      <c r="YQ307" s="3"/>
      <c r="YR307" s="3"/>
      <c r="YS307" s="3"/>
      <c r="YT307" s="3"/>
      <c r="YU307" s="3"/>
      <c r="YV307" s="3"/>
      <c r="YW307" s="3"/>
      <c r="YX307" s="3"/>
      <c r="YY307" s="3"/>
      <c r="YZ307" s="3"/>
      <c r="ZA307" s="3"/>
      <c r="ZB307" s="3"/>
      <c r="ZC307" s="3"/>
      <c r="ZD307" s="3"/>
      <c r="ZE307" s="3"/>
      <c r="ZF307" s="3"/>
      <c r="ZG307" s="3"/>
      <c r="ZH307" s="3"/>
      <c r="ZI307" s="3"/>
      <c r="ZJ307" s="3"/>
      <c r="ZK307" s="3"/>
      <c r="ZL307" s="3"/>
      <c r="ZM307" s="3"/>
      <c r="ZN307" s="3"/>
      <c r="ZO307" s="3"/>
      <c r="ZP307" s="3"/>
      <c r="ZQ307" s="3"/>
      <c r="ZR307" s="3"/>
      <c r="ZS307" s="3"/>
      <c r="ZT307" s="3"/>
      <c r="ZU307" s="3"/>
      <c r="ZV307" s="3"/>
      <c r="ZW307" s="3"/>
      <c r="ZX307" s="3"/>
      <c r="ZY307" s="3"/>
      <c r="ZZ307" s="3"/>
      <c r="AAA307" s="3"/>
      <c r="AAB307" s="3"/>
      <c r="AAC307" s="3"/>
      <c r="AAD307" s="3"/>
      <c r="AAE307" s="3"/>
      <c r="AAF307" s="3"/>
      <c r="AAG307" s="3"/>
      <c r="AAH307" s="3"/>
      <c r="AAI307" s="3"/>
      <c r="AAJ307" s="3"/>
      <c r="AAK307" s="3"/>
      <c r="AAL307" s="3"/>
      <c r="AAM307" s="3"/>
      <c r="AAN307" s="3"/>
      <c r="AAO307" s="3"/>
      <c r="AAP307" s="3"/>
      <c r="AAQ307" s="3"/>
      <c r="AAR307" s="3"/>
      <c r="AAS307" s="3"/>
      <c r="AAT307" s="3"/>
      <c r="AAU307" s="3"/>
      <c r="AAV307" s="3"/>
      <c r="AAW307" s="3"/>
      <c r="AAX307" s="3"/>
      <c r="AAY307" s="3"/>
      <c r="AAZ307" s="3"/>
      <c r="ABA307" s="3"/>
      <c r="ABB307" s="3"/>
      <c r="ABC307" s="3"/>
      <c r="ABD307" s="3"/>
      <c r="ABE307" s="3"/>
      <c r="ABF307" s="3"/>
      <c r="ABG307" s="3"/>
      <c r="ABH307" s="3"/>
      <c r="ABI307" s="3"/>
      <c r="ABJ307" s="3"/>
      <c r="ABK307" s="3"/>
      <c r="ABL307" s="3"/>
      <c r="ABM307" s="3"/>
      <c r="ABN307" s="3"/>
      <c r="ABO307" s="3"/>
      <c r="ABP307" s="3"/>
      <c r="ABQ307" s="3"/>
      <c r="ABR307" s="3"/>
      <c r="ABS307" s="3"/>
      <c r="ABT307" s="3"/>
      <c r="ABU307" s="3"/>
      <c r="ABV307" s="3"/>
      <c r="ABW307" s="3"/>
      <c r="ABX307" s="3"/>
      <c r="ABY307" s="3"/>
      <c r="ABZ307" s="3"/>
      <c r="ACA307" s="3"/>
      <c r="ACB307" s="3"/>
      <c r="ACC307" s="3"/>
      <c r="ACD307" s="3"/>
      <c r="ACE307" s="3"/>
      <c r="ACF307" s="3"/>
      <c r="ACG307" s="3"/>
      <c r="ACH307" s="3"/>
      <c r="ACI307" s="3"/>
      <c r="ACJ307" s="3"/>
      <c r="ACK307" s="3"/>
      <c r="ACL307" s="3"/>
      <c r="ACM307" s="3"/>
      <c r="ACN307" s="3"/>
      <c r="ACO307" s="3"/>
      <c r="ACP307" s="3"/>
      <c r="ACQ307" s="3"/>
      <c r="ACR307" s="3"/>
      <c r="ACS307" s="3"/>
      <c r="ACT307" s="3"/>
      <c r="ACU307" s="3"/>
      <c r="ACV307" s="3"/>
      <c r="ACW307" s="3"/>
      <c r="ACX307" s="3"/>
      <c r="ACY307" s="3"/>
      <c r="ACZ307" s="3"/>
      <c r="ADA307" s="3"/>
      <c r="ADB307" s="3"/>
      <c r="ADC307" s="3"/>
      <c r="ADD307" s="3"/>
      <c r="ADE307" s="3"/>
      <c r="ADF307" s="3"/>
      <c r="ADG307" s="3"/>
      <c r="ADH307" s="3"/>
      <c r="ADI307" s="3"/>
      <c r="ADJ307" s="3"/>
      <c r="ADK307" s="3"/>
      <c r="ADL307" s="3"/>
      <c r="ADM307" s="3"/>
      <c r="ADN307" s="3"/>
      <c r="ADO307" s="3"/>
      <c r="ADP307" s="3"/>
      <c r="ADQ307" s="3"/>
      <c r="ADR307" s="3"/>
      <c r="ADS307" s="3"/>
      <c r="ADT307" s="3"/>
      <c r="ADU307" s="3"/>
      <c r="ADV307" s="3"/>
      <c r="ADW307" s="3"/>
      <c r="ADX307" s="3"/>
      <c r="ADY307" s="3"/>
      <c r="ADZ307" s="3"/>
      <c r="AEA307" s="3"/>
      <c r="AEB307" s="3"/>
      <c r="AEC307" s="3"/>
      <c r="AED307" s="3"/>
      <c r="AEE307" s="3"/>
      <c r="AEF307" s="3"/>
      <c r="AEG307" s="3"/>
      <c r="AEH307" s="3"/>
      <c r="AEI307" s="3"/>
      <c r="AEJ307" s="3"/>
      <c r="AEK307" s="3"/>
      <c r="AEL307" s="3"/>
      <c r="AEM307" s="3"/>
      <c r="AEN307" s="3"/>
      <c r="AEO307" s="3"/>
      <c r="AEP307" s="3"/>
      <c r="AEQ307" s="3"/>
      <c r="AER307" s="3"/>
      <c r="AES307" s="3"/>
      <c r="AET307" s="3"/>
      <c r="AEU307" s="3"/>
      <c r="AEV307" s="3"/>
      <c r="AEW307" s="3"/>
      <c r="AEX307" s="3"/>
      <c r="AEY307" s="3"/>
      <c r="AEZ307" s="3"/>
      <c r="AFA307" s="3"/>
      <c r="AFB307" s="3"/>
      <c r="AFC307" s="3"/>
      <c r="AFD307" s="3"/>
      <c r="AFE307" s="3"/>
      <c r="AFF307" s="3"/>
      <c r="AFG307" s="3"/>
      <c r="AFH307" s="3"/>
      <c r="AFI307" s="3"/>
      <c r="AFJ307" s="3"/>
      <c r="AFK307" s="3"/>
      <c r="AFL307" s="3"/>
      <c r="AFM307" s="3"/>
      <c r="AFN307" s="3"/>
      <c r="AFO307" s="3"/>
      <c r="AFP307" s="3"/>
      <c r="AFQ307" s="3"/>
      <c r="AFR307" s="3"/>
      <c r="AFS307" s="3"/>
      <c r="AFT307" s="3"/>
      <c r="AFU307" s="3"/>
      <c r="AFV307" s="3"/>
      <c r="AFW307" s="3"/>
      <c r="AFX307" s="3"/>
      <c r="AFY307" s="3"/>
      <c r="AFZ307" s="3"/>
      <c r="AGA307" s="3"/>
      <c r="AGB307" s="3"/>
      <c r="AGC307" s="3"/>
      <c r="AGD307" s="3"/>
      <c r="AGE307" s="3"/>
      <c r="AGF307" s="3"/>
      <c r="AGG307" s="3"/>
      <c r="AGH307" s="3"/>
      <c r="AGI307" s="3"/>
      <c r="AGJ307" s="3"/>
      <c r="AGK307" s="3"/>
      <c r="AGL307" s="3"/>
      <c r="AGM307" s="3"/>
      <c r="AGN307" s="3"/>
      <c r="AGO307" s="3"/>
      <c r="AGP307" s="3"/>
      <c r="AGQ307" s="3"/>
      <c r="AGR307" s="3"/>
      <c r="AGS307" s="3"/>
      <c r="AGT307" s="3"/>
      <c r="AGU307" s="3"/>
      <c r="AGV307" s="3"/>
      <c r="AGW307" s="3"/>
      <c r="AGX307" s="3"/>
      <c r="AGY307" s="3"/>
      <c r="AGZ307" s="3"/>
      <c r="AHA307" s="3"/>
      <c r="AHB307" s="3"/>
      <c r="AHC307" s="3"/>
      <c r="AHD307" s="3"/>
      <c r="AHE307" s="3"/>
      <c r="AHF307" s="3"/>
      <c r="AHG307" s="3"/>
      <c r="AHH307" s="3"/>
      <c r="AHI307" s="3"/>
      <c r="AHJ307" s="3"/>
      <c r="AHK307" s="3"/>
      <c r="AHL307" s="3"/>
      <c r="AHM307" s="3"/>
      <c r="AHN307" s="3"/>
      <c r="AHO307" s="3"/>
      <c r="AHP307" s="3"/>
      <c r="AHQ307" s="3"/>
      <c r="AHR307" s="3"/>
      <c r="AHS307" s="3"/>
      <c r="AHT307" s="3"/>
      <c r="AHU307" s="3"/>
      <c r="AHV307" s="3"/>
      <c r="AHW307" s="3"/>
      <c r="AHX307" s="3"/>
      <c r="AHY307" s="3"/>
      <c r="AHZ307" s="3"/>
      <c r="AIA307" s="3"/>
      <c r="AIB307" s="3"/>
      <c r="AIC307" s="3"/>
      <c r="AID307" s="3"/>
      <c r="AIE307" s="3"/>
      <c r="AIF307" s="3"/>
      <c r="AIG307" s="3"/>
      <c r="AIH307" s="3"/>
      <c r="AII307" s="3"/>
      <c r="AIJ307" s="3"/>
      <c r="AIK307" s="3"/>
      <c r="AIL307" s="3"/>
      <c r="AIM307" s="3"/>
      <c r="AIN307" s="3"/>
      <c r="AIO307" s="3"/>
      <c r="AIP307" s="3"/>
      <c r="AIQ307" s="3"/>
      <c r="AIR307" s="3"/>
      <c r="AIS307" s="3"/>
      <c r="AIT307" s="3"/>
      <c r="AIU307" s="3"/>
      <c r="AIV307" s="3"/>
      <c r="AIW307" s="3"/>
      <c r="AIX307" s="3"/>
      <c r="AIY307" s="3"/>
      <c r="AIZ307" s="3"/>
      <c r="AJA307" s="3"/>
      <c r="AJB307" s="3"/>
      <c r="AJC307" s="3"/>
      <c r="AJD307" s="3"/>
      <c r="AJE307" s="3"/>
      <c r="AJF307" s="3"/>
      <c r="AJG307" s="3"/>
      <c r="AJH307" s="3"/>
      <c r="AJI307" s="3"/>
      <c r="AJJ307" s="3"/>
      <c r="AJK307" s="3"/>
      <c r="AJL307" s="3"/>
      <c r="AJM307" s="3"/>
      <c r="AJN307" s="3"/>
      <c r="AJO307" s="3"/>
      <c r="AJP307" s="3"/>
      <c r="AJQ307" s="3"/>
      <c r="AJR307" s="3"/>
      <c r="AJS307" s="3"/>
      <c r="AJT307" s="3"/>
      <c r="AJU307" s="3"/>
      <c r="AJV307" s="3"/>
      <c r="AJW307" s="3"/>
      <c r="AJX307" s="3"/>
      <c r="AJY307" s="3"/>
      <c r="AJZ307" s="3"/>
      <c r="AKA307" s="3"/>
      <c r="AKB307" s="3"/>
      <c r="AKC307" s="3"/>
      <c r="AKD307" s="3"/>
      <c r="AKE307" s="3"/>
      <c r="AKF307" s="3"/>
      <c r="AKG307" s="3"/>
      <c r="AKH307" s="3"/>
      <c r="AKI307" s="3"/>
      <c r="AKJ307" s="3"/>
      <c r="AKK307" s="3"/>
      <c r="AKL307" s="3"/>
      <c r="AKM307" s="3"/>
      <c r="AKN307" s="3"/>
      <c r="AKO307" s="3"/>
      <c r="AKP307" s="3"/>
      <c r="AKQ307" s="3"/>
      <c r="AKR307" s="3"/>
      <c r="AKS307" s="3"/>
      <c r="AKT307" s="3"/>
      <c r="AKU307" s="3"/>
      <c r="AKV307" s="3"/>
      <c r="AKW307" s="3"/>
      <c r="AKX307" s="3"/>
      <c r="AKY307" s="3"/>
      <c r="AKZ307" s="3"/>
      <c r="ALA307" s="3"/>
      <c r="ALB307" s="3"/>
      <c r="ALC307" s="3"/>
      <c r="ALD307" s="3"/>
      <c r="ALE307" s="3"/>
      <c r="ALF307" s="3"/>
      <c r="ALG307" s="3"/>
      <c r="ALH307" s="3"/>
      <c r="ALI307" s="3"/>
      <c r="ALJ307" s="3"/>
      <c r="ALK307" s="3"/>
      <c r="ALL307" s="3"/>
      <c r="ALM307" s="3"/>
      <c r="ALN307" s="3"/>
      <c r="ALO307" s="3"/>
      <c r="ALP307" s="3"/>
      <c r="ALQ307" s="3"/>
      <c r="ALR307" s="3"/>
      <c r="ALS307" s="3"/>
      <c r="ALT307" s="3"/>
      <c r="ALU307" s="3"/>
      <c r="ALV307" s="3"/>
      <c r="ALW307" s="3"/>
      <c r="ALX307" s="3"/>
      <c r="ALY307" s="3"/>
      <c r="ALZ307" s="3"/>
      <c r="AMA307" s="3"/>
      <c r="AMB307" s="3"/>
      <c r="AMC307" s="3"/>
      <c r="AMD307" s="3"/>
      <c r="AME307" s="3"/>
      <c r="AMF307" s="3"/>
      <c r="AMG307" s="3"/>
      <c r="AMH307" s="3"/>
      <c r="AMI307" s="3"/>
      <c r="AMJ307" s="3"/>
      <c r="AMK307" s="3"/>
      <c r="AML307" s="3"/>
      <c r="AMM307" s="3"/>
    </row>
    <row r="308" spans="1:1027" ht="15" customHeight="1">
      <c r="A308" s="12">
        <v>914</v>
      </c>
      <c r="B308" s="13" t="s">
        <v>539</v>
      </c>
      <c r="C308" s="14"/>
      <c r="D308" s="14" t="s">
        <v>538</v>
      </c>
      <c r="E308" s="14" t="s">
        <v>172</v>
      </c>
      <c r="F308" s="15" t="s">
        <v>22</v>
      </c>
      <c r="G308" s="21"/>
      <c r="H308" s="58"/>
      <c r="I308" s="14"/>
      <c r="J308" s="14" t="s">
        <v>23</v>
      </c>
      <c r="K308" s="14"/>
      <c r="L308" s="14"/>
      <c r="M308" s="14" t="s">
        <v>29</v>
      </c>
      <c r="N308" s="14" t="s">
        <v>25</v>
      </c>
      <c r="O308" s="14"/>
      <c r="P308" s="14"/>
      <c r="Q308" s="14"/>
      <c r="R308" s="14" t="s">
        <v>158</v>
      </c>
    </row>
    <row r="309" spans="1:1027" ht="15" customHeight="1">
      <c r="A309" s="12">
        <v>1703</v>
      </c>
      <c r="B309" s="13" t="s">
        <v>540</v>
      </c>
      <c r="C309" s="14"/>
      <c r="D309" s="14" t="s">
        <v>538</v>
      </c>
      <c r="E309" s="14" t="s">
        <v>172</v>
      </c>
      <c r="F309" s="15" t="s">
        <v>22</v>
      </c>
      <c r="G309" s="14"/>
      <c r="H309" s="58">
        <v>0</v>
      </c>
      <c r="I309" s="14"/>
      <c r="J309" s="14" t="s">
        <v>23</v>
      </c>
      <c r="K309" s="14"/>
      <c r="L309" s="14"/>
      <c r="M309" s="14" t="s">
        <v>32</v>
      </c>
      <c r="N309" s="14" t="s">
        <v>25</v>
      </c>
      <c r="O309" s="14"/>
      <c r="P309" s="14"/>
      <c r="Q309" s="14"/>
      <c r="R309" s="14" t="s">
        <v>308</v>
      </c>
    </row>
    <row r="310" spans="1:1027" ht="15" customHeight="1">
      <c r="A310" s="12">
        <v>138</v>
      </c>
      <c r="B310" s="13" t="s">
        <v>541</v>
      </c>
      <c r="C310" s="14"/>
      <c r="D310" s="14" t="s">
        <v>542</v>
      </c>
      <c r="E310" s="14" t="s">
        <v>21</v>
      </c>
      <c r="F310" s="15" t="s">
        <v>22</v>
      </c>
      <c r="G310" s="14"/>
      <c r="H310" s="58"/>
      <c r="I310" s="19"/>
      <c r="J310" s="14" t="s">
        <v>23</v>
      </c>
      <c r="K310" s="15"/>
      <c r="L310" s="15"/>
      <c r="M310" s="14" t="s">
        <v>27</v>
      </c>
      <c r="N310" s="22" t="s">
        <v>25</v>
      </c>
      <c r="O310" s="14"/>
      <c r="P310" s="14"/>
      <c r="Q310" s="14"/>
      <c r="R310" s="17">
        <v>43633</v>
      </c>
      <c r="S310" s="1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  <c r="WQ310" s="3"/>
      <c r="WR310" s="3"/>
      <c r="WS310" s="3"/>
      <c r="WT310" s="3"/>
      <c r="WU310" s="3"/>
      <c r="WV310" s="3"/>
      <c r="WW310" s="3"/>
      <c r="WX310" s="3"/>
      <c r="WY310" s="3"/>
      <c r="WZ310" s="3"/>
      <c r="XA310" s="3"/>
      <c r="XB310" s="3"/>
      <c r="XC310" s="3"/>
      <c r="XD310" s="3"/>
      <c r="XE310" s="3"/>
      <c r="XF310" s="3"/>
      <c r="XG310" s="3"/>
      <c r="XH310" s="3"/>
      <c r="XI310" s="3"/>
      <c r="XJ310" s="3"/>
      <c r="XK310" s="3"/>
      <c r="XL310" s="3"/>
      <c r="XM310" s="3"/>
      <c r="XN310" s="3"/>
      <c r="XO310" s="3"/>
      <c r="XP310" s="3"/>
      <c r="XQ310" s="3"/>
      <c r="XR310" s="3"/>
      <c r="XS310" s="3"/>
      <c r="XT310" s="3"/>
      <c r="XU310" s="3"/>
      <c r="XV310" s="3"/>
      <c r="XW310" s="3"/>
      <c r="XX310" s="3"/>
      <c r="XY310" s="3"/>
      <c r="XZ310" s="3"/>
      <c r="YA310" s="3"/>
      <c r="YB310" s="3"/>
      <c r="YC310" s="3"/>
      <c r="YD310" s="3"/>
      <c r="YE310" s="3"/>
      <c r="YF310" s="3"/>
      <c r="YG310" s="3"/>
      <c r="YH310" s="3"/>
      <c r="YI310" s="3"/>
      <c r="YJ310" s="3"/>
      <c r="YK310" s="3"/>
      <c r="YL310" s="3"/>
      <c r="YM310" s="3"/>
      <c r="YN310" s="3"/>
      <c r="YO310" s="3"/>
      <c r="YP310" s="3"/>
      <c r="YQ310" s="3"/>
      <c r="YR310" s="3"/>
      <c r="YS310" s="3"/>
      <c r="YT310" s="3"/>
      <c r="YU310" s="3"/>
      <c r="YV310" s="3"/>
      <c r="YW310" s="3"/>
      <c r="YX310" s="3"/>
      <c r="YY310" s="3"/>
      <c r="YZ310" s="3"/>
      <c r="ZA310" s="3"/>
      <c r="ZB310" s="3"/>
      <c r="ZC310" s="3"/>
      <c r="ZD310" s="3"/>
      <c r="ZE310" s="3"/>
      <c r="ZF310" s="3"/>
      <c r="ZG310" s="3"/>
      <c r="ZH310" s="3"/>
      <c r="ZI310" s="3"/>
      <c r="ZJ310" s="3"/>
      <c r="ZK310" s="3"/>
      <c r="ZL310" s="3"/>
      <c r="ZM310" s="3"/>
      <c r="ZN310" s="3"/>
      <c r="ZO310" s="3"/>
      <c r="ZP310" s="3"/>
      <c r="ZQ310" s="3"/>
      <c r="ZR310" s="3"/>
      <c r="ZS310" s="3"/>
      <c r="ZT310" s="3"/>
      <c r="ZU310" s="3"/>
      <c r="ZV310" s="3"/>
      <c r="ZW310" s="3"/>
      <c r="ZX310" s="3"/>
      <c r="ZY310" s="3"/>
      <c r="ZZ310" s="3"/>
      <c r="AAA310" s="3"/>
      <c r="AAB310" s="3"/>
      <c r="AAC310" s="3"/>
      <c r="AAD310" s="3"/>
      <c r="AAE310" s="3"/>
      <c r="AAF310" s="3"/>
      <c r="AAG310" s="3"/>
      <c r="AAH310" s="3"/>
      <c r="AAI310" s="3"/>
      <c r="AAJ310" s="3"/>
      <c r="AAK310" s="3"/>
      <c r="AAL310" s="3"/>
      <c r="AAM310" s="3"/>
      <c r="AAN310" s="3"/>
      <c r="AAO310" s="3"/>
      <c r="AAP310" s="3"/>
      <c r="AAQ310" s="3"/>
      <c r="AAR310" s="3"/>
      <c r="AAS310" s="3"/>
      <c r="AAT310" s="3"/>
      <c r="AAU310" s="3"/>
      <c r="AAV310" s="3"/>
      <c r="AAW310" s="3"/>
      <c r="AAX310" s="3"/>
      <c r="AAY310" s="3"/>
      <c r="AAZ310" s="3"/>
      <c r="ABA310" s="3"/>
      <c r="ABB310" s="3"/>
      <c r="ABC310" s="3"/>
      <c r="ABD310" s="3"/>
      <c r="ABE310" s="3"/>
      <c r="ABF310" s="3"/>
      <c r="ABG310" s="3"/>
      <c r="ABH310" s="3"/>
      <c r="ABI310" s="3"/>
      <c r="ABJ310" s="3"/>
      <c r="ABK310" s="3"/>
      <c r="ABL310" s="3"/>
      <c r="ABM310" s="3"/>
      <c r="ABN310" s="3"/>
      <c r="ABO310" s="3"/>
      <c r="ABP310" s="3"/>
      <c r="ABQ310" s="3"/>
      <c r="ABR310" s="3"/>
      <c r="ABS310" s="3"/>
      <c r="ABT310" s="3"/>
      <c r="ABU310" s="3"/>
      <c r="ABV310" s="3"/>
      <c r="ABW310" s="3"/>
      <c r="ABX310" s="3"/>
      <c r="ABY310" s="3"/>
      <c r="ABZ310" s="3"/>
      <c r="ACA310" s="3"/>
      <c r="ACB310" s="3"/>
      <c r="ACC310" s="3"/>
      <c r="ACD310" s="3"/>
      <c r="ACE310" s="3"/>
      <c r="ACF310" s="3"/>
      <c r="ACG310" s="3"/>
      <c r="ACH310" s="3"/>
      <c r="ACI310" s="3"/>
      <c r="ACJ310" s="3"/>
      <c r="ACK310" s="3"/>
      <c r="ACL310" s="3"/>
      <c r="ACM310" s="3"/>
      <c r="ACN310" s="3"/>
      <c r="ACO310" s="3"/>
      <c r="ACP310" s="3"/>
      <c r="ACQ310" s="3"/>
      <c r="ACR310" s="3"/>
      <c r="ACS310" s="3"/>
      <c r="ACT310" s="3"/>
      <c r="ACU310" s="3"/>
      <c r="ACV310" s="3"/>
      <c r="ACW310" s="3"/>
      <c r="ACX310" s="3"/>
      <c r="ACY310" s="3"/>
      <c r="ACZ310" s="3"/>
      <c r="ADA310" s="3"/>
      <c r="ADB310" s="3"/>
      <c r="ADC310" s="3"/>
      <c r="ADD310" s="3"/>
      <c r="ADE310" s="3"/>
      <c r="ADF310" s="3"/>
      <c r="ADG310" s="3"/>
      <c r="ADH310" s="3"/>
      <c r="ADI310" s="3"/>
      <c r="ADJ310" s="3"/>
      <c r="ADK310" s="3"/>
      <c r="ADL310" s="3"/>
      <c r="ADM310" s="3"/>
      <c r="ADN310" s="3"/>
      <c r="ADO310" s="3"/>
      <c r="ADP310" s="3"/>
      <c r="ADQ310" s="3"/>
      <c r="ADR310" s="3"/>
      <c r="ADS310" s="3"/>
      <c r="ADT310" s="3"/>
      <c r="ADU310" s="3"/>
      <c r="ADV310" s="3"/>
      <c r="ADW310" s="3"/>
      <c r="ADX310" s="3"/>
      <c r="ADY310" s="3"/>
      <c r="ADZ310" s="3"/>
      <c r="AEA310" s="3"/>
      <c r="AEB310" s="3"/>
      <c r="AEC310" s="3"/>
      <c r="AED310" s="3"/>
      <c r="AEE310" s="3"/>
      <c r="AEF310" s="3"/>
      <c r="AEG310" s="3"/>
      <c r="AEH310" s="3"/>
      <c r="AEI310" s="3"/>
      <c r="AEJ310" s="3"/>
      <c r="AEK310" s="3"/>
      <c r="AEL310" s="3"/>
      <c r="AEM310" s="3"/>
      <c r="AEN310" s="3"/>
      <c r="AEO310" s="3"/>
      <c r="AEP310" s="3"/>
      <c r="AEQ310" s="3"/>
      <c r="AER310" s="3"/>
      <c r="AES310" s="3"/>
      <c r="AET310" s="3"/>
      <c r="AEU310" s="3"/>
      <c r="AEV310" s="3"/>
      <c r="AEW310" s="3"/>
      <c r="AEX310" s="3"/>
      <c r="AEY310" s="3"/>
      <c r="AEZ310" s="3"/>
      <c r="AFA310" s="3"/>
      <c r="AFB310" s="3"/>
      <c r="AFC310" s="3"/>
      <c r="AFD310" s="3"/>
      <c r="AFE310" s="3"/>
      <c r="AFF310" s="3"/>
      <c r="AFG310" s="3"/>
      <c r="AFH310" s="3"/>
      <c r="AFI310" s="3"/>
      <c r="AFJ310" s="3"/>
      <c r="AFK310" s="3"/>
      <c r="AFL310" s="3"/>
      <c r="AFM310" s="3"/>
      <c r="AFN310" s="3"/>
      <c r="AFO310" s="3"/>
      <c r="AFP310" s="3"/>
      <c r="AFQ310" s="3"/>
      <c r="AFR310" s="3"/>
      <c r="AFS310" s="3"/>
      <c r="AFT310" s="3"/>
      <c r="AFU310" s="3"/>
      <c r="AFV310" s="3"/>
      <c r="AFW310" s="3"/>
      <c r="AFX310" s="3"/>
      <c r="AFY310" s="3"/>
      <c r="AFZ310" s="3"/>
      <c r="AGA310" s="3"/>
      <c r="AGB310" s="3"/>
      <c r="AGC310" s="3"/>
      <c r="AGD310" s="3"/>
      <c r="AGE310" s="3"/>
      <c r="AGF310" s="3"/>
      <c r="AGG310" s="3"/>
      <c r="AGH310" s="3"/>
      <c r="AGI310" s="3"/>
      <c r="AGJ310" s="3"/>
      <c r="AGK310" s="3"/>
      <c r="AGL310" s="3"/>
      <c r="AGM310" s="3"/>
      <c r="AGN310" s="3"/>
      <c r="AGO310" s="3"/>
      <c r="AGP310" s="3"/>
      <c r="AGQ310" s="3"/>
      <c r="AGR310" s="3"/>
      <c r="AGS310" s="3"/>
      <c r="AGT310" s="3"/>
      <c r="AGU310" s="3"/>
      <c r="AGV310" s="3"/>
      <c r="AGW310" s="3"/>
      <c r="AGX310" s="3"/>
      <c r="AGY310" s="3"/>
      <c r="AGZ310" s="3"/>
      <c r="AHA310" s="3"/>
      <c r="AHB310" s="3"/>
      <c r="AHC310" s="3"/>
      <c r="AHD310" s="3"/>
      <c r="AHE310" s="3"/>
      <c r="AHF310" s="3"/>
      <c r="AHG310" s="3"/>
      <c r="AHH310" s="3"/>
      <c r="AHI310" s="3"/>
      <c r="AHJ310" s="3"/>
      <c r="AHK310" s="3"/>
      <c r="AHL310" s="3"/>
      <c r="AHM310" s="3"/>
      <c r="AHN310" s="3"/>
      <c r="AHO310" s="3"/>
      <c r="AHP310" s="3"/>
      <c r="AHQ310" s="3"/>
      <c r="AHR310" s="3"/>
      <c r="AHS310" s="3"/>
      <c r="AHT310" s="3"/>
      <c r="AHU310" s="3"/>
      <c r="AHV310" s="3"/>
      <c r="AHW310" s="3"/>
      <c r="AHX310" s="3"/>
      <c r="AHY310" s="3"/>
      <c r="AHZ310" s="3"/>
      <c r="AIA310" s="3"/>
      <c r="AIB310" s="3"/>
      <c r="AIC310" s="3"/>
      <c r="AID310" s="3"/>
      <c r="AIE310" s="3"/>
      <c r="AIF310" s="3"/>
      <c r="AIG310" s="3"/>
      <c r="AIH310" s="3"/>
      <c r="AII310" s="3"/>
      <c r="AIJ310" s="3"/>
      <c r="AIK310" s="3"/>
      <c r="AIL310" s="3"/>
      <c r="AIM310" s="3"/>
      <c r="AIN310" s="3"/>
      <c r="AIO310" s="3"/>
      <c r="AIP310" s="3"/>
      <c r="AIQ310" s="3"/>
      <c r="AIR310" s="3"/>
      <c r="AIS310" s="3"/>
      <c r="AIT310" s="3"/>
      <c r="AIU310" s="3"/>
      <c r="AIV310" s="3"/>
      <c r="AIW310" s="3"/>
      <c r="AIX310" s="3"/>
      <c r="AIY310" s="3"/>
      <c r="AIZ310" s="3"/>
      <c r="AJA310" s="3"/>
      <c r="AJB310" s="3"/>
      <c r="AJC310" s="3"/>
      <c r="AJD310" s="3"/>
      <c r="AJE310" s="3"/>
      <c r="AJF310" s="3"/>
      <c r="AJG310" s="3"/>
      <c r="AJH310" s="3"/>
      <c r="AJI310" s="3"/>
      <c r="AJJ310" s="3"/>
      <c r="AJK310" s="3"/>
      <c r="AJL310" s="3"/>
      <c r="AJM310" s="3"/>
      <c r="AJN310" s="3"/>
      <c r="AJO310" s="3"/>
      <c r="AJP310" s="3"/>
      <c r="AJQ310" s="3"/>
      <c r="AJR310" s="3"/>
      <c r="AJS310" s="3"/>
      <c r="AJT310" s="3"/>
      <c r="AJU310" s="3"/>
      <c r="AJV310" s="3"/>
      <c r="AJW310" s="3"/>
      <c r="AJX310" s="3"/>
      <c r="AJY310" s="3"/>
      <c r="AJZ310" s="3"/>
      <c r="AKA310" s="3"/>
      <c r="AKB310" s="3"/>
      <c r="AKC310" s="3"/>
      <c r="AKD310" s="3"/>
      <c r="AKE310" s="3"/>
      <c r="AKF310" s="3"/>
      <c r="AKG310" s="3"/>
      <c r="AKH310" s="3"/>
      <c r="AKI310" s="3"/>
      <c r="AKJ310" s="3"/>
      <c r="AKK310" s="3"/>
      <c r="AKL310" s="3"/>
      <c r="AKM310" s="3"/>
      <c r="AKN310" s="3"/>
      <c r="AKO310" s="3"/>
      <c r="AKP310" s="3"/>
      <c r="AKQ310" s="3"/>
      <c r="AKR310" s="3"/>
      <c r="AKS310" s="3"/>
      <c r="AKT310" s="3"/>
      <c r="AKU310" s="3"/>
      <c r="AKV310" s="3"/>
      <c r="AKW310" s="3"/>
      <c r="AKX310" s="3"/>
      <c r="AKY310" s="3"/>
      <c r="AKZ310" s="3"/>
      <c r="ALA310" s="3"/>
      <c r="ALB310" s="3"/>
      <c r="ALC310" s="3"/>
      <c r="ALD310" s="3"/>
      <c r="ALE310" s="3"/>
      <c r="ALF310" s="3"/>
      <c r="ALG310" s="3"/>
      <c r="ALH310" s="3"/>
      <c r="ALI310" s="3"/>
      <c r="ALJ310" s="3"/>
      <c r="ALK310" s="3"/>
      <c r="ALL310" s="3"/>
      <c r="ALM310" s="3"/>
      <c r="ALN310" s="3"/>
      <c r="ALO310" s="3"/>
      <c r="ALP310" s="3"/>
      <c r="ALQ310" s="3"/>
      <c r="ALR310" s="3"/>
      <c r="ALS310" s="3"/>
      <c r="ALT310" s="3"/>
      <c r="ALU310" s="3"/>
      <c r="ALV310" s="3"/>
      <c r="ALW310" s="3"/>
      <c r="ALX310" s="3"/>
      <c r="ALY310" s="3"/>
      <c r="ALZ310" s="3"/>
      <c r="AMA310" s="3"/>
      <c r="AMB310" s="3"/>
      <c r="AMC310" s="3"/>
      <c r="AMD310" s="3"/>
      <c r="AME310" s="3"/>
      <c r="AMF310" s="3"/>
      <c r="AMG310" s="3"/>
      <c r="AMH310" s="3"/>
      <c r="AMI310" s="3"/>
      <c r="AMJ310" s="3"/>
      <c r="AMK310" s="3"/>
      <c r="AML310" s="3"/>
      <c r="AMM310" s="3"/>
    </row>
    <row r="311" spans="1:1027" ht="15" customHeight="1">
      <c r="A311" s="12">
        <v>915</v>
      </c>
      <c r="B311" s="13" t="s">
        <v>543</v>
      </c>
      <c r="C311" s="14"/>
      <c r="D311" s="14" t="s">
        <v>542</v>
      </c>
      <c r="E311" s="14" t="s">
        <v>21</v>
      </c>
      <c r="F311" s="15" t="s">
        <v>22</v>
      </c>
      <c r="G311" s="21"/>
      <c r="H311" s="58"/>
      <c r="I311" s="14"/>
      <c r="J311" s="14" t="s">
        <v>23</v>
      </c>
      <c r="K311" s="14"/>
      <c r="L311" s="14"/>
      <c r="M311" s="14" t="s">
        <v>29</v>
      </c>
      <c r="N311" s="14" t="s">
        <v>25</v>
      </c>
      <c r="O311" s="14"/>
      <c r="P311" s="14"/>
      <c r="Q311" s="14"/>
      <c r="R311" s="14" t="s">
        <v>158</v>
      </c>
    </row>
    <row r="312" spans="1:1027" ht="15" customHeight="1">
      <c r="A312" s="12">
        <v>1704</v>
      </c>
      <c r="B312" s="13" t="s">
        <v>544</v>
      </c>
      <c r="C312" s="14"/>
      <c r="D312" s="14" t="s">
        <v>542</v>
      </c>
      <c r="E312" s="14" t="s">
        <v>21</v>
      </c>
      <c r="F312" s="15" t="s">
        <v>22</v>
      </c>
      <c r="G312" s="14"/>
      <c r="H312" s="58">
        <v>0</v>
      </c>
      <c r="I312" s="14"/>
      <c r="J312" s="14" t="s">
        <v>23</v>
      </c>
      <c r="K312" s="14"/>
      <c r="L312" s="14"/>
      <c r="M312" s="14" t="s">
        <v>32</v>
      </c>
      <c r="N312" s="14" t="s">
        <v>25</v>
      </c>
      <c r="O312" s="14"/>
      <c r="P312" s="14"/>
      <c r="Q312" s="14"/>
      <c r="R312" s="14" t="s">
        <v>308</v>
      </c>
    </row>
    <row r="313" spans="1:1027" ht="15" customHeight="1">
      <c r="A313" s="12">
        <v>139</v>
      </c>
      <c r="B313" s="13" t="s">
        <v>545</v>
      </c>
      <c r="C313" s="14"/>
      <c r="D313" s="14" t="s">
        <v>546</v>
      </c>
      <c r="E313" s="14" t="s">
        <v>92</v>
      </c>
      <c r="F313" s="15" t="s">
        <v>22</v>
      </c>
      <c r="G313" s="14"/>
      <c r="H313" s="58"/>
      <c r="I313" s="14"/>
      <c r="J313" s="14" t="s">
        <v>23</v>
      </c>
      <c r="K313" s="15"/>
      <c r="L313" s="15"/>
      <c r="M313" s="14" t="s">
        <v>27</v>
      </c>
      <c r="N313" s="22" t="s">
        <v>25</v>
      </c>
      <c r="O313" s="14"/>
      <c r="P313" s="14"/>
      <c r="Q313" s="14"/>
      <c r="R313" s="17">
        <v>43633</v>
      </c>
      <c r="S313" s="1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WR313" s="3"/>
      <c r="WS313" s="3"/>
      <c r="WT313" s="3"/>
      <c r="WU313" s="3"/>
      <c r="WV313" s="3"/>
      <c r="WW313" s="3"/>
      <c r="WX313" s="3"/>
      <c r="WY313" s="3"/>
      <c r="WZ313" s="3"/>
      <c r="XA313" s="3"/>
      <c r="XB313" s="3"/>
      <c r="XC313" s="3"/>
      <c r="XD313" s="3"/>
      <c r="XE313" s="3"/>
      <c r="XF313" s="3"/>
      <c r="XG313" s="3"/>
      <c r="XH313" s="3"/>
      <c r="XI313" s="3"/>
      <c r="XJ313" s="3"/>
      <c r="XK313" s="3"/>
      <c r="XL313" s="3"/>
      <c r="XM313" s="3"/>
      <c r="XN313" s="3"/>
      <c r="XO313" s="3"/>
      <c r="XP313" s="3"/>
      <c r="XQ313" s="3"/>
      <c r="XR313" s="3"/>
      <c r="XS313" s="3"/>
      <c r="XT313" s="3"/>
      <c r="XU313" s="3"/>
      <c r="XV313" s="3"/>
      <c r="XW313" s="3"/>
      <c r="XX313" s="3"/>
      <c r="XY313" s="3"/>
      <c r="XZ313" s="3"/>
      <c r="YA313" s="3"/>
      <c r="YB313" s="3"/>
      <c r="YC313" s="3"/>
      <c r="YD313" s="3"/>
      <c r="YE313" s="3"/>
      <c r="YF313" s="3"/>
      <c r="YG313" s="3"/>
      <c r="YH313" s="3"/>
      <c r="YI313" s="3"/>
      <c r="YJ313" s="3"/>
      <c r="YK313" s="3"/>
      <c r="YL313" s="3"/>
      <c r="YM313" s="3"/>
      <c r="YN313" s="3"/>
      <c r="YO313" s="3"/>
      <c r="YP313" s="3"/>
      <c r="YQ313" s="3"/>
      <c r="YR313" s="3"/>
      <c r="YS313" s="3"/>
      <c r="YT313" s="3"/>
      <c r="YU313" s="3"/>
      <c r="YV313" s="3"/>
      <c r="YW313" s="3"/>
      <c r="YX313" s="3"/>
      <c r="YY313" s="3"/>
      <c r="YZ313" s="3"/>
      <c r="ZA313" s="3"/>
      <c r="ZB313" s="3"/>
      <c r="ZC313" s="3"/>
      <c r="ZD313" s="3"/>
      <c r="ZE313" s="3"/>
      <c r="ZF313" s="3"/>
      <c r="ZG313" s="3"/>
      <c r="ZH313" s="3"/>
      <c r="ZI313" s="3"/>
      <c r="ZJ313" s="3"/>
      <c r="ZK313" s="3"/>
      <c r="ZL313" s="3"/>
      <c r="ZM313" s="3"/>
      <c r="ZN313" s="3"/>
      <c r="ZO313" s="3"/>
      <c r="ZP313" s="3"/>
      <c r="ZQ313" s="3"/>
      <c r="ZR313" s="3"/>
      <c r="ZS313" s="3"/>
      <c r="ZT313" s="3"/>
      <c r="ZU313" s="3"/>
      <c r="ZV313" s="3"/>
      <c r="ZW313" s="3"/>
      <c r="ZX313" s="3"/>
      <c r="ZY313" s="3"/>
      <c r="ZZ313" s="3"/>
      <c r="AAA313" s="3"/>
      <c r="AAB313" s="3"/>
      <c r="AAC313" s="3"/>
      <c r="AAD313" s="3"/>
      <c r="AAE313" s="3"/>
      <c r="AAF313" s="3"/>
      <c r="AAG313" s="3"/>
      <c r="AAH313" s="3"/>
      <c r="AAI313" s="3"/>
      <c r="AAJ313" s="3"/>
      <c r="AAK313" s="3"/>
      <c r="AAL313" s="3"/>
      <c r="AAM313" s="3"/>
      <c r="AAN313" s="3"/>
      <c r="AAO313" s="3"/>
      <c r="AAP313" s="3"/>
      <c r="AAQ313" s="3"/>
      <c r="AAR313" s="3"/>
      <c r="AAS313" s="3"/>
      <c r="AAT313" s="3"/>
      <c r="AAU313" s="3"/>
      <c r="AAV313" s="3"/>
      <c r="AAW313" s="3"/>
      <c r="AAX313" s="3"/>
      <c r="AAY313" s="3"/>
      <c r="AAZ313" s="3"/>
      <c r="ABA313" s="3"/>
      <c r="ABB313" s="3"/>
      <c r="ABC313" s="3"/>
      <c r="ABD313" s="3"/>
      <c r="ABE313" s="3"/>
      <c r="ABF313" s="3"/>
      <c r="ABG313" s="3"/>
      <c r="ABH313" s="3"/>
      <c r="ABI313" s="3"/>
      <c r="ABJ313" s="3"/>
      <c r="ABK313" s="3"/>
      <c r="ABL313" s="3"/>
      <c r="ABM313" s="3"/>
      <c r="ABN313" s="3"/>
      <c r="ABO313" s="3"/>
      <c r="ABP313" s="3"/>
      <c r="ABQ313" s="3"/>
      <c r="ABR313" s="3"/>
      <c r="ABS313" s="3"/>
      <c r="ABT313" s="3"/>
      <c r="ABU313" s="3"/>
      <c r="ABV313" s="3"/>
      <c r="ABW313" s="3"/>
      <c r="ABX313" s="3"/>
      <c r="ABY313" s="3"/>
      <c r="ABZ313" s="3"/>
      <c r="ACA313" s="3"/>
      <c r="ACB313" s="3"/>
      <c r="ACC313" s="3"/>
      <c r="ACD313" s="3"/>
      <c r="ACE313" s="3"/>
      <c r="ACF313" s="3"/>
      <c r="ACG313" s="3"/>
      <c r="ACH313" s="3"/>
      <c r="ACI313" s="3"/>
      <c r="ACJ313" s="3"/>
      <c r="ACK313" s="3"/>
      <c r="ACL313" s="3"/>
      <c r="ACM313" s="3"/>
      <c r="ACN313" s="3"/>
      <c r="ACO313" s="3"/>
      <c r="ACP313" s="3"/>
      <c r="ACQ313" s="3"/>
      <c r="ACR313" s="3"/>
      <c r="ACS313" s="3"/>
      <c r="ACT313" s="3"/>
      <c r="ACU313" s="3"/>
      <c r="ACV313" s="3"/>
      <c r="ACW313" s="3"/>
      <c r="ACX313" s="3"/>
      <c r="ACY313" s="3"/>
      <c r="ACZ313" s="3"/>
      <c r="ADA313" s="3"/>
      <c r="ADB313" s="3"/>
      <c r="ADC313" s="3"/>
      <c r="ADD313" s="3"/>
      <c r="ADE313" s="3"/>
      <c r="ADF313" s="3"/>
      <c r="ADG313" s="3"/>
      <c r="ADH313" s="3"/>
      <c r="ADI313" s="3"/>
      <c r="ADJ313" s="3"/>
      <c r="ADK313" s="3"/>
      <c r="ADL313" s="3"/>
      <c r="ADM313" s="3"/>
      <c r="ADN313" s="3"/>
      <c r="ADO313" s="3"/>
      <c r="ADP313" s="3"/>
      <c r="ADQ313" s="3"/>
      <c r="ADR313" s="3"/>
      <c r="ADS313" s="3"/>
      <c r="ADT313" s="3"/>
      <c r="ADU313" s="3"/>
      <c r="ADV313" s="3"/>
      <c r="ADW313" s="3"/>
      <c r="ADX313" s="3"/>
      <c r="ADY313" s="3"/>
      <c r="ADZ313" s="3"/>
      <c r="AEA313" s="3"/>
      <c r="AEB313" s="3"/>
      <c r="AEC313" s="3"/>
      <c r="AED313" s="3"/>
      <c r="AEE313" s="3"/>
      <c r="AEF313" s="3"/>
      <c r="AEG313" s="3"/>
      <c r="AEH313" s="3"/>
      <c r="AEI313" s="3"/>
      <c r="AEJ313" s="3"/>
      <c r="AEK313" s="3"/>
      <c r="AEL313" s="3"/>
      <c r="AEM313" s="3"/>
      <c r="AEN313" s="3"/>
      <c r="AEO313" s="3"/>
      <c r="AEP313" s="3"/>
      <c r="AEQ313" s="3"/>
      <c r="AER313" s="3"/>
      <c r="AES313" s="3"/>
      <c r="AET313" s="3"/>
      <c r="AEU313" s="3"/>
      <c r="AEV313" s="3"/>
      <c r="AEW313" s="3"/>
      <c r="AEX313" s="3"/>
      <c r="AEY313" s="3"/>
      <c r="AEZ313" s="3"/>
      <c r="AFA313" s="3"/>
      <c r="AFB313" s="3"/>
      <c r="AFC313" s="3"/>
      <c r="AFD313" s="3"/>
      <c r="AFE313" s="3"/>
      <c r="AFF313" s="3"/>
      <c r="AFG313" s="3"/>
      <c r="AFH313" s="3"/>
      <c r="AFI313" s="3"/>
      <c r="AFJ313" s="3"/>
      <c r="AFK313" s="3"/>
      <c r="AFL313" s="3"/>
      <c r="AFM313" s="3"/>
      <c r="AFN313" s="3"/>
      <c r="AFO313" s="3"/>
      <c r="AFP313" s="3"/>
      <c r="AFQ313" s="3"/>
      <c r="AFR313" s="3"/>
      <c r="AFS313" s="3"/>
      <c r="AFT313" s="3"/>
      <c r="AFU313" s="3"/>
      <c r="AFV313" s="3"/>
      <c r="AFW313" s="3"/>
      <c r="AFX313" s="3"/>
      <c r="AFY313" s="3"/>
      <c r="AFZ313" s="3"/>
      <c r="AGA313" s="3"/>
      <c r="AGB313" s="3"/>
      <c r="AGC313" s="3"/>
      <c r="AGD313" s="3"/>
      <c r="AGE313" s="3"/>
      <c r="AGF313" s="3"/>
      <c r="AGG313" s="3"/>
      <c r="AGH313" s="3"/>
      <c r="AGI313" s="3"/>
      <c r="AGJ313" s="3"/>
      <c r="AGK313" s="3"/>
      <c r="AGL313" s="3"/>
      <c r="AGM313" s="3"/>
      <c r="AGN313" s="3"/>
      <c r="AGO313" s="3"/>
      <c r="AGP313" s="3"/>
      <c r="AGQ313" s="3"/>
      <c r="AGR313" s="3"/>
      <c r="AGS313" s="3"/>
      <c r="AGT313" s="3"/>
      <c r="AGU313" s="3"/>
      <c r="AGV313" s="3"/>
      <c r="AGW313" s="3"/>
      <c r="AGX313" s="3"/>
      <c r="AGY313" s="3"/>
      <c r="AGZ313" s="3"/>
      <c r="AHA313" s="3"/>
      <c r="AHB313" s="3"/>
      <c r="AHC313" s="3"/>
      <c r="AHD313" s="3"/>
      <c r="AHE313" s="3"/>
      <c r="AHF313" s="3"/>
      <c r="AHG313" s="3"/>
      <c r="AHH313" s="3"/>
      <c r="AHI313" s="3"/>
      <c r="AHJ313" s="3"/>
      <c r="AHK313" s="3"/>
      <c r="AHL313" s="3"/>
      <c r="AHM313" s="3"/>
      <c r="AHN313" s="3"/>
      <c r="AHO313" s="3"/>
      <c r="AHP313" s="3"/>
      <c r="AHQ313" s="3"/>
      <c r="AHR313" s="3"/>
      <c r="AHS313" s="3"/>
      <c r="AHT313" s="3"/>
      <c r="AHU313" s="3"/>
      <c r="AHV313" s="3"/>
      <c r="AHW313" s="3"/>
      <c r="AHX313" s="3"/>
      <c r="AHY313" s="3"/>
      <c r="AHZ313" s="3"/>
      <c r="AIA313" s="3"/>
      <c r="AIB313" s="3"/>
      <c r="AIC313" s="3"/>
      <c r="AID313" s="3"/>
      <c r="AIE313" s="3"/>
      <c r="AIF313" s="3"/>
      <c r="AIG313" s="3"/>
      <c r="AIH313" s="3"/>
      <c r="AII313" s="3"/>
      <c r="AIJ313" s="3"/>
      <c r="AIK313" s="3"/>
      <c r="AIL313" s="3"/>
      <c r="AIM313" s="3"/>
      <c r="AIN313" s="3"/>
      <c r="AIO313" s="3"/>
      <c r="AIP313" s="3"/>
      <c r="AIQ313" s="3"/>
      <c r="AIR313" s="3"/>
      <c r="AIS313" s="3"/>
      <c r="AIT313" s="3"/>
      <c r="AIU313" s="3"/>
      <c r="AIV313" s="3"/>
      <c r="AIW313" s="3"/>
      <c r="AIX313" s="3"/>
      <c r="AIY313" s="3"/>
      <c r="AIZ313" s="3"/>
      <c r="AJA313" s="3"/>
      <c r="AJB313" s="3"/>
      <c r="AJC313" s="3"/>
      <c r="AJD313" s="3"/>
      <c r="AJE313" s="3"/>
      <c r="AJF313" s="3"/>
      <c r="AJG313" s="3"/>
      <c r="AJH313" s="3"/>
      <c r="AJI313" s="3"/>
      <c r="AJJ313" s="3"/>
      <c r="AJK313" s="3"/>
      <c r="AJL313" s="3"/>
      <c r="AJM313" s="3"/>
      <c r="AJN313" s="3"/>
      <c r="AJO313" s="3"/>
      <c r="AJP313" s="3"/>
      <c r="AJQ313" s="3"/>
      <c r="AJR313" s="3"/>
      <c r="AJS313" s="3"/>
      <c r="AJT313" s="3"/>
      <c r="AJU313" s="3"/>
      <c r="AJV313" s="3"/>
      <c r="AJW313" s="3"/>
      <c r="AJX313" s="3"/>
      <c r="AJY313" s="3"/>
      <c r="AJZ313" s="3"/>
      <c r="AKA313" s="3"/>
      <c r="AKB313" s="3"/>
      <c r="AKC313" s="3"/>
      <c r="AKD313" s="3"/>
      <c r="AKE313" s="3"/>
      <c r="AKF313" s="3"/>
      <c r="AKG313" s="3"/>
      <c r="AKH313" s="3"/>
      <c r="AKI313" s="3"/>
      <c r="AKJ313" s="3"/>
      <c r="AKK313" s="3"/>
      <c r="AKL313" s="3"/>
      <c r="AKM313" s="3"/>
      <c r="AKN313" s="3"/>
      <c r="AKO313" s="3"/>
      <c r="AKP313" s="3"/>
      <c r="AKQ313" s="3"/>
      <c r="AKR313" s="3"/>
      <c r="AKS313" s="3"/>
      <c r="AKT313" s="3"/>
      <c r="AKU313" s="3"/>
      <c r="AKV313" s="3"/>
      <c r="AKW313" s="3"/>
      <c r="AKX313" s="3"/>
      <c r="AKY313" s="3"/>
      <c r="AKZ313" s="3"/>
      <c r="ALA313" s="3"/>
      <c r="ALB313" s="3"/>
      <c r="ALC313" s="3"/>
      <c r="ALD313" s="3"/>
      <c r="ALE313" s="3"/>
      <c r="ALF313" s="3"/>
      <c r="ALG313" s="3"/>
      <c r="ALH313" s="3"/>
      <c r="ALI313" s="3"/>
      <c r="ALJ313" s="3"/>
      <c r="ALK313" s="3"/>
      <c r="ALL313" s="3"/>
      <c r="ALM313" s="3"/>
      <c r="ALN313" s="3"/>
      <c r="ALO313" s="3"/>
      <c r="ALP313" s="3"/>
      <c r="ALQ313" s="3"/>
      <c r="ALR313" s="3"/>
      <c r="ALS313" s="3"/>
      <c r="ALT313" s="3"/>
      <c r="ALU313" s="3"/>
      <c r="ALV313" s="3"/>
      <c r="ALW313" s="3"/>
      <c r="ALX313" s="3"/>
      <c r="ALY313" s="3"/>
      <c r="ALZ313" s="3"/>
      <c r="AMA313" s="3"/>
      <c r="AMB313" s="3"/>
      <c r="AMC313" s="3"/>
      <c r="AMD313" s="3"/>
      <c r="AME313" s="3"/>
      <c r="AMF313" s="3"/>
      <c r="AMG313" s="3"/>
      <c r="AMH313" s="3"/>
      <c r="AMI313" s="3"/>
      <c r="AMJ313" s="3"/>
      <c r="AMK313" s="3"/>
      <c r="AML313" s="3"/>
      <c r="AMM313" s="3"/>
    </row>
    <row r="314" spans="1:1027" ht="15" customHeight="1">
      <c r="A314" s="12">
        <v>916</v>
      </c>
      <c r="B314" s="13" t="s">
        <v>547</v>
      </c>
      <c r="C314" s="14"/>
      <c r="D314" s="14" t="s">
        <v>546</v>
      </c>
      <c r="E314" s="14" t="s">
        <v>92</v>
      </c>
      <c r="F314" s="15" t="s">
        <v>22</v>
      </c>
      <c r="G314" s="21"/>
      <c r="H314" s="58">
        <v>1</v>
      </c>
      <c r="I314" s="14"/>
      <c r="J314" s="14" t="s">
        <v>23</v>
      </c>
      <c r="K314" s="14"/>
      <c r="L314" s="14"/>
      <c r="M314" s="14" t="s">
        <v>29</v>
      </c>
      <c r="N314" s="25" t="s">
        <v>289</v>
      </c>
      <c r="O314" s="14" t="s">
        <v>548</v>
      </c>
      <c r="P314" s="14"/>
      <c r="Q314" s="14"/>
      <c r="R314" s="14" t="s">
        <v>158</v>
      </c>
    </row>
    <row r="315" spans="1:1027" ht="15" customHeight="1">
      <c r="A315" s="12">
        <v>1705</v>
      </c>
      <c r="B315" s="13" t="s">
        <v>549</v>
      </c>
      <c r="C315" s="14"/>
      <c r="D315" s="14" t="s">
        <v>546</v>
      </c>
      <c r="E315" s="14" t="s">
        <v>92</v>
      </c>
      <c r="F315" s="15" t="s">
        <v>22</v>
      </c>
      <c r="G315" s="14"/>
      <c r="H315" s="58">
        <v>2</v>
      </c>
      <c r="I315" s="14"/>
      <c r="J315" s="14" t="s">
        <v>23</v>
      </c>
      <c r="K315" s="14"/>
      <c r="L315" s="14"/>
      <c r="M315" s="14" t="s">
        <v>32</v>
      </c>
      <c r="N315" s="14" t="s">
        <v>25</v>
      </c>
      <c r="O315" s="14"/>
      <c r="P315" s="14"/>
      <c r="Q315" s="14"/>
      <c r="R315" s="14" t="s">
        <v>308</v>
      </c>
    </row>
    <row r="316" spans="1:1027" ht="15" customHeight="1">
      <c r="A316" s="12">
        <v>140</v>
      </c>
      <c r="B316" s="13" t="s">
        <v>550</v>
      </c>
      <c r="C316" s="14"/>
      <c r="D316" s="14" t="s">
        <v>551</v>
      </c>
      <c r="E316" s="14" t="s">
        <v>36</v>
      </c>
      <c r="F316" s="15" t="s">
        <v>22</v>
      </c>
      <c r="G316" s="14"/>
      <c r="H316" s="58"/>
      <c r="I316" s="14"/>
      <c r="J316" s="14" t="s">
        <v>23</v>
      </c>
      <c r="K316" s="15"/>
      <c r="L316" s="15"/>
      <c r="M316" s="14" t="s">
        <v>27</v>
      </c>
      <c r="N316" s="22" t="s">
        <v>25</v>
      </c>
      <c r="O316" s="14"/>
      <c r="P316" s="14"/>
      <c r="Q316" s="14"/>
      <c r="R316" s="17">
        <v>43633</v>
      </c>
      <c r="S316" s="1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WZ316" s="3"/>
      <c r="XA316" s="3"/>
      <c r="XB316" s="3"/>
      <c r="XC316" s="3"/>
      <c r="XD316" s="3"/>
      <c r="XE316" s="3"/>
      <c r="XF316" s="3"/>
      <c r="XG316" s="3"/>
      <c r="XH316" s="3"/>
      <c r="XI316" s="3"/>
      <c r="XJ316" s="3"/>
      <c r="XK316" s="3"/>
      <c r="XL316" s="3"/>
      <c r="XM316" s="3"/>
      <c r="XN316" s="3"/>
      <c r="XO316" s="3"/>
      <c r="XP316" s="3"/>
      <c r="XQ316" s="3"/>
      <c r="XR316" s="3"/>
      <c r="XS316" s="3"/>
      <c r="XT316" s="3"/>
      <c r="XU316" s="3"/>
      <c r="XV316" s="3"/>
      <c r="XW316" s="3"/>
      <c r="XX316" s="3"/>
      <c r="XY316" s="3"/>
      <c r="XZ316" s="3"/>
      <c r="YA316" s="3"/>
      <c r="YB316" s="3"/>
      <c r="YC316" s="3"/>
      <c r="YD316" s="3"/>
      <c r="YE316" s="3"/>
      <c r="YF316" s="3"/>
      <c r="YG316" s="3"/>
      <c r="YH316" s="3"/>
      <c r="YI316" s="3"/>
      <c r="YJ316" s="3"/>
      <c r="YK316" s="3"/>
      <c r="YL316" s="3"/>
      <c r="YM316" s="3"/>
      <c r="YN316" s="3"/>
      <c r="YO316" s="3"/>
      <c r="YP316" s="3"/>
      <c r="YQ316" s="3"/>
      <c r="YR316" s="3"/>
      <c r="YS316" s="3"/>
      <c r="YT316" s="3"/>
      <c r="YU316" s="3"/>
      <c r="YV316" s="3"/>
      <c r="YW316" s="3"/>
      <c r="YX316" s="3"/>
      <c r="YY316" s="3"/>
      <c r="YZ316" s="3"/>
      <c r="ZA316" s="3"/>
      <c r="ZB316" s="3"/>
      <c r="ZC316" s="3"/>
      <c r="ZD316" s="3"/>
      <c r="ZE316" s="3"/>
      <c r="ZF316" s="3"/>
      <c r="ZG316" s="3"/>
      <c r="ZH316" s="3"/>
      <c r="ZI316" s="3"/>
      <c r="ZJ316" s="3"/>
      <c r="ZK316" s="3"/>
      <c r="ZL316" s="3"/>
      <c r="ZM316" s="3"/>
      <c r="ZN316" s="3"/>
      <c r="ZO316" s="3"/>
      <c r="ZP316" s="3"/>
      <c r="ZQ316" s="3"/>
      <c r="ZR316" s="3"/>
      <c r="ZS316" s="3"/>
      <c r="ZT316" s="3"/>
      <c r="ZU316" s="3"/>
      <c r="ZV316" s="3"/>
      <c r="ZW316" s="3"/>
      <c r="ZX316" s="3"/>
      <c r="ZY316" s="3"/>
      <c r="ZZ316" s="3"/>
      <c r="AAA316" s="3"/>
      <c r="AAB316" s="3"/>
      <c r="AAC316" s="3"/>
      <c r="AAD316" s="3"/>
      <c r="AAE316" s="3"/>
      <c r="AAF316" s="3"/>
      <c r="AAG316" s="3"/>
      <c r="AAH316" s="3"/>
      <c r="AAI316" s="3"/>
      <c r="AAJ316" s="3"/>
      <c r="AAK316" s="3"/>
      <c r="AAL316" s="3"/>
      <c r="AAM316" s="3"/>
      <c r="AAN316" s="3"/>
      <c r="AAO316" s="3"/>
      <c r="AAP316" s="3"/>
      <c r="AAQ316" s="3"/>
      <c r="AAR316" s="3"/>
      <c r="AAS316" s="3"/>
      <c r="AAT316" s="3"/>
      <c r="AAU316" s="3"/>
      <c r="AAV316" s="3"/>
      <c r="AAW316" s="3"/>
      <c r="AAX316" s="3"/>
      <c r="AAY316" s="3"/>
      <c r="AAZ316" s="3"/>
      <c r="ABA316" s="3"/>
      <c r="ABB316" s="3"/>
      <c r="ABC316" s="3"/>
      <c r="ABD316" s="3"/>
      <c r="ABE316" s="3"/>
      <c r="ABF316" s="3"/>
      <c r="ABG316" s="3"/>
      <c r="ABH316" s="3"/>
      <c r="ABI316" s="3"/>
      <c r="ABJ316" s="3"/>
      <c r="ABK316" s="3"/>
      <c r="ABL316" s="3"/>
      <c r="ABM316" s="3"/>
      <c r="ABN316" s="3"/>
      <c r="ABO316" s="3"/>
      <c r="ABP316" s="3"/>
      <c r="ABQ316" s="3"/>
      <c r="ABR316" s="3"/>
      <c r="ABS316" s="3"/>
      <c r="ABT316" s="3"/>
      <c r="ABU316" s="3"/>
      <c r="ABV316" s="3"/>
      <c r="ABW316" s="3"/>
      <c r="ABX316" s="3"/>
      <c r="ABY316" s="3"/>
      <c r="ABZ316" s="3"/>
      <c r="ACA316" s="3"/>
      <c r="ACB316" s="3"/>
      <c r="ACC316" s="3"/>
      <c r="ACD316" s="3"/>
      <c r="ACE316" s="3"/>
      <c r="ACF316" s="3"/>
      <c r="ACG316" s="3"/>
      <c r="ACH316" s="3"/>
      <c r="ACI316" s="3"/>
      <c r="ACJ316" s="3"/>
      <c r="ACK316" s="3"/>
      <c r="ACL316" s="3"/>
      <c r="ACM316" s="3"/>
      <c r="ACN316" s="3"/>
      <c r="ACO316" s="3"/>
      <c r="ACP316" s="3"/>
      <c r="ACQ316" s="3"/>
      <c r="ACR316" s="3"/>
      <c r="ACS316" s="3"/>
      <c r="ACT316" s="3"/>
      <c r="ACU316" s="3"/>
      <c r="ACV316" s="3"/>
      <c r="ACW316" s="3"/>
      <c r="ACX316" s="3"/>
      <c r="ACY316" s="3"/>
      <c r="ACZ316" s="3"/>
      <c r="ADA316" s="3"/>
      <c r="ADB316" s="3"/>
      <c r="ADC316" s="3"/>
      <c r="ADD316" s="3"/>
      <c r="ADE316" s="3"/>
      <c r="ADF316" s="3"/>
      <c r="ADG316" s="3"/>
      <c r="ADH316" s="3"/>
      <c r="ADI316" s="3"/>
      <c r="ADJ316" s="3"/>
      <c r="ADK316" s="3"/>
      <c r="ADL316" s="3"/>
      <c r="ADM316" s="3"/>
      <c r="ADN316" s="3"/>
      <c r="ADO316" s="3"/>
      <c r="ADP316" s="3"/>
      <c r="ADQ316" s="3"/>
      <c r="ADR316" s="3"/>
      <c r="ADS316" s="3"/>
      <c r="ADT316" s="3"/>
      <c r="ADU316" s="3"/>
      <c r="ADV316" s="3"/>
      <c r="ADW316" s="3"/>
      <c r="ADX316" s="3"/>
      <c r="ADY316" s="3"/>
      <c r="ADZ316" s="3"/>
      <c r="AEA316" s="3"/>
      <c r="AEB316" s="3"/>
      <c r="AEC316" s="3"/>
      <c r="AED316" s="3"/>
      <c r="AEE316" s="3"/>
      <c r="AEF316" s="3"/>
      <c r="AEG316" s="3"/>
      <c r="AEH316" s="3"/>
      <c r="AEI316" s="3"/>
      <c r="AEJ316" s="3"/>
      <c r="AEK316" s="3"/>
      <c r="AEL316" s="3"/>
      <c r="AEM316" s="3"/>
      <c r="AEN316" s="3"/>
      <c r="AEO316" s="3"/>
      <c r="AEP316" s="3"/>
      <c r="AEQ316" s="3"/>
      <c r="AER316" s="3"/>
      <c r="AES316" s="3"/>
      <c r="AET316" s="3"/>
      <c r="AEU316" s="3"/>
      <c r="AEV316" s="3"/>
      <c r="AEW316" s="3"/>
      <c r="AEX316" s="3"/>
      <c r="AEY316" s="3"/>
      <c r="AEZ316" s="3"/>
      <c r="AFA316" s="3"/>
      <c r="AFB316" s="3"/>
      <c r="AFC316" s="3"/>
      <c r="AFD316" s="3"/>
      <c r="AFE316" s="3"/>
      <c r="AFF316" s="3"/>
      <c r="AFG316" s="3"/>
      <c r="AFH316" s="3"/>
      <c r="AFI316" s="3"/>
      <c r="AFJ316" s="3"/>
      <c r="AFK316" s="3"/>
      <c r="AFL316" s="3"/>
      <c r="AFM316" s="3"/>
      <c r="AFN316" s="3"/>
      <c r="AFO316" s="3"/>
      <c r="AFP316" s="3"/>
      <c r="AFQ316" s="3"/>
      <c r="AFR316" s="3"/>
      <c r="AFS316" s="3"/>
      <c r="AFT316" s="3"/>
      <c r="AFU316" s="3"/>
      <c r="AFV316" s="3"/>
      <c r="AFW316" s="3"/>
      <c r="AFX316" s="3"/>
      <c r="AFY316" s="3"/>
      <c r="AFZ316" s="3"/>
      <c r="AGA316" s="3"/>
      <c r="AGB316" s="3"/>
      <c r="AGC316" s="3"/>
      <c r="AGD316" s="3"/>
      <c r="AGE316" s="3"/>
      <c r="AGF316" s="3"/>
      <c r="AGG316" s="3"/>
      <c r="AGH316" s="3"/>
      <c r="AGI316" s="3"/>
      <c r="AGJ316" s="3"/>
      <c r="AGK316" s="3"/>
      <c r="AGL316" s="3"/>
      <c r="AGM316" s="3"/>
      <c r="AGN316" s="3"/>
      <c r="AGO316" s="3"/>
      <c r="AGP316" s="3"/>
      <c r="AGQ316" s="3"/>
      <c r="AGR316" s="3"/>
      <c r="AGS316" s="3"/>
      <c r="AGT316" s="3"/>
      <c r="AGU316" s="3"/>
      <c r="AGV316" s="3"/>
      <c r="AGW316" s="3"/>
      <c r="AGX316" s="3"/>
      <c r="AGY316" s="3"/>
      <c r="AGZ316" s="3"/>
      <c r="AHA316" s="3"/>
      <c r="AHB316" s="3"/>
      <c r="AHC316" s="3"/>
      <c r="AHD316" s="3"/>
      <c r="AHE316" s="3"/>
      <c r="AHF316" s="3"/>
      <c r="AHG316" s="3"/>
      <c r="AHH316" s="3"/>
      <c r="AHI316" s="3"/>
      <c r="AHJ316" s="3"/>
      <c r="AHK316" s="3"/>
      <c r="AHL316" s="3"/>
      <c r="AHM316" s="3"/>
      <c r="AHN316" s="3"/>
      <c r="AHO316" s="3"/>
      <c r="AHP316" s="3"/>
      <c r="AHQ316" s="3"/>
      <c r="AHR316" s="3"/>
      <c r="AHS316" s="3"/>
      <c r="AHT316" s="3"/>
      <c r="AHU316" s="3"/>
      <c r="AHV316" s="3"/>
      <c r="AHW316" s="3"/>
      <c r="AHX316" s="3"/>
      <c r="AHY316" s="3"/>
      <c r="AHZ316" s="3"/>
      <c r="AIA316" s="3"/>
      <c r="AIB316" s="3"/>
      <c r="AIC316" s="3"/>
      <c r="AID316" s="3"/>
      <c r="AIE316" s="3"/>
      <c r="AIF316" s="3"/>
      <c r="AIG316" s="3"/>
      <c r="AIH316" s="3"/>
      <c r="AII316" s="3"/>
      <c r="AIJ316" s="3"/>
      <c r="AIK316" s="3"/>
      <c r="AIL316" s="3"/>
      <c r="AIM316" s="3"/>
      <c r="AIN316" s="3"/>
      <c r="AIO316" s="3"/>
      <c r="AIP316" s="3"/>
      <c r="AIQ316" s="3"/>
      <c r="AIR316" s="3"/>
      <c r="AIS316" s="3"/>
      <c r="AIT316" s="3"/>
      <c r="AIU316" s="3"/>
      <c r="AIV316" s="3"/>
      <c r="AIW316" s="3"/>
      <c r="AIX316" s="3"/>
      <c r="AIY316" s="3"/>
      <c r="AIZ316" s="3"/>
      <c r="AJA316" s="3"/>
      <c r="AJB316" s="3"/>
      <c r="AJC316" s="3"/>
      <c r="AJD316" s="3"/>
      <c r="AJE316" s="3"/>
      <c r="AJF316" s="3"/>
      <c r="AJG316" s="3"/>
      <c r="AJH316" s="3"/>
      <c r="AJI316" s="3"/>
      <c r="AJJ316" s="3"/>
      <c r="AJK316" s="3"/>
      <c r="AJL316" s="3"/>
      <c r="AJM316" s="3"/>
      <c r="AJN316" s="3"/>
      <c r="AJO316" s="3"/>
      <c r="AJP316" s="3"/>
      <c r="AJQ316" s="3"/>
      <c r="AJR316" s="3"/>
      <c r="AJS316" s="3"/>
      <c r="AJT316" s="3"/>
      <c r="AJU316" s="3"/>
      <c r="AJV316" s="3"/>
      <c r="AJW316" s="3"/>
      <c r="AJX316" s="3"/>
      <c r="AJY316" s="3"/>
      <c r="AJZ316" s="3"/>
      <c r="AKA316" s="3"/>
      <c r="AKB316" s="3"/>
      <c r="AKC316" s="3"/>
      <c r="AKD316" s="3"/>
      <c r="AKE316" s="3"/>
      <c r="AKF316" s="3"/>
      <c r="AKG316" s="3"/>
      <c r="AKH316" s="3"/>
      <c r="AKI316" s="3"/>
      <c r="AKJ316" s="3"/>
      <c r="AKK316" s="3"/>
      <c r="AKL316" s="3"/>
      <c r="AKM316" s="3"/>
      <c r="AKN316" s="3"/>
      <c r="AKO316" s="3"/>
      <c r="AKP316" s="3"/>
      <c r="AKQ316" s="3"/>
      <c r="AKR316" s="3"/>
      <c r="AKS316" s="3"/>
      <c r="AKT316" s="3"/>
      <c r="AKU316" s="3"/>
      <c r="AKV316" s="3"/>
      <c r="AKW316" s="3"/>
      <c r="AKX316" s="3"/>
      <c r="AKY316" s="3"/>
      <c r="AKZ316" s="3"/>
      <c r="ALA316" s="3"/>
      <c r="ALB316" s="3"/>
      <c r="ALC316" s="3"/>
      <c r="ALD316" s="3"/>
      <c r="ALE316" s="3"/>
      <c r="ALF316" s="3"/>
      <c r="ALG316" s="3"/>
      <c r="ALH316" s="3"/>
      <c r="ALI316" s="3"/>
      <c r="ALJ316" s="3"/>
      <c r="ALK316" s="3"/>
      <c r="ALL316" s="3"/>
      <c r="ALM316" s="3"/>
      <c r="ALN316" s="3"/>
      <c r="ALO316" s="3"/>
      <c r="ALP316" s="3"/>
      <c r="ALQ316" s="3"/>
      <c r="ALR316" s="3"/>
      <c r="ALS316" s="3"/>
      <c r="ALT316" s="3"/>
      <c r="ALU316" s="3"/>
      <c r="ALV316" s="3"/>
      <c r="ALW316" s="3"/>
      <c r="ALX316" s="3"/>
      <c r="ALY316" s="3"/>
      <c r="ALZ316" s="3"/>
      <c r="AMA316" s="3"/>
      <c r="AMB316" s="3"/>
      <c r="AMC316" s="3"/>
      <c r="AMD316" s="3"/>
      <c r="AME316" s="3"/>
      <c r="AMF316" s="3"/>
      <c r="AMG316" s="3"/>
      <c r="AMH316" s="3"/>
      <c r="AMI316" s="3"/>
      <c r="AMJ316" s="3"/>
      <c r="AMK316" s="3"/>
      <c r="AML316" s="3"/>
      <c r="AMM316" s="3"/>
    </row>
    <row r="317" spans="1:1027" ht="15" customHeight="1">
      <c r="A317" s="12">
        <v>917</v>
      </c>
      <c r="B317" s="13" t="s">
        <v>552</v>
      </c>
      <c r="C317" s="14"/>
      <c r="D317" s="14" t="s">
        <v>551</v>
      </c>
      <c r="E317" s="14" t="s">
        <v>36</v>
      </c>
      <c r="F317" s="15" t="s">
        <v>22</v>
      </c>
      <c r="G317" s="21"/>
      <c r="H317" s="58"/>
      <c r="I317" s="14"/>
      <c r="J317" s="14" t="s">
        <v>23</v>
      </c>
      <c r="K317" s="14"/>
      <c r="L317" s="14"/>
      <c r="M317" s="14" t="s">
        <v>29</v>
      </c>
      <c r="N317" s="14" t="s">
        <v>25</v>
      </c>
      <c r="O317" s="14"/>
      <c r="P317" s="14"/>
      <c r="Q317" s="14"/>
      <c r="R317" s="14" t="s">
        <v>158</v>
      </c>
    </row>
    <row r="318" spans="1:1027" ht="15" customHeight="1">
      <c r="A318" s="12">
        <v>1706</v>
      </c>
      <c r="B318" s="13" t="s">
        <v>553</v>
      </c>
      <c r="C318" s="14"/>
      <c r="D318" s="14" t="s">
        <v>551</v>
      </c>
      <c r="E318" s="14" t="s">
        <v>36</v>
      </c>
      <c r="F318" s="15" t="s">
        <v>22</v>
      </c>
      <c r="G318" s="14"/>
      <c r="H318" s="58">
        <v>0</v>
      </c>
      <c r="I318" s="14"/>
      <c r="J318" s="14" t="s">
        <v>23</v>
      </c>
      <c r="K318" s="14"/>
      <c r="L318" s="14"/>
      <c r="M318" s="14" t="s">
        <v>32</v>
      </c>
      <c r="N318" s="14" t="s">
        <v>25</v>
      </c>
      <c r="O318" s="14"/>
      <c r="P318" s="14"/>
      <c r="Q318" s="14"/>
      <c r="R318" s="14" t="s">
        <v>308</v>
      </c>
    </row>
    <row r="319" spans="1:1027" ht="15" customHeight="1">
      <c r="A319" s="12">
        <v>141</v>
      </c>
      <c r="B319" s="13" t="s">
        <v>554</v>
      </c>
      <c r="C319" s="14"/>
      <c r="D319" s="14" t="s">
        <v>555</v>
      </c>
      <c r="E319" s="14" t="s">
        <v>44</v>
      </c>
      <c r="F319" s="15" t="s">
        <v>22</v>
      </c>
      <c r="G319" s="14"/>
      <c r="H319" s="58"/>
      <c r="I319" s="14"/>
      <c r="J319" s="14" t="s">
        <v>23</v>
      </c>
      <c r="K319" s="15"/>
      <c r="L319" s="15"/>
      <c r="M319" s="14" t="s">
        <v>27</v>
      </c>
      <c r="N319" s="22" t="s">
        <v>25</v>
      </c>
      <c r="O319" s="14"/>
      <c r="P319" s="14"/>
      <c r="Q319" s="14"/>
      <c r="R319" s="17">
        <v>43633</v>
      </c>
      <c r="S319" s="12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WR319" s="3"/>
      <c r="WS319" s="3"/>
      <c r="WT319" s="3"/>
      <c r="WU319" s="3"/>
      <c r="WV319" s="3"/>
      <c r="WW319" s="3"/>
      <c r="WX319" s="3"/>
      <c r="WY319" s="3"/>
      <c r="WZ319" s="3"/>
      <c r="XA319" s="3"/>
      <c r="XB319" s="3"/>
      <c r="XC319" s="3"/>
      <c r="XD319" s="3"/>
      <c r="XE319" s="3"/>
      <c r="XF319" s="3"/>
      <c r="XG319" s="3"/>
      <c r="XH319" s="3"/>
      <c r="XI319" s="3"/>
      <c r="XJ319" s="3"/>
      <c r="XK319" s="3"/>
      <c r="XL319" s="3"/>
      <c r="XM319" s="3"/>
      <c r="XN319" s="3"/>
      <c r="XO319" s="3"/>
      <c r="XP319" s="3"/>
      <c r="XQ319" s="3"/>
      <c r="XR319" s="3"/>
      <c r="XS319" s="3"/>
      <c r="XT319" s="3"/>
      <c r="XU319" s="3"/>
      <c r="XV319" s="3"/>
      <c r="XW319" s="3"/>
      <c r="XX319" s="3"/>
      <c r="XY319" s="3"/>
      <c r="XZ319" s="3"/>
      <c r="YA319" s="3"/>
      <c r="YB319" s="3"/>
      <c r="YC319" s="3"/>
      <c r="YD319" s="3"/>
      <c r="YE319" s="3"/>
      <c r="YF319" s="3"/>
      <c r="YG319" s="3"/>
      <c r="YH319" s="3"/>
      <c r="YI319" s="3"/>
      <c r="YJ319" s="3"/>
      <c r="YK319" s="3"/>
      <c r="YL319" s="3"/>
      <c r="YM319" s="3"/>
      <c r="YN319" s="3"/>
      <c r="YO319" s="3"/>
      <c r="YP319" s="3"/>
      <c r="YQ319" s="3"/>
      <c r="YR319" s="3"/>
      <c r="YS319" s="3"/>
      <c r="YT319" s="3"/>
      <c r="YU319" s="3"/>
      <c r="YV319" s="3"/>
      <c r="YW319" s="3"/>
      <c r="YX319" s="3"/>
      <c r="YY319" s="3"/>
      <c r="YZ319" s="3"/>
      <c r="ZA319" s="3"/>
      <c r="ZB319" s="3"/>
      <c r="ZC319" s="3"/>
      <c r="ZD319" s="3"/>
      <c r="ZE319" s="3"/>
      <c r="ZF319" s="3"/>
      <c r="ZG319" s="3"/>
      <c r="ZH319" s="3"/>
      <c r="ZI319" s="3"/>
      <c r="ZJ319" s="3"/>
      <c r="ZK319" s="3"/>
      <c r="ZL319" s="3"/>
      <c r="ZM319" s="3"/>
      <c r="ZN319" s="3"/>
      <c r="ZO319" s="3"/>
      <c r="ZP319" s="3"/>
      <c r="ZQ319" s="3"/>
      <c r="ZR319" s="3"/>
      <c r="ZS319" s="3"/>
      <c r="ZT319" s="3"/>
      <c r="ZU319" s="3"/>
      <c r="ZV319" s="3"/>
      <c r="ZW319" s="3"/>
      <c r="ZX319" s="3"/>
      <c r="ZY319" s="3"/>
      <c r="ZZ319" s="3"/>
      <c r="AAA319" s="3"/>
      <c r="AAB319" s="3"/>
      <c r="AAC319" s="3"/>
      <c r="AAD319" s="3"/>
      <c r="AAE319" s="3"/>
      <c r="AAF319" s="3"/>
      <c r="AAG319" s="3"/>
      <c r="AAH319" s="3"/>
      <c r="AAI319" s="3"/>
      <c r="AAJ319" s="3"/>
      <c r="AAK319" s="3"/>
      <c r="AAL319" s="3"/>
      <c r="AAM319" s="3"/>
      <c r="AAN319" s="3"/>
      <c r="AAO319" s="3"/>
      <c r="AAP319" s="3"/>
      <c r="AAQ319" s="3"/>
      <c r="AAR319" s="3"/>
      <c r="AAS319" s="3"/>
      <c r="AAT319" s="3"/>
      <c r="AAU319" s="3"/>
      <c r="AAV319" s="3"/>
      <c r="AAW319" s="3"/>
      <c r="AAX319" s="3"/>
      <c r="AAY319" s="3"/>
      <c r="AAZ319" s="3"/>
      <c r="ABA319" s="3"/>
      <c r="ABB319" s="3"/>
      <c r="ABC319" s="3"/>
      <c r="ABD319" s="3"/>
      <c r="ABE319" s="3"/>
      <c r="ABF319" s="3"/>
      <c r="ABG319" s="3"/>
      <c r="ABH319" s="3"/>
      <c r="ABI319" s="3"/>
      <c r="ABJ319" s="3"/>
      <c r="ABK319" s="3"/>
      <c r="ABL319" s="3"/>
      <c r="ABM319" s="3"/>
      <c r="ABN319" s="3"/>
      <c r="ABO319" s="3"/>
      <c r="ABP319" s="3"/>
      <c r="ABQ319" s="3"/>
      <c r="ABR319" s="3"/>
      <c r="ABS319" s="3"/>
      <c r="ABT319" s="3"/>
      <c r="ABU319" s="3"/>
      <c r="ABV319" s="3"/>
      <c r="ABW319" s="3"/>
      <c r="ABX319" s="3"/>
      <c r="ABY319" s="3"/>
      <c r="ABZ319" s="3"/>
      <c r="ACA319" s="3"/>
      <c r="ACB319" s="3"/>
      <c r="ACC319" s="3"/>
      <c r="ACD319" s="3"/>
      <c r="ACE319" s="3"/>
      <c r="ACF319" s="3"/>
      <c r="ACG319" s="3"/>
      <c r="ACH319" s="3"/>
      <c r="ACI319" s="3"/>
      <c r="ACJ319" s="3"/>
      <c r="ACK319" s="3"/>
      <c r="ACL319" s="3"/>
      <c r="ACM319" s="3"/>
      <c r="ACN319" s="3"/>
      <c r="ACO319" s="3"/>
      <c r="ACP319" s="3"/>
      <c r="ACQ319" s="3"/>
      <c r="ACR319" s="3"/>
      <c r="ACS319" s="3"/>
      <c r="ACT319" s="3"/>
      <c r="ACU319" s="3"/>
      <c r="ACV319" s="3"/>
      <c r="ACW319" s="3"/>
      <c r="ACX319" s="3"/>
      <c r="ACY319" s="3"/>
      <c r="ACZ319" s="3"/>
      <c r="ADA319" s="3"/>
      <c r="ADB319" s="3"/>
      <c r="ADC319" s="3"/>
      <c r="ADD319" s="3"/>
      <c r="ADE319" s="3"/>
      <c r="ADF319" s="3"/>
      <c r="ADG319" s="3"/>
      <c r="ADH319" s="3"/>
      <c r="ADI319" s="3"/>
      <c r="ADJ319" s="3"/>
      <c r="ADK319" s="3"/>
      <c r="ADL319" s="3"/>
      <c r="ADM319" s="3"/>
      <c r="ADN319" s="3"/>
      <c r="ADO319" s="3"/>
      <c r="ADP319" s="3"/>
      <c r="ADQ319" s="3"/>
      <c r="ADR319" s="3"/>
      <c r="ADS319" s="3"/>
      <c r="ADT319" s="3"/>
      <c r="ADU319" s="3"/>
      <c r="ADV319" s="3"/>
      <c r="ADW319" s="3"/>
      <c r="ADX319" s="3"/>
      <c r="ADY319" s="3"/>
      <c r="ADZ319" s="3"/>
      <c r="AEA319" s="3"/>
      <c r="AEB319" s="3"/>
      <c r="AEC319" s="3"/>
      <c r="AED319" s="3"/>
      <c r="AEE319" s="3"/>
      <c r="AEF319" s="3"/>
      <c r="AEG319" s="3"/>
      <c r="AEH319" s="3"/>
      <c r="AEI319" s="3"/>
      <c r="AEJ319" s="3"/>
      <c r="AEK319" s="3"/>
      <c r="AEL319" s="3"/>
      <c r="AEM319" s="3"/>
      <c r="AEN319" s="3"/>
      <c r="AEO319" s="3"/>
      <c r="AEP319" s="3"/>
      <c r="AEQ319" s="3"/>
      <c r="AER319" s="3"/>
      <c r="AES319" s="3"/>
      <c r="AET319" s="3"/>
      <c r="AEU319" s="3"/>
      <c r="AEV319" s="3"/>
      <c r="AEW319" s="3"/>
      <c r="AEX319" s="3"/>
      <c r="AEY319" s="3"/>
      <c r="AEZ319" s="3"/>
      <c r="AFA319" s="3"/>
      <c r="AFB319" s="3"/>
      <c r="AFC319" s="3"/>
      <c r="AFD319" s="3"/>
      <c r="AFE319" s="3"/>
      <c r="AFF319" s="3"/>
      <c r="AFG319" s="3"/>
      <c r="AFH319" s="3"/>
      <c r="AFI319" s="3"/>
      <c r="AFJ319" s="3"/>
      <c r="AFK319" s="3"/>
      <c r="AFL319" s="3"/>
      <c r="AFM319" s="3"/>
      <c r="AFN319" s="3"/>
      <c r="AFO319" s="3"/>
      <c r="AFP319" s="3"/>
      <c r="AFQ319" s="3"/>
      <c r="AFR319" s="3"/>
      <c r="AFS319" s="3"/>
      <c r="AFT319" s="3"/>
      <c r="AFU319" s="3"/>
      <c r="AFV319" s="3"/>
      <c r="AFW319" s="3"/>
      <c r="AFX319" s="3"/>
      <c r="AFY319" s="3"/>
      <c r="AFZ319" s="3"/>
      <c r="AGA319" s="3"/>
      <c r="AGB319" s="3"/>
      <c r="AGC319" s="3"/>
      <c r="AGD319" s="3"/>
      <c r="AGE319" s="3"/>
      <c r="AGF319" s="3"/>
      <c r="AGG319" s="3"/>
      <c r="AGH319" s="3"/>
      <c r="AGI319" s="3"/>
      <c r="AGJ319" s="3"/>
      <c r="AGK319" s="3"/>
      <c r="AGL319" s="3"/>
      <c r="AGM319" s="3"/>
      <c r="AGN319" s="3"/>
      <c r="AGO319" s="3"/>
      <c r="AGP319" s="3"/>
      <c r="AGQ319" s="3"/>
      <c r="AGR319" s="3"/>
      <c r="AGS319" s="3"/>
      <c r="AGT319" s="3"/>
      <c r="AGU319" s="3"/>
      <c r="AGV319" s="3"/>
      <c r="AGW319" s="3"/>
      <c r="AGX319" s="3"/>
      <c r="AGY319" s="3"/>
      <c r="AGZ319" s="3"/>
      <c r="AHA319" s="3"/>
      <c r="AHB319" s="3"/>
      <c r="AHC319" s="3"/>
      <c r="AHD319" s="3"/>
      <c r="AHE319" s="3"/>
      <c r="AHF319" s="3"/>
      <c r="AHG319" s="3"/>
      <c r="AHH319" s="3"/>
      <c r="AHI319" s="3"/>
      <c r="AHJ319" s="3"/>
      <c r="AHK319" s="3"/>
      <c r="AHL319" s="3"/>
      <c r="AHM319" s="3"/>
      <c r="AHN319" s="3"/>
      <c r="AHO319" s="3"/>
      <c r="AHP319" s="3"/>
      <c r="AHQ319" s="3"/>
      <c r="AHR319" s="3"/>
      <c r="AHS319" s="3"/>
      <c r="AHT319" s="3"/>
      <c r="AHU319" s="3"/>
      <c r="AHV319" s="3"/>
      <c r="AHW319" s="3"/>
      <c r="AHX319" s="3"/>
      <c r="AHY319" s="3"/>
      <c r="AHZ319" s="3"/>
      <c r="AIA319" s="3"/>
      <c r="AIB319" s="3"/>
      <c r="AIC319" s="3"/>
      <c r="AID319" s="3"/>
      <c r="AIE319" s="3"/>
      <c r="AIF319" s="3"/>
      <c r="AIG319" s="3"/>
      <c r="AIH319" s="3"/>
      <c r="AII319" s="3"/>
      <c r="AIJ319" s="3"/>
      <c r="AIK319" s="3"/>
      <c r="AIL319" s="3"/>
      <c r="AIM319" s="3"/>
      <c r="AIN319" s="3"/>
      <c r="AIO319" s="3"/>
      <c r="AIP319" s="3"/>
      <c r="AIQ319" s="3"/>
      <c r="AIR319" s="3"/>
      <c r="AIS319" s="3"/>
      <c r="AIT319" s="3"/>
      <c r="AIU319" s="3"/>
      <c r="AIV319" s="3"/>
      <c r="AIW319" s="3"/>
      <c r="AIX319" s="3"/>
      <c r="AIY319" s="3"/>
      <c r="AIZ319" s="3"/>
      <c r="AJA319" s="3"/>
      <c r="AJB319" s="3"/>
      <c r="AJC319" s="3"/>
      <c r="AJD319" s="3"/>
      <c r="AJE319" s="3"/>
      <c r="AJF319" s="3"/>
      <c r="AJG319" s="3"/>
      <c r="AJH319" s="3"/>
      <c r="AJI319" s="3"/>
      <c r="AJJ319" s="3"/>
      <c r="AJK319" s="3"/>
      <c r="AJL319" s="3"/>
      <c r="AJM319" s="3"/>
      <c r="AJN319" s="3"/>
      <c r="AJO319" s="3"/>
      <c r="AJP319" s="3"/>
      <c r="AJQ319" s="3"/>
      <c r="AJR319" s="3"/>
      <c r="AJS319" s="3"/>
      <c r="AJT319" s="3"/>
      <c r="AJU319" s="3"/>
      <c r="AJV319" s="3"/>
      <c r="AJW319" s="3"/>
      <c r="AJX319" s="3"/>
      <c r="AJY319" s="3"/>
      <c r="AJZ319" s="3"/>
      <c r="AKA319" s="3"/>
      <c r="AKB319" s="3"/>
      <c r="AKC319" s="3"/>
      <c r="AKD319" s="3"/>
      <c r="AKE319" s="3"/>
      <c r="AKF319" s="3"/>
      <c r="AKG319" s="3"/>
      <c r="AKH319" s="3"/>
      <c r="AKI319" s="3"/>
      <c r="AKJ319" s="3"/>
      <c r="AKK319" s="3"/>
      <c r="AKL319" s="3"/>
      <c r="AKM319" s="3"/>
      <c r="AKN319" s="3"/>
      <c r="AKO319" s="3"/>
      <c r="AKP319" s="3"/>
      <c r="AKQ319" s="3"/>
      <c r="AKR319" s="3"/>
      <c r="AKS319" s="3"/>
      <c r="AKT319" s="3"/>
      <c r="AKU319" s="3"/>
      <c r="AKV319" s="3"/>
      <c r="AKW319" s="3"/>
      <c r="AKX319" s="3"/>
      <c r="AKY319" s="3"/>
      <c r="AKZ319" s="3"/>
      <c r="ALA319" s="3"/>
      <c r="ALB319" s="3"/>
      <c r="ALC319" s="3"/>
      <c r="ALD319" s="3"/>
      <c r="ALE319" s="3"/>
      <c r="ALF319" s="3"/>
      <c r="ALG319" s="3"/>
      <c r="ALH319" s="3"/>
      <c r="ALI319" s="3"/>
      <c r="ALJ319" s="3"/>
      <c r="ALK319" s="3"/>
      <c r="ALL319" s="3"/>
      <c r="ALM319" s="3"/>
      <c r="ALN319" s="3"/>
      <c r="ALO319" s="3"/>
      <c r="ALP319" s="3"/>
      <c r="ALQ319" s="3"/>
      <c r="ALR319" s="3"/>
      <c r="ALS319" s="3"/>
      <c r="ALT319" s="3"/>
      <c r="ALU319" s="3"/>
      <c r="ALV319" s="3"/>
      <c r="ALW319" s="3"/>
      <c r="ALX319" s="3"/>
      <c r="ALY319" s="3"/>
      <c r="ALZ319" s="3"/>
      <c r="AMA319" s="3"/>
      <c r="AMB319" s="3"/>
      <c r="AMC319" s="3"/>
      <c r="AMD319" s="3"/>
      <c r="AME319" s="3"/>
      <c r="AMF319" s="3"/>
      <c r="AMG319" s="3"/>
      <c r="AMH319" s="3"/>
      <c r="AMI319" s="3"/>
      <c r="AMJ319" s="3"/>
      <c r="AMK319" s="3"/>
      <c r="AML319" s="3"/>
      <c r="AMM319" s="3"/>
    </row>
    <row r="320" spans="1:1027" ht="15" customHeight="1">
      <c r="A320" s="12">
        <v>918</v>
      </c>
      <c r="B320" s="13" t="s">
        <v>556</v>
      </c>
      <c r="C320" s="14"/>
      <c r="D320" s="14" t="s">
        <v>555</v>
      </c>
      <c r="E320" s="14" t="s">
        <v>44</v>
      </c>
      <c r="F320" s="15" t="s">
        <v>22</v>
      </c>
      <c r="G320" s="21"/>
      <c r="H320" s="58">
        <v>1</v>
      </c>
      <c r="I320" s="14"/>
      <c r="J320" s="14" t="s">
        <v>23</v>
      </c>
      <c r="K320" s="14"/>
      <c r="L320" s="14"/>
      <c r="M320" s="14" t="s">
        <v>29</v>
      </c>
      <c r="N320" s="14" t="s">
        <v>25</v>
      </c>
      <c r="O320" s="14"/>
      <c r="P320" s="14"/>
      <c r="Q320" s="14"/>
      <c r="R320" s="14" t="s">
        <v>158</v>
      </c>
    </row>
    <row r="321" spans="1:1027" ht="15" customHeight="1">
      <c r="A321" s="12">
        <v>1707</v>
      </c>
      <c r="B321" s="13" t="s">
        <v>557</v>
      </c>
      <c r="C321" s="14"/>
      <c r="D321" s="14" t="s">
        <v>555</v>
      </c>
      <c r="E321" s="14" t="s">
        <v>44</v>
      </c>
      <c r="F321" s="15" t="s">
        <v>22</v>
      </c>
      <c r="G321" s="14"/>
      <c r="H321" s="58">
        <v>1</v>
      </c>
      <c r="I321" s="14"/>
      <c r="J321" s="14" t="s">
        <v>23</v>
      </c>
      <c r="K321" s="14"/>
      <c r="L321" s="14"/>
      <c r="M321" s="14" t="s">
        <v>32</v>
      </c>
      <c r="N321" s="14" t="s">
        <v>25</v>
      </c>
      <c r="O321" s="14"/>
      <c r="P321" s="14"/>
      <c r="Q321" s="14"/>
      <c r="R321" s="14" t="s">
        <v>308</v>
      </c>
    </row>
    <row r="322" spans="1:1027" ht="15" customHeight="1">
      <c r="A322" s="12">
        <v>142</v>
      </c>
      <c r="B322" s="13" t="s">
        <v>558</v>
      </c>
      <c r="C322" s="14"/>
      <c r="D322" s="14" t="s">
        <v>559</v>
      </c>
      <c r="E322" s="14" t="s">
        <v>36</v>
      </c>
      <c r="F322" s="15" t="s">
        <v>22</v>
      </c>
      <c r="G322" s="14"/>
      <c r="H322" s="58"/>
      <c r="I322" s="14"/>
      <c r="J322" s="14" t="s">
        <v>23</v>
      </c>
      <c r="K322" s="15"/>
      <c r="L322" s="15"/>
      <c r="M322" s="14" t="s">
        <v>27</v>
      </c>
      <c r="N322" s="22" t="s">
        <v>25</v>
      </c>
      <c r="O322" s="14"/>
      <c r="P322" s="14"/>
      <c r="Q322" s="14"/>
      <c r="R322" s="17">
        <v>43633</v>
      </c>
      <c r="S322" s="12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WZ322" s="3"/>
      <c r="XA322" s="3"/>
      <c r="XB322" s="3"/>
      <c r="XC322" s="3"/>
      <c r="XD322" s="3"/>
      <c r="XE322" s="3"/>
      <c r="XF322" s="3"/>
      <c r="XG322" s="3"/>
      <c r="XH322" s="3"/>
      <c r="XI322" s="3"/>
      <c r="XJ322" s="3"/>
      <c r="XK322" s="3"/>
      <c r="XL322" s="3"/>
      <c r="XM322" s="3"/>
      <c r="XN322" s="3"/>
      <c r="XO322" s="3"/>
      <c r="XP322" s="3"/>
      <c r="XQ322" s="3"/>
      <c r="XR322" s="3"/>
      <c r="XS322" s="3"/>
      <c r="XT322" s="3"/>
      <c r="XU322" s="3"/>
      <c r="XV322" s="3"/>
      <c r="XW322" s="3"/>
      <c r="XX322" s="3"/>
      <c r="XY322" s="3"/>
      <c r="XZ322" s="3"/>
      <c r="YA322" s="3"/>
      <c r="YB322" s="3"/>
      <c r="YC322" s="3"/>
      <c r="YD322" s="3"/>
      <c r="YE322" s="3"/>
      <c r="YF322" s="3"/>
      <c r="YG322" s="3"/>
      <c r="YH322" s="3"/>
      <c r="YI322" s="3"/>
      <c r="YJ322" s="3"/>
      <c r="YK322" s="3"/>
      <c r="YL322" s="3"/>
      <c r="YM322" s="3"/>
      <c r="YN322" s="3"/>
      <c r="YO322" s="3"/>
      <c r="YP322" s="3"/>
      <c r="YQ322" s="3"/>
      <c r="YR322" s="3"/>
      <c r="YS322" s="3"/>
      <c r="YT322" s="3"/>
      <c r="YU322" s="3"/>
      <c r="YV322" s="3"/>
      <c r="YW322" s="3"/>
      <c r="YX322" s="3"/>
      <c r="YY322" s="3"/>
      <c r="YZ322" s="3"/>
      <c r="ZA322" s="3"/>
      <c r="ZB322" s="3"/>
      <c r="ZC322" s="3"/>
      <c r="ZD322" s="3"/>
      <c r="ZE322" s="3"/>
      <c r="ZF322" s="3"/>
      <c r="ZG322" s="3"/>
      <c r="ZH322" s="3"/>
      <c r="ZI322" s="3"/>
      <c r="ZJ322" s="3"/>
      <c r="ZK322" s="3"/>
      <c r="ZL322" s="3"/>
      <c r="ZM322" s="3"/>
      <c r="ZN322" s="3"/>
      <c r="ZO322" s="3"/>
      <c r="ZP322" s="3"/>
      <c r="ZQ322" s="3"/>
      <c r="ZR322" s="3"/>
      <c r="ZS322" s="3"/>
      <c r="ZT322" s="3"/>
      <c r="ZU322" s="3"/>
      <c r="ZV322" s="3"/>
      <c r="ZW322" s="3"/>
      <c r="ZX322" s="3"/>
      <c r="ZY322" s="3"/>
      <c r="ZZ322" s="3"/>
      <c r="AAA322" s="3"/>
      <c r="AAB322" s="3"/>
      <c r="AAC322" s="3"/>
      <c r="AAD322" s="3"/>
      <c r="AAE322" s="3"/>
      <c r="AAF322" s="3"/>
      <c r="AAG322" s="3"/>
      <c r="AAH322" s="3"/>
      <c r="AAI322" s="3"/>
      <c r="AAJ322" s="3"/>
      <c r="AAK322" s="3"/>
      <c r="AAL322" s="3"/>
      <c r="AAM322" s="3"/>
      <c r="AAN322" s="3"/>
      <c r="AAO322" s="3"/>
      <c r="AAP322" s="3"/>
      <c r="AAQ322" s="3"/>
      <c r="AAR322" s="3"/>
      <c r="AAS322" s="3"/>
      <c r="AAT322" s="3"/>
      <c r="AAU322" s="3"/>
      <c r="AAV322" s="3"/>
      <c r="AAW322" s="3"/>
      <c r="AAX322" s="3"/>
      <c r="AAY322" s="3"/>
      <c r="AAZ322" s="3"/>
      <c r="ABA322" s="3"/>
      <c r="ABB322" s="3"/>
      <c r="ABC322" s="3"/>
      <c r="ABD322" s="3"/>
      <c r="ABE322" s="3"/>
      <c r="ABF322" s="3"/>
      <c r="ABG322" s="3"/>
      <c r="ABH322" s="3"/>
      <c r="ABI322" s="3"/>
      <c r="ABJ322" s="3"/>
      <c r="ABK322" s="3"/>
      <c r="ABL322" s="3"/>
      <c r="ABM322" s="3"/>
      <c r="ABN322" s="3"/>
      <c r="ABO322" s="3"/>
      <c r="ABP322" s="3"/>
      <c r="ABQ322" s="3"/>
      <c r="ABR322" s="3"/>
      <c r="ABS322" s="3"/>
      <c r="ABT322" s="3"/>
      <c r="ABU322" s="3"/>
      <c r="ABV322" s="3"/>
      <c r="ABW322" s="3"/>
      <c r="ABX322" s="3"/>
      <c r="ABY322" s="3"/>
      <c r="ABZ322" s="3"/>
      <c r="ACA322" s="3"/>
      <c r="ACB322" s="3"/>
      <c r="ACC322" s="3"/>
      <c r="ACD322" s="3"/>
      <c r="ACE322" s="3"/>
      <c r="ACF322" s="3"/>
      <c r="ACG322" s="3"/>
      <c r="ACH322" s="3"/>
      <c r="ACI322" s="3"/>
      <c r="ACJ322" s="3"/>
      <c r="ACK322" s="3"/>
      <c r="ACL322" s="3"/>
      <c r="ACM322" s="3"/>
      <c r="ACN322" s="3"/>
      <c r="ACO322" s="3"/>
      <c r="ACP322" s="3"/>
      <c r="ACQ322" s="3"/>
      <c r="ACR322" s="3"/>
      <c r="ACS322" s="3"/>
      <c r="ACT322" s="3"/>
      <c r="ACU322" s="3"/>
      <c r="ACV322" s="3"/>
      <c r="ACW322" s="3"/>
      <c r="ACX322" s="3"/>
      <c r="ACY322" s="3"/>
      <c r="ACZ322" s="3"/>
      <c r="ADA322" s="3"/>
      <c r="ADB322" s="3"/>
      <c r="ADC322" s="3"/>
      <c r="ADD322" s="3"/>
      <c r="ADE322" s="3"/>
      <c r="ADF322" s="3"/>
      <c r="ADG322" s="3"/>
      <c r="ADH322" s="3"/>
      <c r="ADI322" s="3"/>
      <c r="ADJ322" s="3"/>
      <c r="ADK322" s="3"/>
      <c r="ADL322" s="3"/>
      <c r="ADM322" s="3"/>
      <c r="ADN322" s="3"/>
      <c r="ADO322" s="3"/>
      <c r="ADP322" s="3"/>
      <c r="ADQ322" s="3"/>
      <c r="ADR322" s="3"/>
      <c r="ADS322" s="3"/>
      <c r="ADT322" s="3"/>
      <c r="ADU322" s="3"/>
      <c r="ADV322" s="3"/>
      <c r="ADW322" s="3"/>
      <c r="ADX322" s="3"/>
      <c r="ADY322" s="3"/>
      <c r="ADZ322" s="3"/>
      <c r="AEA322" s="3"/>
      <c r="AEB322" s="3"/>
      <c r="AEC322" s="3"/>
      <c r="AED322" s="3"/>
      <c r="AEE322" s="3"/>
      <c r="AEF322" s="3"/>
      <c r="AEG322" s="3"/>
      <c r="AEH322" s="3"/>
      <c r="AEI322" s="3"/>
      <c r="AEJ322" s="3"/>
      <c r="AEK322" s="3"/>
      <c r="AEL322" s="3"/>
      <c r="AEM322" s="3"/>
      <c r="AEN322" s="3"/>
      <c r="AEO322" s="3"/>
      <c r="AEP322" s="3"/>
      <c r="AEQ322" s="3"/>
      <c r="AER322" s="3"/>
      <c r="AES322" s="3"/>
      <c r="AET322" s="3"/>
      <c r="AEU322" s="3"/>
      <c r="AEV322" s="3"/>
      <c r="AEW322" s="3"/>
      <c r="AEX322" s="3"/>
      <c r="AEY322" s="3"/>
      <c r="AEZ322" s="3"/>
      <c r="AFA322" s="3"/>
      <c r="AFB322" s="3"/>
      <c r="AFC322" s="3"/>
      <c r="AFD322" s="3"/>
      <c r="AFE322" s="3"/>
      <c r="AFF322" s="3"/>
      <c r="AFG322" s="3"/>
      <c r="AFH322" s="3"/>
      <c r="AFI322" s="3"/>
      <c r="AFJ322" s="3"/>
      <c r="AFK322" s="3"/>
      <c r="AFL322" s="3"/>
      <c r="AFM322" s="3"/>
      <c r="AFN322" s="3"/>
      <c r="AFO322" s="3"/>
      <c r="AFP322" s="3"/>
      <c r="AFQ322" s="3"/>
      <c r="AFR322" s="3"/>
      <c r="AFS322" s="3"/>
      <c r="AFT322" s="3"/>
      <c r="AFU322" s="3"/>
      <c r="AFV322" s="3"/>
      <c r="AFW322" s="3"/>
      <c r="AFX322" s="3"/>
      <c r="AFY322" s="3"/>
      <c r="AFZ322" s="3"/>
      <c r="AGA322" s="3"/>
      <c r="AGB322" s="3"/>
      <c r="AGC322" s="3"/>
      <c r="AGD322" s="3"/>
      <c r="AGE322" s="3"/>
      <c r="AGF322" s="3"/>
      <c r="AGG322" s="3"/>
      <c r="AGH322" s="3"/>
      <c r="AGI322" s="3"/>
      <c r="AGJ322" s="3"/>
      <c r="AGK322" s="3"/>
      <c r="AGL322" s="3"/>
      <c r="AGM322" s="3"/>
      <c r="AGN322" s="3"/>
      <c r="AGO322" s="3"/>
      <c r="AGP322" s="3"/>
      <c r="AGQ322" s="3"/>
      <c r="AGR322" s="3"/>
      <c r="AGS322" s="3"/>
      <c r="AGT322" s="3"/>
      <c r="AGU322" s="3"/>
      <c r="AGV322" s="3"/>
      <c r="AGW322" s="3"/>
      <c r="AGX322" s="3"/>
      <c r="AGY322" s="3"/>
      <c r="AGZ322" s="3"/>
      <c r="AHA322" s="3"/>
      <c r="AHB322" s="3"/>
      <c r="AHC322" s="3"/>
      <c r="AHD322" s="3"/>
      <c r="AHE322" s="3"/>
      <c r="AHF322" s="3"/>
      <c r="AHG322" s="3"/>
      <c r="AHH322" s="3"/>
      <c r="AHI322" s="3"/>
      <c r="AHJ322" s="3"/>
      <c r="AHK322" s="3"/>
      <c r="AHL322" s="3"/>
      <c r="AHM322" s="3"/>
      <c r="AHN322" s="3"/>
      <c r="AHO322" s="3"/>
      <c r="AHP322" s="3"/>
      <c r="AHQ322" s="3"/>
      <c r="AHR322" s="3"/>
      <c r="AHS322" s="3"/>
      <c r="AHT322" s="3"/>
      <c r="AHU322" s="3"/>
      <c r="AHV322" s="3"/>
      <c r="AHW322" s="3"/>
      <c r="AHX322" s="3"/>
      <c r="AHY322" s="3"/>
      <c r="AHZ322" s="3"/>
      <c r="AIA322" s="3"/>
      <c r="AIB322" s="3"/>
      <c r="AIC322" s="3"/>
      <c r="AID322" s="3"/>
      <c r="AIE322" s="3"/>
      <c r="AIF322" s="3"/>
      <c r="AIG322" s="3"/>
      <c r="AIH322" s="3"/>
      <c r="AII322" s="3"/>
      <c r="AIJ322" s="3"/>
      <c r="AIK322" s="3"/>
      <c r="AIL322" s="3"/>
      <c r="AIM322" s="3"/>
      <c r="AIN322" s="3"/>
      <c r="AIO322" s="3"/>
      <c r="AIP322" s="3"/>
      <c r="AIQ322" s="3"/>
      <c r="AIR322" s="3"/>
      <c r="AIS322" s="3"/>
      <c r="AIT322" s="3"/>
      <c r="AIU322" s="3"/>
      <c r="AIV322" s="3"/>
      <c r="AIW322" s="3"/>
      <c r="AIX322" s="3"/>
      <c r="AIY322" s="3"/>
      <c r="AIZ322" s="3"/>
      <c r="AJA322" s="3"/>
      <c r="AJB322" s="3"/>
      <c r="AJC322" s="3"/>
      <c r="AJD322" s="3"/>
      <c r="AJE322" s="3"/>
      <c r="AJF322" s="3"/>
      <c r="AJG322" s="3"/>
      <c r="AJH322" s="3"/>
      <c r="AJI322" s="3"/>
      <c r="AJJ322" s="3"/>
      <c r="AJK322" s="3"/>
      <c r="AJL322" s="3"/>
      <c r="AJM322" s="3"/>
      <c r="AJN322" s="3"/>
      <c r="AJO322" s="3"/>
      <c r="AJP322" s="3"/>
      <c r="AJQ322" s="3"/>
      <c r="AJR322" s="3"/>
      <c r="AJS322" s="3"/>
      <c r="AJT322" s="3"/>
      <c r="AJU322" s="3"/>
      <c r="AJV322" s="3"/>
      <c r="AJW322" s="3"/>
      <c r="AJX322" s="3"/>
      <c r="AJY322" s="3"/>
      <c r="AJZ322" s="3"/>
      <c r="AKA322" s="3"/>
      <c r="AKB322" s="3"/>
      <c r="AKC322" s="3"/>
      <c r="AKD322" s="3"/>
      <c r="AKE322" s="3"/>
      <c r="AKF322" s="3"/>
      <c r="AKG322" s="3"/>
      <c r="AKH322" s="3"/>
      <c r="AKI322" s="3"/>
      <c r="AKJ322" s="3"/>
      <c r="AKK322" s="3"/>
      <c r="AKL322" s="3"/>
      <c r="AKM322" s="3"/>
      <c r="AKN322" s="3"/>
      <c r="AKO322" s="3"/>
      <c r="AKP322" s="3"/>
      <c r="AKQ322" s="3"/>
      <c r="AKR322" s="3"/>
      <c r="AKS322" s="3"/>
      <c r="AKT322" s="3"/>
      <c r="AKU322" s="3"/>
      <c r="AKV322" s="3"/>
      <c r="AKW322" s="3"/>
      <c r="AKX322" s="3"/>
      <c r="AKY322" s="3"/>
      <c r="AKZ322" s="3"/>
      <c r="ALA322" s="3"/>
      <c r="ALB322" s="3"/>
      <c r="ALC322" s="3"/>
      <c r="ALD322" s="3"/>
      <c r="ALE322" s="3"/>
      <c r="ALF322" s="3"/>
      <c r="ALG322" s="3"/>
      <c r="ALH322" s="3"/>
      <c r="ALI322" s="3"/>
      <c r="ALJ322" s="3"/>
      <c r="ALK322" s="3"/>
      <c r="ALL322" s="3"/>
      <c r="ALM322" s="3"/>
      <c r="ALN322" s="3"/>
      <c r="ALO322" s="3"/>
      <c r="ALP322" s="3"/>
      <c r="ALQ322" s="3"/>
      <c r="ALR322" s="3"/>
      <c r="ALS322" s="3"/>
      <c r="ALT322" s="3"/>
      <c r="ALU322" s="3"/>
      <c r="ALV322" s="3"/>
      <c r="ALW322" s="3"/>
      <c r="ALX322" s="3"/>
      <c r="ALY322" s="3"/>
      <c r="ALZ322" s="3"/>
      <c r="AMA322" s="3"/>
      <c r="AMB322" s="3"/>
      <c r="AMC322" s="3"/>
      <c r="AMD322" s="3"/>
      <c r="AME322" s="3"/>
      <c r="AMF322" s="3"/>
      <c r="AMG322" s="3"/>
      <c r="AMH322" s="3"/>
      <c r="AMI322" s="3"/>
      <c r="AMJ322" s="3"/>
      <c r="AMK322" s="3"/>
      <c r="AML322" s="3"/>
      <c r="AMM322" s="3"/>
    </row>
    <row r="323" spans="1:1027" ht="15" customHeight="1">
      <c r="A323" s="12">
        <v>919</v>
      </c>
      <c r="B323" s="13" t="s">
        <v>560</v>
      </c>
      <c r="C323" s="14"/>
      <c r="D323" s="14" t="s">
        <v>559</v>
      </c>
      <c r="E323" s="14" t="s">
        <v>36</v>
      </c>
      <c r="F323" s="15" t="s">
        <v>22</v>
      </c>
      <c r="G323" s="21"/>
      <c r="H323" s="58"/>
      <c r="I323" s="14"/>
      <c r="J323" s="14" t="s">
        <v>23</v>
      </c>
      <c r="K323" s="14"/>
      <c r="L323" s="14"/>
      <c r="M323" s="14" t="s">
        <v>29</v>
      </c>
      <c r="N323" s="14" t="s">
        <v>25</v>
      </c>
      <c r="O323" s="14"/>
      <c r="P323" s="14"/>
      <c r="Q323" s="14"/>
      <c r="R323" s="14" t="s">
        <v>158</v>
      </c>
    </row>
    <row r="324" spans="1:1027" ht="15" customHeight="1">
      <c r="A324" s="12">
        <v>1708</v>
      </c>
      <c r="B324" s="13" t="s">
        <v>561</v>
      </c>
      <c r="C324" s="14"/>
      <c r="D324" s="14" t="s">
        <v>559</v>
      </c>
      <c r="E324" s="14" t="s">
        <v>36</v>
      </c>
      <c r="F324" s="15" t="s">
        <v>22</v>
      </c>
      <c r="G324" s="14"/>
      <c r="H324" s="58">
        <v>0</v>
      </c>
      <c r="I324" s="14"/>
      <c r="J324" s="14" t="s">
        <v>23</v>
      </c>
      <c r="K324" s="14"/>
      <c r="L324" s="14"/>
      <c r="M324" s="14" t="s">
        <v>32</v>
      </c>
      <c r="N324" s="14" t="s">
        <v>25</v>
      </c>
      <c r="O324" s="14"/>
      <c r="P324" s="14"/>
      <c r="Q324" s="14"/>
      <c r="R324" s="14" t="s">
        <v>308</v>
      </c>
    </row>
    <row r="325" spans="1:1027" ht="15" customHeight="1">
      <c r="A325" s="12">
        <v>143</v>
      </c>
      <c r="B325" s="13" t="s">
        <v>562</v>
      </c>
      <c r="C325" s="14"/>
      <c r="D325" s="14" t="s">
        <v>563</v>
      </c>
      <c r="E325" s="14" t="s">
        <v>172</v>
      </c>
      <c r="F325" s="15" t="s">
        <v>22</v>
      </c>
      <c r="G325" s="14"/>
      <c r="H325" s="58"/>
      <c r="I325" s="14"/>
      <c r="J325" s="14" t="s">
        <v>23</v>
      </c>
      <c r="K325" s="15"/>
      <c r="L325" s="15"/>
      <c r="M325" s="14" t="s">
        <v>27</v>
      </c>
      <c r="N325" s="22" t="s">
        <v>25</v>
      </c>
      <c r="O325" s="14"/>
      <c r="P325" s="14"/>
      <c r="Q325" s="14"/>
      <c r="R325" s="17">
        <v>43633</v>
      </c>
      <c r="S325" s="12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/>
      <c r="XA325" s="3"/>
      <c r="XB325" s="3"/>
      <c r="XC325" s="3"/>
      <c r="XD325" s="3"/>
      <c r="XE325" s="3"/>
      <c r="XF325" s="3"/>
      <c r="XG325" s="3"/>
      <c r="XH325" s="3"/>
      <c r="XI325" s="3"/>
      <c r="XJ325" s="3"/>
      <c r="XK325" s="3"/>
      <c r="XL325" s="3"/>
      <c r="XM325" s="3"/>
      <c r="XN325" s="3"/>
      <c r="XO325" s="3"/>
      <c r="XP325" s="3"/>
      <c r="XQ325" s="3"/>
      <c r="XR325" s="3"/>
      <c r="XS325" s="3"/>
      <c r="XT325" s="3"/>
      <c r="XU325" s="3"/>
      <c r="XV325" s="3"/>
      <c r="XW325" s="3"/>
      <c r="XX325" s="3"/>
      <c r="XY325" s="3"/>
      <c r="XZ325" s="3"/>
      <c r="YA325" s="3"/>
      <c r="YB325" s="3"/>
      <c r="YC325" s="3"/>
      <c r="YD325" s="3"/>
      <c r="YE325" s="3"/>
      <c r="YF325" s="3"/>
      <c r="YG325" s="3"/>
      <c r="YH325" s="3"/>
      <c r="YI325" s="3"/>
      <c r="YJ325" s="3"/>
      <c r="YK325" s="3"/>
      <c r="YL325" s="3"/>
      <c r="YM325" s="3"/>
      <c r="YN325" s="3"/>
      <c r="YO325" s="3"/>
      <c r="YP325" s="3"/>
      <c r="YQ325" s="3"/>
      <c r="YR325" s="3"/>
      <c r="YS325" s="3"/>
      <c r="YT325" s="3"/>
      <c r="YU325" s="3"/>
      <c r="YV325" s="3"/>
      <c r="YW325" s="3"/>
      <c r="YX325" s="3"/>
      <c r="YY325" s="3"/>
      <c r="YZ325" s="3"/>
      <c r="ZA325" s="3"/>
      <c r="ZB325" s="3"/>
      <c r="ZC325" s="3"/>
      <c r="ZD325" s="3"/>
      <c r="ZE325" s="3"/>
      <c r="ZF325" s="3"/>
      <c r="ZG325" s="3"/>
      <c r="ZH325" s="3"/>
      <c r="ZI325" s="3"/>
      <c r="ZJ325" s="3"/>
      <c r="ZK325" s="3"/>
      <c r="ZL325" s="3"/>
      <c r="ZM325" s="3"/>
      <c r="ZN325" s="3"/>
      <c r="ZO325" s="3"/>
      <c r="ZP325" s="3"/>
      <c r="ZQ325" s="3"/>
      <c r="ZR325" s="3"/>
      <c r="ZS325" s="3"/>
      <c r="ZT325" s="3"/>
      <c r="ZU325" s="3"/>
      <c r="ZV325" s="3"/>
      <c r="ZW325" s="3"/>
      <c r="ZX325" s="3"/>
      <c r="ZY325" s="3"/>
      <c r="ZZ325" s="3"/>
      <c r="AAA325" s="3"/>
      <c r="AAB325" s="3"/>
      <c r="AAC325" s="3"/>
      <c r="AAD325" s="3"/>
      <c r="AAE325" s="3"/>
      <c r="AAF325" s="3"/>
      <c r="AAG325" s="3"/>
      <c r="AAH325" s="3"/>
      <c r="AAI325" s="3"/>
      <c r="AAJ325" s="3"/>
      <c r="AAK325" s="3"/>
      <c r="AAL325" s="3"/>
      <c r="AAM325" s="3"/>
      <c r="AAN325" s="3"/>
      <c r="AAO325" s="3"/>
      <c r="AAP325" s="3"/>
      <c r="AAQ325" s="3"/>
      <c r="AAR325" s="3"/>
      <c r="AAS325" s="3"/>
      <c r="AAT325" s="3"/>
      <c r="AAU325" s="3"/>
      <c r="AAV325" s="3"/>
      <c r="AAW325" s="3"/>
      <c r="AAX325" s="3"/>
      <c r="AAY325" s="3"/>
      <c r="AAZ325" s="3"/>
      <c r="ABA325" s="3"/>
      <c r="ABB325" s="3"/>
      <c r="ABC325" s="3"/>
      <c r="ABD325" s="3"/>
      <c r="ABE325" s="3"/>
      <c r="ABF325" s="3"/>
      <c r="ABG325" s="3"/>
      <c r="ABH325" s="3"/>
      <c r="ABI325" s="3"/>
      <c r="ABJ325" s="3"/>
      <c r="ABK325" s="3"/>
      <c r="ABL325" s="3"/>
      <c r="ABM325" s="3"/>
      <c r="ABN325" s="3"/>
      <c r="ABO325" s="3"/>
      <c r="ABP325" s="3"/>
      <c r="ABQ325" s="3"/>
      <c r="ABR325" s="3"/>
      <c r="ABS325" s="3"/>
      <c r="ABT325" s="3"/>
      <c r="ABU325" s="3"/>
      <c r="ABV325" s="3"/>
      <c r="ABW325" s="3"/>
      <c r="ABX325" s="3"/>
      <c r="ABY325" s="3"/>
      <c r="ABZ325" s="3"/>
      <c r="ACA325" s="3"/>
      <c r="ACB325" s="3"/>
      <c r="ACC325" s="3"/>
      <c r="ACD325" s="3"/>
      <c r="ACE325" s="3"/>
      <c r="ACF325" s="3"/>
      <c r="ACG325" s="3"/>
      <c r="ACH325" s="3"/>
      <c r="ACI325" s="3"/>
      <c r="ACJ325" s="3"/>
      <c r="ACK325" s="3"/>
      <c r="ACL325" s="3"/>
      <c r="ACM325" s="3"/>
      <c r="ACN325" s="3"/>
      <c r="ACO325" s="3"/>
      <c r="ACP325" s="3"/>
      <c r="ACQ325" s="3"/>
      <c r="ACR325" s="3"/>
      <c r="ACS325" s="3"/>
      <c r="ACT325" s="3"/>
      <c r="ACU325" s="3"/>
      <c r="ACV325" s="3"/>
      <c r="ACW325" s="3"/>
      <c r="ACX325" s="3"/>
      <c r="ACY325" s="3"/>
      <c r="ACZ325" s="3"/>
      <c r="ADA325" s="3"/>
      <c r="ADB325" s="3"/>
      <c r="ADC325" s="3"/>
      <c r="ADD325" s="3"/>
      <c r="ADE325" s="3"/>
      <c r="ADF325" s="3"/>
      <c r="ADG325" s="3"/>
      <c r="ADH325" s="3"/>
      <c r="ADI325" s="3"/>
      <c r="ADJ325" s="3"/>
      <c r="ADK325" s="3"/>
      <c r="ADL325" s="3"/>
      <c r="ADM325" s="3"/>
      <c r="ADN325" s="3"/>
      <c r="ADO325" s="3"/>
      <c r="ADP325" s="3"/>
      <c r="ADQ325" s="3"/>
      <c r="ADR325" s="3"/>
      <c r="ADS325" s="3"/>
      <c r="ADT325" s="3"/>
      <c r="ADU325" s="3"/>
      <c r="ADV325" s="3"/>
      <c r="ADW325" s="3"/>
      <c r="ADX325" s="3"/>
      <c r="ADY325" s="3"/>
      <c r="ADZ325" s="3"/>
      <c r="AEA325" s="3"/>
      <c r="AEB325" s="3"/>
      <c r="AEC325" s="3"/>
      <c r="AED325" s="3"/>
      <c r="AEE325" s="3"/>
      <c r="AEF325" s="3"/>
      <c r="AEG325" s="3"/>
      <c r="AEH325" s="3"/>
      <c r="AEI325" s="3"/>
      <c r="AEJ325" s="3"/>
      <c r="AEK325" s="3"/>
      <c r="AEL325" s="3"/>
      <c r="AEM325" s="3"/>
      <c r="AEN325" s="3"/>
      <c r="AEO325" s="3"/>
      <c r="AEP325" s="3"/>
      <c r="AEQ325" s="3"/>
      <c r="AER325" s="3"/>
      <c r="AES325" s="3"/>
      <c r="AET325" s="3"/>
      <c r="AEU325" s="3"/>
      <c r="AEV325" s="3"/>
      <c r="AEW325" s="3"/>
      <c r="AEX325" s="3"/>
      <c r="AEY325" s="3"/>
      <c r="AEZ325" s="3"/>
      <c r="AFA325" s="3"/>
      <c r="AFB325" s="3"/>
      <c r="AFC325" s="3"/>
      <c r="AFD325" s="3"/>
      <c r="AFE325" s="3"/>
      <c r="AFF325" s="3"/>
      <c r="AFG325" s="3"/>
      <c r="AFH325" s="3"/>
      <c r="AFI325" s="3"/>
      <c r="AFJ325" s="3"/>
      <c r="AFK325" s="3"/>
      <c r="AFL325" s="3"/>
      <c r="AFM325" s="3"/>
      <c r="AFN325" s="3"/>
      <c r="AFO325" s="3"/>
      <c r="AFP325" s="3"/>
      <c r="AFQ325" s="3"/>
      <c r="AFR325" s="3"/>
      <c r="AFS325" s="3"/>
      <c r="AFT325" s="3"/>
      <c r="AFU325" s="3"/>
      <c r="AFV325" s="3"/>
      <c r="AFW325" s="3"/>
      <c r="AFX325" s="3"/>
      <c r="AFY325" s="3"/>
      <c r="AFZ325" s="3"/>
      <c r="AGA325" s="3"/>
      <c r="AGB325" s="3"/>
      <c r="AGC325" s="3"/>
      <c r="AGD325" s="3"/>
      <c r="AGE325" s="3"/>
      <c r="AGF325" s="3"/>
      <c r="AGG325" s="3"/>
      <c r="AGH325" s="3"/>
      <c r="AGI325" s="3"/>
      <c r="AGJ325" s="3"/>
      <c r="AGK325" s="3"/>
      <c r="AGL325" s="3"/>
      <c r="AGM325" s="3"/>
      <c r="AGN325" s="3"/>
      <c r="AGO325" s="3"/>
      <c r="AGP325" s="3"/>
      <c r="AGQ325" s="3"/>
      <c r="AGR325" s="3"/>
      <c r="AGS325" s="3"/>
      <c r="AGT325" s="3"/>
      <c r="AGU325" s="3"/>
      <c r="AGV325" s="3"/>
      <c r="AGW325" s="3"/>
      <c r="AGX325" s="3"/>
      <c r="AGY325" s="3"/>
      <c r="AGZ325" s="3"/>
      <c r="AHA325" s="3"/>
      <c r="AHB325" s="3"/>
      <c r="AHC325" s="3"/>
      <c r="AHD325" s="3"/>
      <c r="AHE325" s="3"/>
      <c r="AHF325" s="3"/>
      <c r="AHG325" s="3"/>
      <c r="AHH325" s="3"/>
      <c r="AHI325" s="3"/>
      <c r="AHJ325" s="3"/>
      <c r="AHK325" s="3"/>
      <c r="AHL325" s="3"/>
      <c r="AHM325" s="3"/>
      <c r="AHN325" s="3"/>
      <c r="AHO325" s="3"/>
      <c r="AHP325" s="3"/>
      <c r="AHQ325" s="3"/>
      <c r="AHR325" s="3"/>
      <c r="AHS325" s="3"/>
      <c r="AHT325" s="3"/>
      <c r="AHU325" s="3"/>
      <c r="AHV325" s="3"/>
      <c r="AHW325" s="3"/>
      <c r="AHX325" s="3"/>
      <c r="AHY325" s="3"/>
      <c r="AHZ325" s="3"/>
      <c r="AIA325" s="3"/>
      <c r="AIB325" s="3"/>
      <c r="AIC325" s="3"/>
      <c r="AID325" s="3"/>
      <c r="AIE325" s="3"/>
      <c r="AIF325" s="3"/>
      <c r="AIG325" s="3"/>
      <c r="AIH325" s="3"/>
      <c r="AII325" s="3"/>
      <c r="AIJ325" s="3"/>
      <c r="AIK325" s="3"/>
      <c r="AIL325" s="3"/>
      <c r="AIM325" s="3"/>
      <c r="AIN325" s="3"/>
      <c r="AIO325" s="3"/>
      <c r="AIP325" s="3"/>
      <c r="AIQ325" s="3"/>
      <c r="AIR325" s="3"/>
      <c r="AIS325" s="3"/>
      <c r="AIT325" s="3"/>
      <c r="AIU325" s="3"/>
      <c r="AIV325" s="3"/>
      <c r="AIW325" s="3"/>
      <c r="AIX325" s="3"/>
      <c r="AIY325" s="3"/>
      <c r="AIZ325" s="3"/>
      <c r="AJA325" s="3"/>
      <c r="AJB325" s="3"/>
      <c r="AJC325" s="3"/>
      <c r="AJD325" s="3"/>
      <c r="AJE325" s="3"/>
      <c r="AJF325" s="3"/>
      <c r="AJG325" s="3"/>
      <c r="AJH325" s="3"/>
      <c r="AJI325" s="3"/>
      <c r="AJJ325" s="3"/>
      <c r="AJK325" s="3"/>
      <c r="AJL325" s="3"/>
      <c r="AJM325" s="3"/>
      <c r="AJN325" s="3"/>
      <c r="AJO325" s="3"/>
      <c r="AJP325" s="3"/>
      <c r="AJQ325" s="3"/>
      <c r="AJR325" s="3"/>
      <c r="AJS325" s="3"/>
      <c r="AJT325" s="3"/>
      <c r="AJU325" s="3"/>
      <c r="AJV325" s="3"/>
      <c r="AJW325" s="3"/>
      <c r="AJX325" s="3"/>
      <c r="AJY325" s="3"/>
      <c r="AJZ325" s="3"/>
      <c r="AKA325" s="3"/>
      <c r="AKB325" s="3"/>
      <c r="AKC325" s="3"/>
      <c r="AKD325" s="3"/>
      <c r="AKE325" s="3"/>
      <c r="AKF325" s="3"/>
      <c r="AKG325" s="3"/>
      <c r="AKH325" s="3"/>
      <c r="AKI325" s="3"/>
      <c r="AKJ325" s="3"/>
      <c r="AKK325" s="3"/>
      <c r="AKL325" s="3"/>
      <c r="AKM325" s="3"/>
      <c r="AKN325" s="3"/>
      <c r="AKO325" s="3"/>
      <c r="AKP325" s="3"/>
      <c r="AKQ325" s="3"/>
      <c r="AKR325" s="3"/>
      <c r="AKS325" s="3"/>
      <c r="AKT325" s="3"/>
      <c r="AKU325" s="3"/>
      <c r="AKV325" s="3"/>
      <c r="AKW325" s="3"/>
      <c r="AKX325" s="3"/>
      <c r="AKY325" s="3"/>
      <c r="AKZ325" s="3"/>
      <c r="ALA325" s="3"/>
      <c r="ALB325" s="3"/>
      <c r="ALC325" s="3"/>
      <c r="ALD325" s="3"/>
      <c r="ALE325" s="3"/>
      <c r="ALF325" s="3"/>
      <c r="ALG325" s="3"/>
      <c r="ALH325" s="3"/>
      <c r="ALI325" s="3"/>
      <c r="ALJ325" s="3"/>
      <c r="ALK325" s="3"/>
      <c r="ALL325" s="3"/>
      <c r="ALM325" s="3"/>
      <c r="ALN325" s="3"/>
      <c r="ALO325" s="3"/>
      <c r="ALP325" s="3"/>
      <c r="ALQ325" s="3"/>
      <c r="ALR325" s="3"/>
      <c r="ALS325" s="3"/>
      <c r="ALT325" s="3"/>
      <c r="ALU325" s="3"/>
      <c r="ALV325" s="3"/>
      <c r="ALW325" s="3"/>
      <c r="ALX325" s="3"/>
      <c r="ALY325" s="3"/>
      <c r="ALZ325" s="3"/>
      <c r="AMA325" s="3"/>
      <c r="AMB325" s="3"/>
      <c r="AMC325" s="3"/>
      <c r="AMD325" s="3"/>
      <c r="AME325" s="3"/>
      <c r="AMF325" s="3"/>
      <c r="AMG325" s="3"/>
      <c r="AMH325" s="3"/>
      <c r="AMI325" s="3"/>
      <c r="AMJ325" s="3"/>
      <c r="AMK325" s="3"/>
      <c r="AML325" s="3"/>
      <c r="AMM325" s="3"/>
    </row>
    <row r="326" spans="1:1027" ht="15" customHeight="1">
      <c r="A326" s="12">
        <v>920</v>
      </c>
      <c r="B326" s="13" t="s">
        <v>564</v>
      </c>
      <c r="C326" s="14"/>
      <c r="D326" s="14" t="s">
        <v>563</v>
      </c>
      <c r="E326" s="14" t="s">
        <v>172</v>
      </c>
      <c r="F326" s="15" t="s">
        <v>22</v>
      </c>
      <c r="G326" s="21"/>
      <c r="H326" s="58"/>
      <c r="I326" s="14"/>
      <c r="J326" s="14" t="s">
        <v>23</v>
      </c>
      <c r="K326" s="14"/>
      <c r="L326" s="14"/>
      <c r="M326" s="14" t="s">
        <v>29</v>
      </c>
      <c r="N326" s="14" t="s">
        <v>25</v>
      </c>
      <c r="O326" s="14"/>
      <c r="P326" s="14"/>
      <c r="Q326" s="14"/>
      <c r="R326" s="14" t="s">
        <v>158</v>
      </c>
    </row>
    <row r="327" spans="1:1027" ht="15" customHeight="1">
      <c r="A327" s="12">
        <v>1709</v>
      </c>
      <c r="B327" s="13" t="s">
        <v>565</v>
      </c>
      <c r="C327" s="14"/>
      <c r="D327" s="14" t="s">
        <v>563</v>
      </c>
      <c r="E327" s="14" t="s">
        <v>172</v>
      </c>
      <c r="F327" s="15" t="s">
        <v>22</v>
      </c>
      <c r="G327" s="14"/>
      <c r="H327" s="58">
        <v>0</v>
      </c>
      <c r="I327" s="14"/>
      <c r="J327" s="14" t="s">
        <v>23</v>
      </c>
      <c r="K327" s="14"/>
      <c r="L327" s="14"/>
      <c r="M327" s="14" t="s">
        <v>32</v>
      </c>
      <c r="N327" s="14" t="s">
        <v>25</v>
      </c>
      <c r="O327" s="14"/>
      <c r="P327" s="14"/>
      <c r="Q327" s="14"/>
      <c r="R327" s="14" t="s">
        <v>308</v>
      </c>
    </row>
    <row r="328" spans="1:1027" ht="15" customHeight="1">
      <c r="A328" s="12">
        <v>144</v>
      </c>
      <c r="B328" s="13" t="s">
        <v>566</v>
      </c>
      <c r="C328" s="14"/>
      <c r="D328" s="14" t="s">
        <v>567</v>
      </c>
      <c r="E328" s="14" t="s">
        <v>36</v>
      </c>
      <c r="F328" s="15" t="s">
        <v>22</v>
      </c>
      <c r="G328" s="14"/>
      <c r="H328" s="58"/>
      <c r="I328" s="14"/>
      <c r="J328" s="14" t="s">
        <v>23</v>
      </c>
      <c r="K328" s="15"/>
      <c r="L328" s="15"/>
      <c r="M328" s="14" t="s">
        <v>27</v>
      </c>
      <c r="N328" s="22" t="s">
        <v>25</v>
      </c>
      <c r="O328" s="14"/>
      <c r="P328" s="14"/>
      <c r="Q328" s="14"/>
      <c r="R328" s="17">
        <v>43633</v>
      </c>
      <c r="S328" s="1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WZ328" s="3"/>
      <c r="XA328" s="3"/>
      <c r="XB328" s="3"/>
      <c r="XC328" s="3"/>
      <c r="XD328" s="3"/>
      <c r="XE328" s="3"/>
      <c r="XF328" s="3"/>
      <c r="XG328" s="3"/>
      <c r="XH328" s="3"/>
      <c r="XI328" s="3"/>
      <c r="XJ328" s="3"/>
      <c r="XK328" s="3"/>
      <c r="XL328" s="3"/>
      <c r="XM328" s="3"/>
      <c r="XN328" s="3"/>
      <c r="XO328" s="3"/>
      <c r="XP328" s="3"/>
      <c r="XQ328" s="3"/>
      <c r="XR328" s="3"/>
      <c r="XS328" s="3"/>
      <c r="XT328" s="3"/>
      <c r="XU328" s="3"/>
      <c r="XV328" s="3"/>
      <c r="XW328" s="3"/>
      <c r="XX328" s="3"/>
      <c r="XY328" s="3"/>
      <c r="XZ328" s="3"/>
      <c r="YA328" s="3"/>
      <c r="YB328" s="3"/>
      <c r="YC328" s="3"/>
      <c r="YD328" s="3"/>
      <c r="YE328" s="3"/>
      <c r="YF328" s="3"/>
      <c r="YG328" s="3"/>
      <c r="YH328" s="3"/>
      <c r="YI328" s="3"/>
      <c r="YJ328" s="3"/>
      <c r="YK328" s="3"/>
      <c r="YL328" s="3"/>
      <c r="YM328" s="3"/>
      <c r="YN328" s="3"/>
      <c r="YO328" s="3"/>
      <c r="YP328" s="3"/>
      <c r="YQ328" s="3"/>
      <c r="YR328" s="3"/>
      <c r="YS328" s="3"/>
      <c r="YT328" s="3"/>
      <c r="YU328" s="3"/>
      <c r="YV328" s="3"/>
      <c r="YW328" s="3"/>
      <c r="YX328" s="3"/>
      <c r="YY328" s="3"/>
      <c r="YZ328" s="3"/>
      <c r="ZA328" s="3"/>
      <c r="ZB328" s="3"/>
      <c r="ZC328" s="3"/>
      <c r="ZD328" s="3"/>
      <c r="ZE328" s="3"/>
      <c r="ZF328" s="3"/>
      <c r="ZG328" s="3"/>
      <c r="ZH328" s="3"/>
      <c r="ZI328" s="3"/>
      <c r="ZJ328" s="3"/>
      <c r="ZK328" s="3"/>
      <c r="ZL328" s="3"/>
      <c r="ZM328" s="3"/>
      <c r="ZN328" s="3"/>
      <c r="ZO328" s="3"/>
      <c r="ZP328" s="3"/>
      <c r="ZQ328" s="3"/>
      <c r="ZR328" s="3"/>
      <c r="ZS328" s="3"/>
      <c r="ZT328" s="3"/>
      <c r="ZU328" s="3"/>
      <c r="ZV328" s="3"/>
      <c r="ZW328" s="3"/>
      <c r="ZX328" s="3"/>
      <c r="ZY328" s="3"/>
      <c r="ZZ328" s="3"/>
      <c r="AAA328" s="3"/>
      <c r="AAB328" s="3"/>
      <c r="AAC328" s="3"/>
      <c r="AAD328" s="3"/>
      <c r="AAE328" s="3"/>
      <c r="AAF328" s="3"/>
      <c r="AAG328" s="3"/>
      <c r="AAH328" s="3"/>
      <c r="AAI328" s="3"/>
      <c r="AAJ328" s="3"/>
      <c r="AAK328" s="3"/>
      <c r="AAL328" s="3"/>
      <c r="AAM328" s="3"/>
      <c r="AAN328" s="3"/>
      <c r="AAO328" s="3"/>
      <c r="AAP328" s="3"/>
      <c r="AAQ328" s="3"/>
      <c r="AAR328" s="3"/>
      <c r="AAS328" s="3"/>
      <c r="AAT328" s="3"/>
      <c r="AAU328" s="3"/>
      <c r="AAV328" s="3"/>
      <c r="AAW328" s="3"/>
      <c r="AAX328" s="3"/>
      <c r="AAY328" s="3"/>
      <c r="AAZ328" s="3"/>
      <c r="ABA328" s="3"/>
      <c r="ABB328" s="3"/>
      <c r="ABC328" s="3"/>
      <c r="ABD328" s="3"/>
      <c r="ABE328" s="3"/>
      <c r="ABF328" s="3"/>
      <c r="ABG328" s="3"/>
      <c r="ABH328" s="3"/>
      <c r="ABI328" s="3"/>
      <c r="ABJ328" s="3"/>
      <c r="ABK328" s="3"/>
      <c r="ABL328" s="3"/>
      <c r="ABM328" s="3"/>
      <c r="ABN328" s="3"/>
      <c r="ABO328" s="3"/>
      <c r="ABP328" s="3"/>
      <c r="ABQ328" s="3"/>
      <c r="ABR328" s="3"/>
      <c r="ABS328" s="3"/>
      <c r="ABT328" s="3"/>
      <c r="ABU328" s="3"/>
      <c r="ABV328" s="3"/>
      <c r="ABW328" s="3"/>
      <c r="ABX328" s="3"/>
      <c r="ABY328" s="3"/>
      <c r="ABZ328" s="3"/>
      <c r="ACA328" s="3"/>
      <c r="ACB328" s="3"/>
      <c r="ACC328" s="3"/>
      <c r="ACD328" s="3"/>
      <c r="ACE328" s="3"/>
      <c r="ACF328" s="3"/>
      <c r="ACG328" s="3"/>
      <c r="ACH328" s="3"/>
      <c r="ACI328" s="3"/>
      <c r="ACJ328" s="3"/>
      <c r="ACK328" s="3"/>
      <c r="ACL328" s="3"/>
      <c r="ACM328" s="3"/>
      <c r="ACN328" s="3"/>
      <c r="ACO328" s="3"/>
      <c r="ACP328" s="3"/>
      <c r="ACQ328" s="3"/>
      <c r="ACR328" s="3"/>
      <c r="ACS328" s="3"/>
      <c r="ACT328" s="3"/>
      <c r="ACU328" s="3"/>
      <c r="ACV328" s="3"/>
      <c r="ACW328" s="3"/>
      <c r="ACX328" s="3"/>
      <c r="ACY328" s="3"/>
      <c r="ACZ328" s="3"/>
      <c r="ADA328" s="3"/>
      <c r="ADB328" s="3"/>
      <c r="ADC328" s="3"/>
      <c r="ADD328" s="3"/>
      <c r="ADE328" s="3"/>
      <c r="ADF328" s="3"/>
      <c r="ADG328" s="3"/>
      <c r="ADH328" s="3"/>
      <c r="ADI328" s="3"/>
      <c r="ADJ328" s="3"/>
      <c r="ADK328" s="3"/>
      <c r="ADL328" s="3"/>
      <c r="ADM328" s="3"/>
      <c r="ADN328" s="3"/>
      <c r="ADO328" s="3"/>
      <c r="ADP328" s="3"/>
      <c r="ADQ328" s="3"/>
      <c r="ADR328" s="3"/>
      <c r="ADS328" s="3"/>
      <c r="ADT328" s="3"/>
      <c r="ADU328" s="3"/>
      <c r="ADV328" s="3"/>
      <c r="ADW328" s="3"/>
      <c r="ADX328" s="3"/>
      <c r="ADY328" s="3"/>
      <c r="ADZ328" s="3"/>
      <c r="AEA328" s="3"/>
      <c r="AEB328" s="3"/>
      <c r="AEC328" s="3"/>
      <c r="AED328" s="3"/>
      <c r="AEE328" s="3"/>
      <c r="AEF328" s="3"/>
      <c r="AEG328" s="3"/>
      <c r="AEH328" s="3"/>
      <c r="AEI328" s="3"/>
      <c r="AEJ328" s="3"/>
      <c r="AEK328" s="3"/>
      <c r="AEL328" s="3"/>
      <c r="AEM328" s="3"/>
      <c r="AEN328" s="3"/>
      <c r="AEO328" s="3"/>
      <c r="AEP328" s="3"/>
      <c r="AEQ328" s="3"/>
      <c r="AER328" s="3"/>
      <c r="AES328" s="3"/>
      <c r="AET328" s="3"/>
      <c r="AEU328" s="3"/>
      <c r="AEV328" s="3"/>
      <c r="AEW328" s="3"/>
      <c r="AEX328" s="3"/>
      <c r="AEY328" s="3"/>
      <c r="AEZ328" s="3"/>
      <c r="AFA328" s="3"/>
      <c r="AFB328" s="3"/>
      <c r="AFC328" s="3"/>
      <c r="AFD328" s="3"/>
      <c r="AFE328" s="3"/>
      <c r="AFF328" s="3"/>
      <c r="AFG328" s="3"/>
      <c r="AFH328" s="3"/>
      <c r="AFI328" s="3"/>
      <c r="AFJ328" s="3"/>
      <c r="AFK328" s="3"/>
      <c r="AFL328" s="3"/>
      <c r="AFM328" s="3"/>
      <c r="AFN328" s="3"/>
      <c r="AFO328" s="3"/>
      <c r="AFP328" s="3"/>
      <c r="AFQ328" s="3"/>
      <c r="AFR328" s="3"/>
      <c r="AFS328" s="3"/>
      <c r="AFT328" s="3"/>
      <c r="AFU328" s="3"/>
      <c r="AFV328" s="3"/>
      <c r="AFW328" s="3"/>
      <c r="AFX328" s="3"/>
      <c r="AFY328" s="3"/>
      <c r="AFZ328" s="3"/>
      <c r="AGA328" s="3"/>
      <c r="AGB328" s="3"/>
      <c r="AGC328" s="3"/>
      <c r="AGD328" s="3"/>
      <c r="AGE328" s="3"/>
      <c r="AGF328" s="3"/>
      <c r="AGG328" s="3"/>
      <c r="AGH328" s="3"/>
      <c r="AGI328" s="3"/>
      <c r="AGJ328" s="3"/>
      <c r="AGK328" s="3"/>
      <c r="AGL328" s="3"/>
      <c r="AGM328" s="3"/>
      <c r="AGN328" s="3"/>
      <c r="AGO328" s="3"/>
      <c r="AGP328" s="3"/>
      <c r="AGQ328" s="3"/>
      <c r="AGR328" s="3"/>
      <c r="AGS328" s="3"/>
      <c r="AGT328" s="3"/>
      <c r="AGU328" s="3"/>
      <c r="AGV328" s="3"/>
      <c r="AGW328" s="3"/>
      <c r="AGX328" s="3"/>
      <c r="AGY328" s="3"/>
      <c r="AGZ328" s="3"/>
      <c r="AHA328" s="3"/>
      <c r="AHB328" s="3"/>
      <c r="AHC328" s="3"/>
      <c r="AHD328" s="3"/>
      <c r="AHE328" s="3"/>
      <c r="AHF328" s="3"/>
      <c r="AHG328" s="3"/>
      <c r="AHH328" s="3"/>
      <c r="AHI328" s="3"/>
      <c r="AHJ328" s="3"/>
      <c r="AHK328" s="3"/>
      <c r="AHL328" s="3"/>
      <c r="AHM328" s="3"/>
      <c r="AHN328" s="3"/>
      <c r="AHO328" s="3"/>
      <c r="AHP328" s="3"/>
      <c r="AHQ328" s="3"/>
      <c r="AHR328" s="3"/>
      <c r="AHS328" s="3"/>
      <c r="AHT328" s="3"/>
      <c r="AHU328" s="3"/>
      <c r="AHV328" s="3"/>
      <c r="AHW328" s="3"/>
      <c r="AHX328" s="3"/>
      <c r="AHY328" s="3"/>
      <c r="AHZ328" s="3"/>
      <c r="AIA328" s="3"/>
      <c r="AIB328" s="3"/>
      <c r="AIC328" s="3"/>
      <c r="AID328" s="3"/>
      <c r="AIE328" s="3"/>
      <c r="AIF328" s="3"/>
      <c r="AIG328" s="3"/>
      <c r="AIH328" s="3"/>
      <c r="AII328" s="3"/>
      <c r="AIJ328" s="3"/>
      <c r="AIK328" s="3"/>
      <c r="AIL328" s="3"/>
      <c r="AIM328" s="3"/>
      <c r="AIN328" s="3"/>
      <c r="AIO328" s="3"/>
      <c r="AIP328" s="3"/>
      <c r="AIQ328" s="3"/>
      <c r="AIR328" s="3"/>
      <c r="AIS328" s="3"/>
      <c r="AIT328" s="3"/>
      <c r="AIU328" s="3"/>
      <c r="AIV328" s="3"/>
      <c r="AIW328" s="3"/>
      <c r="AIX328" s="3"/>
      <c r="AIY328" s="3"/>
      <c r="AIZ328" s="3"/>
      <c r="AJA328" s="3"/>
      <c r="AJB328" s="3"/>
      <c r="AJC328" s="3"/>
      <c r="AJD328" s="3"/>
      <c r="AJE328" s="3"/>
      <c r="AJF328" s="3"/>
      <c r="AJG328" s="3"/>
      <c r="AJH328" s="3"/>
      <c r="AJI328" s="3"/>
      <c r="AJJ328" s="3"/>
      <c r="AJK328" s="3"/>
      <c r="AJL328" s="3"/>
      <c r="AJM328" s="3"/>
      <c r="AJN328" s="3"/>
      <c r="AJO328" s="3"/>
      <c r="AJP328" s="3"/>
      <c r="AJQ328" s="3"/>
      <c r="AJR328" s="3"/>
      <c r="AJS328" s="3"/>
      <c r="AJT328" s="3"/>
      <c r="AJU328" s="3"/>
      <c r="AJV328" s="3"/>
      <c r="AJW328" s="3"/>
      <c r="AJX328" s="3"/>
      <c r="AJY328" s="3"/>
      <c r="AJZ328" s="3"/>
      <c r="AKA328" s="3"/>
      <c r="AKB328" s="3"/>
      <c r="AKC328" s="3"/>
      <c r="AKD328" s="3"/>
      <c r="AKE328" s="3"/>
      <c r="AKF328" s="3"/>
      <c r="AKG328" s="3"/>
      <c r="AKH328" s="3"/>
      <c r="AKI328" s="3"/>
      <c r="AKJ328" s="3"/>
      <c r="AKK328" s="3"/>
      <c r="AKL328" s="3"/>
      <c r="AKM328" s="3"/>
      <c r="AKN328" s="3"/>
      <c r="AKO328" s="3"/>
      <c r="AKP328" s="3"/>
      <c r="AKQ328" s="3"/>
      <c r="AKR328" s="3"/>
      <c r="AKS328" s="3"/>
      <c r="AKT328" s="3"/>
      <c r="AKU328" s="3"/>
      <c r="AKV328" s="3"/>
      <c r="AKW328" s="3"/>
      <c r="AKX328" s="3"/>
      <c r="AKY328" s="3"/>
      <c r="AKZ328" s="3"/>
      <c r="ALA328" s="3"/>
      <c r="ALB328" s="3"/>
      <c r="ALC328" s="3"/>
      <c r="ALD328" s="3"/>
      <c r="ALE328" s="3"/>
      <c r="ALF328" s="3"/>
      <c r="ALG328" s="3"/>
      <c r="ALH328" s="3"/>
      <c r="ALI328" s="3"/>
      <c r="ALJ328" s="3"/>
      <c r="ALK328" s="3"/>
      <c r="ALL328" s="3"/>
      <c r="ALM328" s="3"/>
      <c r="ALN328" s="3"/>
      <c r="ALO328" s="3"/>
      <c r="ALP328" s="3"/>
      <c r="ALQ328" s="3"/>
      <c r="ALR328" s="3"/>
      <c r="ALS328" s="3"/>
      <c r="ALT328" s="3"/>
      <c r="ALU328" s="3"/>
      <c r="ALV328" s="3"/>
      <c r="ALW328" s="3"/>
      <c r="ALX328" s="3"/>
      <c r="ALY328" s="3"/>
      <c r="ALZ328" s="3"/>
      <c r="AMA328" s="3"/>
      <c r="AMB328" s="3"/>
      <c r="AMC328" s="3"/>
      <c r="AMD328" s="3"/>
      <c r="AME328" s="3"/>
      <c r="AMF328" s="3"/>
      <c r="AMG328" s="3"/>
      <c r="AMH328" s="3"/>
      <c r="AMI328" s="3"/>
      <c r="AMJ328" s="3"/>
      <c r="AMK328" s="3"/>
      <c r="AML328" s="3"/>
      <c r="AMM328" s="3"/>
    </row>
    <row r="329" spans="1:1027" ht="15" customHeight="1">
      <c r="A329" s="12">
        <v>921</v>
      </c>
      <c r="B329" s="13" t="s">
        <v>568</v>
      </c>
      <c r="C329" s="14"/>
      <c r="D329" s="14" t="s">
        <v>567</v>
      </c>
      <c r="E329" s="14" t="s">
        <v>36</v>
      </c>
      <c r="F329" s="15" t="s">
        <v>22</v>
      </c>
      <c r="G329" s="21"/>
      <c r="H329" s="58"/>
      <c r="I329" s="14"/>
      <c r="J329" s="14" t="s">
        <v>23</v>
      </c>
      <c r="K329" s="14"/>
      <c r="L329" s="14"/>
      <c r="M329" s="14" t="s">
        <v>29</v>
      </c>
      <c r="N329" s="14" t="s">
        <v>25</v>
      </c>
      <c r="O329" s="14"/>
      <c r="P329" s="14"/>
      <c r="Q329" s="14"/>
      <c r="R329" s="14" t="s">
        <v>30</v>
      </c>
    </row>
    <row r="330" spans="1:1027" ht="15" customHeight="1">
      <c r="A330" s="12">
        <v>1710</v>
      </c>
      <c r="B330" s="13" t="s">
        <v>569</v>
      </c>
      <c r="C330" s="14"/>
      <c r="D330" s="14" t="s">
        <v>567</v>
      </c>
      <c r="E330" s="14" t="s">
        <v>36</v>
      </c>
      <c r="F330" s="15" t="s">
        <v>22</v>
      </c>
      <c r="G330" s="14"/>
      <c r="H330" s="58">
        <v>0</v>
      </c>
      <c r="I330" s="14"/>
      <c r="J330" s="14" t="s">
        <v>23</v>
      </c>
      <c r="K330" s="14"/>
      <c r="L330" s="14"/>
      <c r="M330" s="14" t="s">
        <v>32</v>
      </c>
      <c r="N330" s="14" t="s">
        <v>25</v>
      </c>
      <c r="O330" s="14"/>
      <c r="P330" s="14"/>
      <c r="Q330" s="14"/>
      <c r="R330" s="14" t="s">
        <v>308</v>
      </c>
    </row>
    <row r="331" spans="1:1027" ht="15" customHeight="1">
      <c r="A331" s="12">
        <v>145</v>
      </c>
      <c r="B331" s="13" t="s">
        <v>570</v>
      </c>
      <c r="C331" s="14"/>
      <c r="D331" s="14" t="s">
        <v>571</v>
      </c>
      <c r="E331" s="14" t="s">
        <v>92</v>
      </c>
      <c r="F331" s="15" t="s">
        <v>22</v>
      </c>
      <c r="G331" s="14"/>
      <c r="H331" s="58"/>
      <c r="I331" s="14"/>
      <c r="J331" s="14" t="s">
        <v>23</v>
      </c>
      <c r="K331" s="15"/>
      <c r="L331" s="15"/>
      <c r="M331" s="14" t="s">
        <v>27</v>
      </c>
      <c r="N331" s="22" t="s">
        <v>25</v>
      </c>
      <c r="O331" s="14"/>
      <c r="P331" s="14"/>
      <c r="Q331" s="14"/>
      <c r="R331" s="17">
        <v>43633</v>
      </c>
      <c r="S331" s="1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WR331" s="3"/>
      <c r="WS331" s="3"/>
      <c r="WT331" s="3"/>
      <c r="WU331" s="3"/>
      <c r="WV331" s="3"/>
      <c r="WW331" s="3"/>
      <c r="WX331" s="3"/>
      <c r="WY331" s="3"/>
      <c r="WZ331" s="3"/>
      <c r="XA331" s="3"/>
      <c r="XB331" s="3"/>
      <c r="XC331" s="3"/>
      <c r="XD331" s="3"/>
      <c r="XE331" s="3"/>
      <c r="XF331" s="3"/>
      <c r="XG331" s="3"/>
      <c r="XH331" s="3"/>
      <c r="XI331" s="3"/>
      <c r="XJ331" s="3"/>
      <c r="XK331" s="3"/>
      <c r="XL331" s="3"/>
      <c r="XM331" s="3"/>
      <c r="XN331" s="3"/>
      <c r="XO331" s="3"/>
      <c r="XP331" s="3"/>
      <c r="XQ331" s="3"/>
      <c r="XR331" s="3"/>
      <c r="XS331" s="3"/>
      <c r="XT331" s="3"/>
      <c r="XU331" s="3"/>
      <c r="XV331" s="3"/>
      <c r="XW331" s="3"/>
      <c r="XX331" s="3"/>
      <c r="XY331" s="3"/>
      <c r="XZ331" s="3"/>
      <c r="YA331" s="3"/>
      <c r="YB331" s="3"/>
      <c r="YC331" s="3"/>
      <c r="YD331" s="3"/>
      <c r="YE331" s="3"/>
      <c r="YF331" s="3"/>
      <c r="YG331" s="3"/>
      <c r="YH331" s="3"/>
      <c r="YI331" s="3"/>
      <c r="YJ331" s="3"/>
      <c r="YK331" s="3"/>
      <c r="YL331" s="3"/>
      <c r="YM331" s="3"/>
      <c r="YN331" s="3"/>
      <c r="YO331" s="3"/>
      <c r="YP331" s="3"/>
      <c r="YQ331" s="3"/>
      <c r="YR331" s="3"/>
      <c r="YS331" s="3"/>
      <c r="YT331" s="3"/>
      <c r="YU331" s="3"/>
      <c r="YV331" s="3"/>
      <c r="YW331" s="3"/>
      <c r="YX331" s="3"/>
      <c r="YY331" s="3"/>
      <c r="YZ331" s="3"/>
      <c r="ZA331" s="3"/>
      <c r="ZB331" s="3"/>
      <c r="ZC331" s="3"/>
      <c r="ZD331" s="3"/>
      <c r="ZE331" s="3"/>
      <c r="ZF331" s="3"/>
      <c r="ZG331" s="3"/>
      <c r="ZH331" s="3"/>
      <c r="ZI331" s="3"/>
      <c r="ZJ331" s="3"/>
      <c r="ZK331" s="3"/>
      <c r="ZL331" s="3"/>
      <c r="ZM331" s="3"/>
      <c r="ZN331" s="3"/>
      <c r="ZO331" s="3"/>
      <c r="ZP331" s="3"/>
      <c r="ZQ331" s="3"/>
      <c r="ZR331" s="3"/>
      <c r="ZS331" s="3"/>
      <c r="ZT331" s="3"/>
      <c r="ZU331" s="3"/>
      <c r="ZV331" s="3"/>
      <c r="ZW331" s="3"/>
      <c r="ZX331" s="3"/>
      <c r="ZY331" s="3"/>
      <c r="ZZ331" s="3"/>
      <c r="AAA331" s="3"/>
      <c r="AAB331" s="3"/>
      <c r="AAC331" s="3"/>
      <c r="AAD331" s="3"/>
      <c r="AAE331" s="3"/>
      <c r="AAF331" s="3"/>
      <c r="AAG331" s="3"/>
      <c r="AAH331" s="3"/>
      <c r="AAI331" s="3"/>
      <c r="AAJ331" s="3"/>
      <c r="AAK331" s="3"/>
      <c r="AAL331" s="3"/>
      <c r="AAM331" s="3"/>
      <c r="AAN331" s="3"/>
      <c r="AAO331" s="3"/>
      <c r="AAP331" s="3"/>
      <c r="AAQ331" s="3"/>
      <c r="AAR331" s="3"/>
      <c r="AAS331" s="3"/>
      <c r="AAT331" s="3"/>
      <c r="AAU331" s="3"/>
      <c r="AAV331" s="3"/>
      <c r="AAW331" s="3"/>
      <c r="AAX331" s="3"/>
      <c r="AAY331" s="3"/>
      <c r="AAZ331" s="3"/>
      <c r="ABA331" s="3"/>
      <c r="ABB331" s="3"/>
      <c r="ABC331" s="3"/>
      <c r="ABD331" s="3"/>
      <c r="ABE331" s="3"/>
      <c r="ABF331" s="3"/>
      <c r="ABG331" s="3"/>
      <c r="ABH331" s="3"/>
      <c r="ABI331" s="3"/>
      <c r="ABJ331" s="3"/>
      <c r="ABK331" s="3"/>
      <c r="ABL331" s="3"/>
      <c r="ABM331" s="3"/>
      <c r="ABN331" s="3"/>
      <c r="ABO331" s="3"/>
      <c r="ABP331" s="3"/>
      <c r="ABQ331" s="3"/>
      <c r="ABR331" s="3"/>
      <c r="ABS331" s="3"/>
      <c r="ABT331" s="3"/>
      <c r="ABU331" s="3"/>
      <c r="ABV331" s="3"/>
      <c r="ABW331" s="3"/>
      <c r="ABX331" s="3"/>
      <c r="ABY331" s="3"/>
      <c r="ABZ331" s="3"/>
      <c r="ACA331" s="3"/>
      <c r="ACB331" s="3"/>
      <c r="ACC331" s="3"/>
      <c r="ACD331" s="3"/>
      <c r="ACE331" s="3"/>
      <c r="ACF331" s="3"/>
      <c r="ACG331" s="3"/>
      <c r="ACH331" s="3"/>
      <c r="ACI331" s="3"/>
      <c r="ACJ331" s="3"/>
      <c r="ACK331" s="3"/>
      <c r="ACL331" s="3"/>
      <c r="ACM331" s="3"/>
      <c r="ACN331" s="3"/>
      <c r="ACO331" s="3"/>
      <c r="ACP331" s="3"/>
      <c r="ACQ331" s="3"/>
      <c r="ACR331" s="3"/>
      <c r="ACS331" s="3"/>
      <c r="ACT331" s="3"/>
      <c r="ACU331" s="3"/>
      <c r="ACV331" s="3"/>
      <c r="ACW331" s="3"/>
      <c r="ACX331" s="3"/>
      <c r="ACY331" s="3"/>
      <c r="ACZ331" s="3"/>
      <c r="ADA331" s="3"/>
      <c r="ADB331" s="3"/>
      <c r="ADC331" s="3"/>
      <c r="ADD331" s="3"/>
      <c r="ADE331" s="3"/>
      <c r="ADF331" s="3"/>
      <c r="ADG331" s="3"/>
      <c r="ADH331" s="3"/>
      <c r="ADI331" s="3"/>
      <c r="ADJ331" s="3"/>
      <c r="ADK331" s="3"/>
      <c r="ADL331" s="3"/>
      <c r="ADM331" s="3"/>
      <c r="ADN331" s="3"/>
      <c r="ADO331" s="3"/>
      <c r="ADP331" s="3"/>
      <c r="ADQ331" s="3"/>
      <c r="ADR331" s="3"/>
      <c r="ADS331" s="3"/>
      <c r="ADT331" s="3"/>
      <c r="ADU331" s="3"/>
      <c r="ADV331" s="3"/>
      <c r="ADW331" s="3"/>
      <c r="ADX331" s="3"/>
      <c r="ADY331" s="3"/>
      <c r="ADZ331" s="3"/>
      <c r="AEA331" s="3"/>
      <c r="AEB331" s="3"/>
      <c r="AEC331" s="3"/>
      <c r="AED331" s="3"/>
      <c r="AEE331" s="3"/>
      <c r="AEF331" s="3"/>
      <c r="AEG331" s="3"/>
      <c r="AEH331" s="3"/>
      <c r="AEI331" s="3"/>
      <c r="AEJ331" s="3"/>
      <c r="AEK331" s="3"/>
      <c r="AEL331" s="3"/>
      <c r="AEM331" s="3"/>
      <c r="AEN331" s="3"/>
      <c r="AEO331" s="3"/>
      <c r="AEP331" s="3"/>
      <c r="AEQ331" s="3"/>
      <c r="AER331" s="3"/>
      <c r="AES331" s="3"/>
      <c r="AET331" s="3"/>
      <c r="AEU331" s="3"/>
      <c r="AEV331" s="3"/>
      <c r="AEW331" s="3"/>
      <c r="AEX331" s="3"/>
      <c r="AEY331" s="3"/>
      <c r="AEZ331" s="3"/>
      <c r="AFA331" s="3"/>
      <c r="AFB331" s="3"/>
      <c r="AFC331" s="3"/>
      <c r="AFD331" s="3"/>
      <c r="AFE331" s="3"/>
      <c r="AFF331" s="3"/>
      <c r="AFG331" s="3"/>
      <c r="AFH331" s="3"/>
      <c r="AFI331" s="3"/>
      <c r="AFJ331" s="3"/>
      <c r="AFK331" s="3"/>
      <c r="AFL331" s="3"/>
      <c r="AFM331" s="3"/>
      <c r="AFN331" s="3"/>
      <c r="AFO331" s="3"/>
      <c r="AFP331" s="3"/>
      <c r="AFQ331" s="3"/>
      <c r="AFR331" s="3"/>
      <c r="AFS331" s="3"/>
      <c r="AFT331" s="3"/>
      <c r="AFU331" s="3"/>
      <c r="AFV331" s="3"/>
      <c r="AFW331" s="3"/>
      <c r="AFX331" s="3"/>
      <c r="AFY331" s="3"/>
      <c r="AFZ331" s="3"/>
      <c r="AGA331" s="3"/>
      <c r="AGB331" s="3"/>
      <c r="AGC331" s="3"/>
      <c r="AGD331" s="3"/>
      <c r="AGE331" s="3"/>
      <c r="AGF331" s="3"/>
      <c r="AGG331" s="3"/>
      <c r="AGH331" s="3"/>
      <c r="AGI331" s="3"/>
      <c r="AGJ331" s="3"/>
      <c r="AGK331" s="3"/>
      <c r="AGL331" s="3"/>
      <c r="AGM331" s="3"/>
      <c r="AGN331" s="3"/>
      <c r="AGO331" s="3"/>
      <c r="AGP331" s="3"/>
      <c r="AGQ331" s="3"/>
      <c r="AGR331" s="3"/>
      <c r="AGS331" s="3"/>
      <c r="AGT331" s="3"/>
      <c r="AGU331" s="3"/>
      <c r="AGV331" s="3"/>
      <c r="AGW331" s="3"/>
      <c r="AGX331" s="3"/>
      <c r="AGY331" s="3"/>
      <c r="AGZ331" s="3"/>
      <c r="AHA331" s="3"/>
      <c r="AHB331" s="3"/>
      <c r="AHC331" s="3"/>
      <c r="AHD331" s="3"/>
      <c r="AHE331" s="3"/>
      <c r="AHF331" s="3"/>
      <c r="AHG331" s="3"/>
      <c r="AHH331" s="3"/>
      <c r="AHI331" s="3"/>
      <c r="AHJ331" s="3"/>
      <c r="AHK331" s="3"/>
      <c r="AHL331" s="3"/>
      <c r="AHM331" s="3"/>
      <c r="AHN331" s="3"/>
      <c r="AHO331" s="3"/>
      <c r="AHP331" s="3"/>
      <c r="AHQ331" s="3"/>
      <c r="AHR331" s="3"/>
      <c r="AHS331" s="3"/>
      <c r="AHT331" s="3"/>
      <c r="AHU331" s="3"/>
      <c r="AHV331" s="3"/>
      <c r="AHW331" s="3"/>
      <c r="AHX331" s="3"/>
      <c r="AHY331" s="3"/>
      <c r="AHZ331" s="3"/>
      <c r="AIA331" s="3"/>
      <c r="AIB331" s="3"/>
      <c r="AIC331" s="3"/>
      <c r="AID331" s="3"/>
      <c r="AIE331" s="3"/>
      <c r="AIF331" s="3"/>
      <c r="AIG331" s="3"/>
      <c r="AIH331" s="3"/>
      <c r="AII331" s="3"/>
      <c r="AIJ331" s="3"/>
      <c r="AIK331" s="3"/>
      <c r="AIL331" s="3"/>
      <c r="AIM331" s="3"/>
      <c r="AIN331" s="3"/>
      <c r="AIO331" s="3"/>
      <c r="AIP331" s="3"/>
      <c r="AIQ331" s="3"/>
      <c r="AIR331" s="3"/>
      <c r="AIS331" s="3"/>
      <c r="AIT331" s="3"/>
      <c r="AIU331" s="3"/>
      <c r="AIV331" s="3"/>
      <c r="AIW331" s="3"/>
      <c r="AIX331" s="3"/>
      <c r="AIY331" s="3"/>
      <c r="AIZ331" s="3"/>
      <c r="AJA331" s="3"/>
      <c r="AJB331" s="3"/>
      <c r="AJC331" s="3"/>
      <c r="AJD331" s="3"/>
      <c r="AJE331" s="3"/>
      <c r="AJF331" s="3"/>
      <c r="AJG331" s="3"/>
      <c r="AJH331" s="3"/>
      <c r="AJI331" s="3"/>
      <c r="AJJ331" s="3"/>
      <c r="AJK331" s="3"/>
      <c r="AJL331" s="3"/>
      <c r="AJM331" s="3"/>
      <c r="AJN331" s="3"/>
      <c r="AJO331" s="3"/>
      <c r="AJP331" s="3"/>
      <c r="AJQ331" s="3"/>
      <c r="AJR331" s="3"/>
      <c r="AJS331" s="3"/>
      <c r="AJT331" s="3"/>
      <c r="AJU331" s="3"/>
      <c r="AJV331" s="3"/>
      <c r="AJW331" s="3"/>
      <c r="AJX331" s="3"/>
      <c r="AJY331" s="3"/>
      <c r="AJZ331" s="3"/>
      <c r="AKA331" s="3"/>
      <c r="AKB331" s="3"/>
      <c r="AKC331" s="3"/>
      <c r="AKD331" s="3"/>
      <c r="AKE331" s="3"/>
      <c r="AKF331" s="3"/>
      <c r="AKG331" s="3"/>
      <c r="AKH331" s="3"/>
      <c r="AKI331" s="3"/>
      <c r="AKJ331" s="3"/>
      <c r="AKK331" s="3"/>
      <c r="AKL331" s="3"/>
      <c r="AKM331" s="3"/>
      <c r="AKN331" s="3"/>
      <c r="AKO331" s="3"/>
      <c r="AKP331" s="3"/>
      <c r="AKQ331" s="3"/>
      <c r="AKR331" s="3"/>
      <c r="AKS331" s="3"/>
      <c r="AKT331" s="3"/>
      <c r="AKU331" s="3"/>
      <c r="AKV331" s="3"/>
      <c r="AKW331" s="3"/>
      <c r="AKX331" s="3"/>
      <c r="AKY331" s="3"/>
      <c r="AKZ331" s="3"/>
      <c r="ALA331" s="3"/>
      <c r="ALB331" s="3"/>
      <c r="ALC331" s="3"/>
      <c r="ALD331" s="3"/>
      <c r="ALE331" s="3"/>
      <c r="ALF331" s="3"/>
      <c r="ALG331" s="3"/>
      <c r="ALH331" s="3"/>
      <c r="ALI331" s="3"/>
      <c r="ALJ331" s="3"/>
      <c r="ALK331" s="3"/>
      <c r="ALL331" s="3"/>
      <c r="ALM331" s="3"/>
      <c r="ALN331" s="3"/>
      <c r="ALO331" s="3"/>
      <c r="ALP331" s="3"/>
      <c r="ALQ331" s="3"/>
      <c r="ALR331" s="3"/>
      <c r="ALS331" s="3"/>
      <c r="ALT331" s="3"/>
      <c r="ALU331" s="3"/>
      <c r="ALV331" s="3"/>
      <c r="ALW331" s="3"/>
      <c r="ALX331" s="3"/>
      <c r="ALY331" s="3"/>
      <c r="ALZ331" s="3"/>
      <c r="AMA331" s="3"/>
      <c r="AMB331" s="3"/>
      <c r="AMC331" s="3"/>
      <c r="AMD331" s="3"/>
      <c r="AME331" s="3"/>
      <c r="AMF331" s="3"/>
      <c r="AMG331" s="3"/>
      <c r="AMH331" s="3"/>
      <c r="AMI331" s="3"/>
      <c r="AMJ331" s="3"/>
      <c r="AMK331" s="3"/>
      <c r="AML331" s="3"/>
      <c r="AMM331" s="3"/>
    </row>
    <row r="332" spans="1:1027" ht="15" customHeight="1">
      <c r="A332" s="12">
        <v>922</v>
      </c>
      <c r="B332" s="13" t="s">
        <v>572</v>
      </c>
      <c r="C332" s="14"/>
      <c r="D332" s="14" t="s">
        <v>571</v>
      </c>
      <c r="E332" s="14" t="s">
        <v>92</v>
      </c>
      <c r="F332" s="15" t="s">
        <v>22</v>
      </c>
      <c r="G332" s="21"/>
      <c r="H332" s="58"/>
      <c r="I332" s="14"/>
      <c r="J332" s="14" t="s">
        <v>23</v>
      </c>
      <c r="K332" s="14"/>
      <c r="L332" s="14"/>
      <c r="M332" s="14" t="s">
        <v>29</v>
      </c>
      <c r="N332" s="14" t="s">
        <v>25</v>
      </c>
      <c r="O332" s="14"/>
      <c r="P332" s="14"/>
      <c r="Q332" s="14"/>
      <c r="R332" s="14" t="s">
        <v>30</v>
      </c>
    </row>
    <row r="333" spans="1:1027" ht="15" customHeight="1">
      <c r="A333" s="12">
        <v>1711</v>
      </c>
      <c r="B333" s="13" t="s">
        <v>573</v>
      </c>
      <c r="C333" s="14"/>
      <c r="D333" s="14" t="s">
        <v>571</v>
      </c>
      <c r="E333" s="14" t="s">
        <v>92</v>
      </c>
      <c r="F333" s="15" t="s">
        <v>22</v>
      </c>
      <c r="G333" s="14"/>
      <c r="H333" s="58">
        <v>0</v>
      </c>
      <c r="I333" s="14"/>
      <c r="J333" s="14" t="s">
        <v>23</v>
      </c>
      <c r="K333" s="14"/>
      <c r="L333" s="14"/>
      <c r="M333" s="14" t="s">
        <v>32</v>
      </c>
      <c r="N333" s="14" t="s">
        <v>25</v>
      </c>
      <c r="O333" s="14"/>
      <c r="P333" s="14"/>
      <c r="Q333" s="14"/>
      <c r="R333" s="14" t="s">
        <v>308</v>
      </c>
    </row>
    <row r="334" spans="1:1027" ht="15" customHeight="1">
      <c r="A334" s="12">
        <v>146</v>
      </c>
      <c r="B334" s="13" t="s">
        <v>574</v>
      </c>
      <c r="C334" s="14"/>
      <c r="D334" s="14" t="s">
        <v>575</v>
      </c>
      <c r="E334" s="14" t="s">
        <v>21</v>
      </c>
      <c r="F334" s="15" t="s">
        <v>22</v>
      </c>
      <c r="G334" s="14"/>
      <c r="H334" s="58"/>
      <c r="I334" s="15"/>
      <c r="J334" s="14" t="s">
        <v>23</v>
      </c>
      <c r="K334" s="15"/>
      <c r="L334" s="15"/>
      <c r="M334" s="14" t="s">
        <v>27</v>
      </c>
      <c r="N334" s="22" t="s">
        <v>25</v>
      </c>
      <c r="O334" s="14"/>
      <c r="P334" s="14"/>
      <c r="Q334" s="14"/>
      <c r="R334" s="17">
        <v>43633</v>
      </c>
      <c r="S334" s="1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WZ334" s="3"/>
      <c r="XA334" s="3"/>
      <c r="XB334" s="3"/>
      <c r="XC334" s="3"/>
      <c r="XD334" s="3"/>
      <c r="XE334" s="3"/>
      <c r="XF334" s="3"/>
      <c r="XG334" s="3"/>
      <c r="XH334" s="3"/>
      <c r="XI334" s="3"/>
      <c r="XJ334" s="3"/>
      <c r="XK334" s="3"/>
      <c r="XL334" s="3"/>
      <c r="XM334" s="3"/>
      <c r="XN334" s="3"/>
      <c r="XO334" s="3"/>
      <c r="XP334" s="3"/>
      <c r="XQ334" s="3"/>
      <c r="XR334" s="3"/>
      <c r="XS334" s="3"/>
      <c r="XT334" s="3"/>
      <c r="XU334" s="3"/>
      <c r="XV334" s="3"/>
      <c r="XW334" s="3"/>
      <c r="XX334" s="3"/>
      <c r="XY334" s="3"/>
      <c r="XZ334" s="3"/>
      <c r="YA334" s="3"/>
      <c r="YB334" s="3"/>
      <c r="YC334" s="3"/>
      <c r="YD334" s="3"/>
      <c r="YE334" s="3"/>
      <c r="YF334" s="3"/>
      <c r="YG334" s="3"/>
      <c r="YH334" s="3"/>
      <c r="YI334" s="3"/>
      <c r="YJ334" s="3"/>
      <c r="YK334" s="3"/>
      <c r="YL334" s="3"/>
      <c r="YM334" s="3"/>
      <c r="YN334" s="3"/>
      <c r="YO334" s="3"/>
      <c r="YP334" s="3"/>
      <c r="YQ334" s="3"/>
      <c r="YR334" s="3"/>
      <c r="YS334" s="3"/>
      <c r="YT334" s="3"/>
      <c r="YU334" s="3"/>
      <c r="YV334" s="3"/>
      <c r="YW334" s="3"/>
      <c r="YX334" s="3"/>
      <c r="YY334" s="3"/>
      <c r="YZ334" s="3"/>
      <c r="ZA334" s="3"/>
      <c r="ZB334" s="3"/>
      <c r="ZC334" s="3"/>
      <c r="ZD334" s="3"/>
      <c r="ZE334" s="3"/>
      <c r="ZF334" s="3"/>
      <c r="ZG334" s="3"/>
      <c r="ZH334" s="3"/>
      <c r="ZI334" s="3"/>
      <c r="ZJ334" s="3"/>
      <c r="ZK334" s="3"/>
      <c r="ZL334" s="3"/>
      <c r="ZM334" s="3"/>
      <c r="ZN334" s="3"/>
      <c r="ZO334" s="3"/>
      <c r="ZP334" s="3"/>
      <c r="ZQ334" s="3"/>
      <c r="ZR334" s="3"/>
      <c r="ZS334" s="3"/>
      <c r="ZT334" s="3"/>
      <c r="ZU334" s="3"/>
      <c r="ZV334" s="3"/>
      <c r="ZW334" s="3"/>
      <c r="ZX334" s="3"/>
      <c r="ZY334" s="3"/>
      <c r="ZZ334" s="3"/>
      <c r="AAA334" s="3"/>
      <c r="AAB334" s="3"/>
      <c r="AAC334" s="3"/>
      <c r="AAD334" s="3"/>
      <c r="AAE334" s="3"/>
      <c r="AAF334" s="3"/>
      <c r="AAG334" s="3"/>
      <c r="AAH334" s="3"/>
      <c r="AAI334" s="3"/>
      <c r="AAJ334" s="3"/>
      <c r="AAK334" s="3"/>
      <c r="AAL334" s="3"/>
      <c r="AAM334" s="3"/>
      <c r="AAN334" s="3"/>
      <c r="AAO334" s="3"/>
      <c r="AAP334" s="3"/>
      <c r="AAQ334" s="3"/>
      <c r="AAR334" s="3"/>
      <c r="AAS334" s="3"/>
      <c r="AAT334" s="3"/>
      <c r="AAU334" s="3"/>
      <c r="AAV334" s="3"/>
      <c r="AAW334" s="3"/>
      <c r="AAX334" s="3"/>
      <c r="AAY334" s="3"/>
      <c r="AAZ334" s="3"/>
      <c r="ABA334" s="3"/>
      <c r="ABB334" s="3"/>
      <c r="ABC334" s="3"/>
      <c r="ABD334" s="3"/>
      <c r="ABE334" s="3"/>
      <c r="ABF334" s="3"/>
      <c r="ABG334" s="3"/>
      <c r="ABH334" s="3"/>
      <c r="ABI334" s="3"/>
      <c r="ABJ334" s="3"/>
      <c r="ABK334" s="3"/>
      <c r="ABL334" s="3"/>
      <c r="ABM334" s="3"/>
      <c r="ABN334" s="3"/>
      <c r="ABO334" s="3"/>
      <c r="ABP334" s="3"/>
      <c r="ABQ334" s="3"/>
      <c r="ABR334" s="3"/>
      <c r="ABS334" s="3"/>
      <c r="ABT334" s="3"/>
      <c r="ABU334" s="3"/>
      <c r="ABV334" s="3"/>
      <c r="ABW334" s="3"/>
      <c r="ABX334" s="3"/>
      <c r="ABY334" s="3"/>
      <c r="ABZ334" s="3"/>
      <c r="ACA334" s="3"/>
      <c r="ACB334" s="3"/>
      <c r="ACC334" s="3"/>
      <c r="ACD334" s="3"/>
      <c r="ACE334" s="3"/>
      <c r="ACF334" s="3"/>
      <c r="ACG334" s="3"/>
      <c r="ACH334" s="3"/>
      <c r="ACI334" s="3"/>
      <c r="ACJ334" s="3"/>
      <c r="ACK334" s="3"/>
      <c r="ACL334" s="3"/>
      <c r="ACM334" s="3"/>
      <c r="ACN334" s="3"/>
      <c r="ACO334" s="3"/>
      <c r="ACP334" s="3"/>
      <c r="ACQ334" s="3"/>
      <c r="ACR334" s="3"/>
      <c r="ACS334" s="3"/>
      <c r="ACT334" s="3"/>
      <c r="ACU334" s="3"/>
      <c r="ACV334" s="3"/>
      <c r="ACW334" s="3"/>
      <c r="ACX334" s="3"/>
      <c r="ACY334" s="3"/>
      <c r="ACZ334" s="3"/>
      <c r="ADA334" s="3"/>
      <c r="ADB334" s="3"/>
      <c r="ADC334" s="3"/>
      <c r="ADD334" s="3"/>
      <c r="ADE334" s="3"/>
      <c r="ADF334" s="3"/>
      <c r="ADG334" s="3"/>
      <c r="ADH334" s="3"/>
      <c r="ADI334" s="3"/>
      <c r="ADJ334" s="3"/>
      <c r="ADK334" s="3"/>
      <c r="ADL334" s="3"/>
      <c r="ADM334" s="3"/>
      <c r="ADN334" s="3"/>
      <c r="ADO334" s="3"/>
      <c r="ADP334" s="3"/>
      <c r="ADQ334" s="3"/>
      <c r="ADR334" s="3"/>
      <c r="ADS334" s="3"/>
      <c r="ADT334" s="3"/>
      <c r="ADU334" s="3"/>
      <c r="ADV334" s="3"/>
      <c r="ADW334" s="3"/>
      <c r="ADX334" s="3"/>
      <c r="ADY334" s="3"/>
      <c r="ADZ334" s="3"/>
      <c r="AEA334" s="3"/>
      <c r="AEB334" s="3"/>
      <c r="AEC334" s="3"/>
      <c r="AED334" s="3"/>
      <c r="AEE334" s="3"/>
      <c r="AEF334" s="3"/>
      <c r="AEG334" s="3"/>
      <c r="AEH334" s="3"/>
      <c r="AEI334" s="3"/>
      <c r="AEJ334" s="3"/>
      <c r="AEK334" s="3"/>
      <c r="AEL334" s="3"/>
      <c r="AEM334" s="3"/>
      <c r="AEN334" s="3"/>
      <c r="AEO334" s="3"/>
      <c r="AEP334" s="3"/>
      <c r="AEQ334" s="3"/>
      <c r="AER334" s="3"/>
      <c r="AES334" s="3"/>
      <c r="AET334" s="3"/>
      <c r="AEU334" s="3"/>
      <c r="AEV334" s="3"/>
      <c r="AEW334" s="3"/>
      <c r="AEX334" s="3"/>
      <c r="AEY334" s="3"/>
      <c r="AEZ334" s="3"/>
      <c r="AFA334" s="3"/>
      <c r="AFB334" s="3"/>
      <c r="AFC334" s="3"/>
      <c r="AFD334" s="3"/>
      <c r="AFE334" s="3"/>
      <c r="AFF334" s="3"/>
      <c r="AFG334" s="3"/>
      <c r="AFH334" s="3"/>
      <c r="AFI334" s="3"/>
      <c r="AFJ334" s="3"/>
      <c r="AFK334" s="3"/>
      <c r="AFL334" s="3"/>
      <c r="AFM334" s="3"/>
      <c r="AFN334" s="3"/>
      <c r="AFO334" s="3"/>
      <c r="AFP334" s="3"/>
      <c r="AFQ334" s="3"/>
      <c r="AFR334" s="3"/>
      <c r="AFS334" s="3"/>
      <c r="AFT334" s="3"/>
      <c r="AFU334" s="3"/>
      <c r="AFV334" s="3"/>
      <c r="AFW334" s="3"/>
      <c r="AFX334" s="3"/>
      <c r="AFY334" s="3"/>
      <c r="AFZ334" s="3"/>
      <c r="AGA334" s="3"/>
      <c r="AGB334" s="3"/>
      <c r="AGC334" s="3"/>
      <c r="AGD334" s="3"/>
      <c r="AGE334" s="3"/>
      <c r="AGF334" s="3"/>
      <c r="AGG334" s="3"/>
      <c r="AGH334" s="3"/>
      <c r="AGI334" s="3"/>
      <c r="AGJ334" s="3"/>
      <c r="AGK334" s="3"/>
      <c r="AGL334" s="3"/>
      <c r="AGM334" s="3"/>
      <c r="AGN334" s="3"/>
      <c r="AGO334" s="3"/>
      <c r="AGP334" s="3"/>
      <c r="AGQ334" s="3"/>
      <c r="AGR334" s="3"/>
      <c r="AGS334" s="3"/>
      <c r="AGT334" s="3"/>
      <c r="AGU334" s="3"/>
      <c r="AGV334" s="3"/>
      <c r="AGW334" s="3"/>
      <c r="AGX334" s="3"/>
      <c r="AGY334" s="3"/>
      <c r="AGZ334" s="3"/>
      <c r="AHA334" s="3"/>
      <c r="AHB334" s="3"/>
      <c r="AHC334" s="3"/>
      <c r="AHD334" s="3"/>
      <c r="AHE334" s="3"/>
      <c r="AHF334" s="3"/>
      <c r="AHG334" s="3"/>
      <c r="AHH334" s="3"/>
      <c r="AHI334" s="3"/>
      <c r="AHJ334" s="3"/>
      <c r="AHK334" s="3"/>
      <c r="AHL334" s="3"/>
      <c r="AHM334" s="3"/>
      <c r="AHN334" s="3"/>
      <c r="AHO334" s="3"/>
      <c r="AHP334" s="3"/>
      <c r="AHQ334" s="3"/>
      <c r="AHR334" s="3"/>
      <c r="AHS334" s="3"/>
      <c r="AHT334" s="3"/>
      <c r="AHU334" s="3"/>
      <c r="AHV334" s="3"/>
      <c r="AHW334" s="3"/>
      <c r="AHX334" s="3"/>
      <c r="AHY334" s="3"/>
      <c r="AHZ334" s="3"/>
      <c r="AIA334" s="3"/>
      <c r="AIB334" s="3"/>
      <c r="AIC334" s="3"/>
      <c r="AID334" s="3"/>
      <c r="AIE334" s="3"/>
      <c r="AIF334" s="3"/>
      <c r="AIG334" s="3"/>
      <c r="AIH334" s="3"/>
      <c r="AII334" s="3"/>
      <c r="AIJ334" s="3"/>
      <c r="AIK334" s="3"/>
      <c r="AIL334" s="3"/>
      <c r="AIM334" s="3"/>
      <c r="AIN334" s="3"/>
      <c r="AIO334" s="3"/>
      <c r="AIP334" s="3"/>
      <c r="AIQ334" s="3"/>
      <c r="AIR334" s="3"/>
      <c r="AIS334" s="3"/>
      <c r="AIT334" s="3"/>
      <c r="AIU334" s="3"/>
      <c r="AIV334" s="3"/>
      <c r="AIW334" s="3"/>
      <c r="AIX334" s="3"/>
      <c r="AIY334" s="3"/>
      <c r="AIZ334" s="3"/>
      <c r="AJA334" s="3"/>
      <c r="AJB334" s="3"/>
      <c r="AJC334" s="3"/>
      <c r="AJD334" s="3"/>
      <c r="AJE334" s="3"/>
      <c r="AJF334" s="3"/>
      <c r="AJG334" s="3"/>
      <c r="AJH334" s="3"/>
      <c r="AJI334" s="3"/>
      <c r="AJJ334" s="3"/>
      <c r="AJK334" s="3"/>
      <c r="AJL334" s="3"/>
      <c r="AJM334" s="3"/>
      <c r="AJN334" s="3"/>
      <c r="AJO334" s="3"/>
      <c r="AJP334" s="3"/>
      <c r="AJQ334" s="3"/>
      <c r="AJR334" s="3"/>
      <c r="AJS334" s="3"/>
      <c r="AJT334" s="3"/>
      <c r="AJU334" s="3"/>
      <c r="AJV334" s="3"/>
      <c r="AJW334" s="3"/>
      <c r="AJX334" s="3"/>
      <c r="AJY334" s="3"/>
      <c r="AJZ334" s="3"/>
      <c r="AKA334" s="3"/>
      <c r="AKB334" s="3"/>
      <c r="AKC334" s="3"/>
      <c r="AKD334" s="3"/>
      <c r="AKE334" s="3"/>
      <c r="AKF334" s="3"/>
      <c r="AKG334" s="3"/>
      <c r="AKH334" s="3"/>
      <c r="AKI334" s="3"/>
      <c r="AKJ334" s="3"/>
      <c r="AKK334" s="3"/>
      <c r="AKL334" s="3"/>
      <c r="AKM334" s="3"/>
      <c r="AKN334" s="3"/>
      <c r="AKO334" s="3"/>
      <c r="AKP334" s="3"/>
      <c r="AKQ334" s="3"/>
      <c r="AKR334" s="3"/>
      <c r="AKS334" s="3"/>
      <c r="AKT334" s="3"/>
      <c r="AKU334" s="3"/>
      <c r="AKV334" s="3"/>
      <c r="AKW334" s="3"/>
      <c r="AKX334" s="3"/>
      <c r="AKY334" s="3"/>
      <c r="AKZ334" s="3"/>
      <c r="ALA334" s="3"/>
      <c r="ALB334" s="3"/>
      <c r="ALC334" s="3"/>
      <c r="ALD334" s="3"/>
      <c r="ALE334" s="3"/>
      <c r="ALF334" s="3"/>
      <c r="ALG334" s="3"/>
      <c r="ALH334" s="3"/>
      <c r="ALI334" s="3"/>
      <c r="ALJ334" s="3"/>
      <c r="ALK334" s="3"/>
      <c r="ALL334" s="3"/>
      <c r="ALM334" s="3"/>
      <c r="ALN334" s="3"/>
      <c r="ALO334" s="3"/>
      <c r="ALP334" s="3"/>
      <c r="ALQ334" s="3"/>
      <c r="ALR334" s="3"/>
      <c r="ALS334" s="3"/>
      <c r="ALT334" s="3"/>
      <c r="ALU334" s="3"/>
      <c r="ALV334" s="3"/>
      <c r="ALW334" s="3"/>
      <c r="ALX334" s="3"/>
      <c r="ALY334" s="3"/>
      <c r="ALZ334" s="3"/>
      <c r="AMA334" s="3"/>
      <c r="AMB334" s="3"/>
      <c r="AMC334" s="3"/>
      <c r="AMD334" s="3"/>
      <c r="AME334" s="3"/>
      <c r="AMF334" s="3"/>
      <c r="AMG334" s="3"/>
      <c r="AMH334" s="3"/>
      <c r="AMI334" s="3"/>
      <c r="AMJ334" s="3"/>
      <c r="AMK334" s="3"/>
      <c r="AML334" s="3"/>
      <c r="AMM334" s="3"/>
    </row>
    <row r="335" spans="1:1027" ht="15" customHeight="1">
      <c r="A335" s="12">
        <v>923</v>
      </c>
      <c r="B335" s="13" t="s">
        <v>576</v>
      </c>
      <c r="C335" s="14"/>
      <c r="D335" s="14" t="s">
        <v>575</v>
      </c>
      <c r="E335" s="14" t="s">
        <v>21</v>
      </c>
      <c r="F335" s="15" t="s">
        <v>22</v>
      </c>
      <c r="G335" s="21"/>
      <c r="H335" s="58"/>
      <c r="I335" s="14"/>
      <c r="J335" s="14" t="s">
        <v>23</v>
      </c>
      <c r="K335" s="14"/>
      <c r="L335" s="14"/>
      <c r="M335" s="14" t="s">
        <v>29</v>
      </c>
      <c r="N335" s="14" t="s">
        <v>25</v>
      </c>
      <c r="O335" s="14"/>
      <c r="P335" s="14"/>
      <c r="Q335" s="14"/>
      <c r="R335" s="14" t="s">
        <v>30</v>
      </c>
    </row>
    <row r="336" spans="1:1027" ht="15" customHeight="1">
      <c r="A336" s="12">
        <v>1712</v>
      </c>
      <c r="B336" s="13" t="s">
        <v>577</v>
      </c>
      <c r="C336" s="14"/>
      <c r="D336" s="14" t="s">
        <v>575</v>
      </c>
      <c r="E336" s="14" t="s">
        <v>21</v>
      </c>
      <c r="F336" s="15" t="s">
        <v>22</v>
      </c>
      <c r="G336" s="14"/>
      <c r="H336" s="58">
        <v>0</v>
      </c>
      <c r="I336" s="14"/>
      <c r="J336" s="14" t="s">
        <v>23</v>
      </c>
      <c r="K336" s="14"/>
      <c r="L336" s="14"/>
      <c r="M336" s="14" t="s">
        <v>32</v>
      </c>
      <c r="N336" s="14" t="s">
        <v>25</v>
      </c>
      <c r="O336" s="14"/>
      <c r="P336" s="14"/>
      <c r="Q336" s="14"/>
      <c r="R336" s="14" t="s">
        <v>308</v>
      </c>
    </row>
    <row r="337" spans="1:1027" ht="15" customHeight="1">
      <c r="A337" s="12">
        <v>147</v>
      </c>
      <c r="B337" s="13" t="s">
        <v>578</v>
      </c>
      <c r="C337" s="14"/>
      <c r="D337" s="14" t="s">
        <v>579</v>
      </c>
      <c r="E337" s="14" t="s">
        <v>580</v>
      </c>
      <c r="F337" s="15" t="s">
        <v>22</v>
      </c>
      <c r="G337" s="14"/>
      <c r="H337" s="58"/>
      <c r="I337" s="15"/>
      <c r="J337" s="14" t="s">
        <v>23</v>
      </c>
      <c r="K337" s="15"/>
      <c r="L337" s="15"/>
      <c r="M337" s="14" t="s">
        <v>27</v>
      </c>
      <c r="N337" s="22" t="s">
        <v>25</v>
      </c>
      <c r="O337" s="14"/>
      <c r="P337" s="14"/>
      <c r="Q337" s="14"/>
      <c r="R337" s="17">
        <v>43633</v>
      </c>
      <c r="S337" s="1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WZ337" s="3"/>
      <c r="XA337" s="3"/>
      <c r="XB337" s="3"/>
      <c r="XC337" s="3"/>
      <c r="XD337" s="3"/>
      <c r="XE337" s="3"/>
      <c r="XF337" s="3"/>
      <c r="XG337" s="3"/>
      <c r="XH337" s="3"/>
      <c r="XI337" s="3"/>
      <c r="XJ337" s="3"/>
      <c r="XK337" s="3"/>
      <c r="XL337" s="3"/>
      <c r="XM337" s="3"/>
      <c r="XN337" s="3"/>
      <c r="XO337" s="3"/>
      <c r="XP337" s="3"/>
      <c r="XQ337" s="3"/>
      <c r="XR337" s="3"/>
      <c r="XS337" s="3"/>
      <c r="XT337" s="3"/>
      <c r="XU337" s="3"/>
      <c r="XV337" s="3"/>
      <c r="XW337" s="3"/>
      <c r="XX337" s="3"/>
      <c r="XY337" s="3"/>
      <c r="XZ337" s="3"/>
      <c r="YA337" s="3"/>
      <c r="YB337" s="3"/>
      <c r="YC337" s="3"/>
      <c r="YD337" s="3"/>
      <c r="YE337" s="3"/>
      <c r="YF337" s="3"/>
      <c r="YG337" s="3"/>
      <c r="YH337" s="3"/>
      <c r="YI337" s="3"/>
      <c r="YJ337" s="3"/>
      <c r="YK337" s="3"/>
      <c r="YL337" s="3"/>
      <c r="YM337" s="3"/>
      <c r="YN337" s="3"/>
      <c r="YO337" s="3"/>
      <c r="YP337" s="3"/>
      <c r="YQ337" s="3"/>
      <c r="YR337" s="3"/>
      <c r="YS337" s="3"/>
      <c r="YT337" s="3"/>
      <c r="YU337" s="3"/>
      <c r="YV337" s="3"/>
      <c r="YW337" s="3"/>
      <c r="YX337" s="3"/>
      <c r="YY337" s="3"/>
      <c r="YZ337" s="3"/>
      <c r="ZA337" s="3"/>
      <c r="ZB337" s="3"/>
      <c r="ZC337" s="3"/>
      <c r="ZD337" s="3"/>
      <c r="ZE337" s="3"/>
      <c r="ZF337" s="3"/>
      <c r="ZG337" s="3"/>
      <c r="ZH337" s="3"/>
      <c r="ZI337" s="3"/>
      <c r="ZJ337" s="3"/>
      <c r="ZK337" s="3"/>
      <c r="ZL337" s="3"/>
      <c r="ZM337" s="3"/>
      <c r="ZN337" s="3"/>
      <c r="ZO337" s="3"/>
      <c r="ZP337" s="3"/>
      <c r="ZQ337" s="3"/>
      <c r="ZR337" s="3"/>
      <c r="ZS337" s="3"/>
      <c r="ZT337" s="3"/>
      <c r="ZU337" s="3"/>
      <c r="ZV337" s="3"/>
      <c r="ZW337" s="3"/>
      <c r="ZX337" s="3"/>
      <c r="ZY337" s="3"/>
      <c r="ZZ337" s="3"/>
      <c r="AAA337" s="3"/>
      <c r="AAB337" s="3"/>
      <c r="AAC337" s="3"/>
      <c r="AAD337" s="3"/>
      <c r="AAE337" s="3"/>
      <c r="AAF337" s="3"/>
      <c r="AAG337" s="3"/>
      <c r="AAH337" s="3"/>
      <c r="AAI337" s="3"/>
      <c r="AAJ337" s="3"/>
      <c r="AAK337" s="3"/>
      <c r="AAL337" s="3"/>
      <c r="AAM337" s="3"/>
      <c r="AAN337" s="3"/>
      <c r="AAO337" s="3"/>
      <c r="AAP337" s="3"/>
      <c r="AAQ337" s="3"/>
      <c r="AAR337" s="3"/>
      <c r="AAS337" s="3"/>
      <c r="AAT337" s="3"/>
      <c r="AAU337" s="3"/>
      <c r="AAV337" s="3"/>
      <c r="AAW337" s="3"/>
      <c r="AAX337" s="3"/>
      <c r="AAY337" s="3"/>
      <c r="AAZ337" s="3"/>
      <c r="ABA337" s="3"/>
      <c r="ABB337" s="3"/>
      <c r="ABC337" s="3"/>
      <c r="ABD337" s="3"/>
      <c r="ABE337" s="3"/>
      <c r="ABF337" s="3"/>
      <c r="ABG337" s="3"/>
      <c r="ABH337" s="3"/>
      <c r="ABI337" s="3"/>
      <c r="ABJ337" s="3"/>
      <c r="ABK337" s="3"/>
      <c r="ABL337" s="3"/>
      <c r="ABM337" s="3"/>
      <c r="ABN337" s="3"/>
      <c r="ABO337" s="3"/>
      <c r="ABP337" s="3"/>
      <c r="ABQ337" s="3"/>
      <c r="ABR337" s="3"/>
      <c r="ABS337" s="3"/>
      <c r="ABT337" s="3"/>
      <c r="ABU337" s="3"/>
      <c r="ABV337" s="3"/>
      <c r="ABW337" s="3"/>
      <c r="ABX337" s="3"/>
      <c r="ABY337" s="3"/>
      <c r="ABZ337" s="3"/>
      <c r="ACA337" s="3"/>
      <c r="ACB337" s="3"/>
      <c r="ACC337" s="3"/>
      <c r="ACD337" s="3"/>
      <c r="ACE337" s="3"/>
      <c r="ACF337" s="3"/>
      <c r="ACG337" s="3"/>
      <c r="ACH337" s="3"/>
      <c r="ACI337" s="3"/>
      <c r="ACJ337" s="3"/>
      <c r="ACK337" s="3"/>
      <c r="ACL337" s="3"/>
      <c r="ACM337" s="3"/>
      <c r="ACN337" s="3"/>
      <c r="ACO337" s="3"/>
      <c r="ACP337" s="3"/>
      <c r="ACQ337" s="3"/>
      <c r="ACR337" s="3"/>
      <c r="ACS337" s="3"/>
      <c r="ACT337" s="3"/>
      <c r="ACU337" s="3"/>
      <c r="ACV337" s="3"/>
      <c r="ACW337" s="3"/>
      <c r="ACX337" s="3"/>
      <c r="ACY337" s="3"/>
      <c r="ACZ337" s="3"/>
      <c r="ADA337" s="3"/>
      <c r="ADB337" s="3"/>
      <c r="ADC337" s="3"/>
      <c r="ADD337" s="3"/>
      <c r="ADE337" s="3"/>
      <c r="ADF337" s="3"/>
      <c r="ADG337" s="3"/>
      <c r="ADH337" s="3"/>
      <c r="ADI337" s="3"/>
      <c r="ADJ337" s="3"/>
      <c r="ADK337" s="3"/>
      <c r="ADL337" s="3"/>
      <c r="ADM337" s="3"/>
      <c r="ADN337" s="3"/>
      <c r="ADO337" s="3"/>
      <c r="ADP337" s="3"/>
      <c r="ADQ337" s="3"/>
      <c r="ADR337" s="3"/>
      <c r="ADS337" s="3"/>
      <c r="ADT337" s="3"/>
      <c r="ADU337" s="3"/>
      <c r="ADV337" s="3"/>
      <c r="ADW337" s="3"/>
      <c r="ADX337" s="3"/>
      <c r="ADY337" s="3"/>
      <c r="ADZ337" s="3"/>
      <c r="AEA337" s="3"/>
      <c r="AEB337" s="3"/>
      <c r="AEC337" s="3"/>
      <c r="AED337" s="3"/>
      <c r="AEE337" s="3"/>
      <c r="AEF337" s="3"/>
      <c r="AEG337" s="3"/>
      <c r="AEH337" s="3"/>
      <c r="AEI337" s="3"/>
      <c r="AEJ337" s="3"/>
      <c r="AEK337" s="3"/>
      <c r="AEL337" s="3"/>
      <c r="AEM337" s="3"/>
      <c r="AEN337" s="3"/>
      <c r="AEO337" s="3"/>
      <c r="AEP337" s="3"/>
      <c r="AEQ337" s="3"/>
      <c r="AER337" s="3"/>
      <c r="AES337" s="3"/>
      <c r="AET337" s="3"/>
      <c r="AEU337" s="3"/>
      <c r="AEV337" s="3"/>
      <c r="AEW337" s="3"/>
      <c r="AEX337" s="3"/>
      <c r="AEY337" s="3"/>
      <c r="AEZ337" s="3"/>
      <c r="AFA337" s="3"/>
      <c r="AFB337" s="3"/>
      <c r="AFC337" s="3"/>
      <c r="AFD337" s="3"/>
      <c r="AFE337" s="3"/>
      <c r="AFF337" s="3"/>
      <c r="AFG337" s="3"/>
      <c r="AFH337" s="3"/>
      <c r="AFI337" s="3"/>
      <c r="AFJ337" s="3"/>
      <c r="AFK337" s="3"/>
      <c r="AFL337" s="3"/>
      <c r="AFM337" s="3"/>
      <c r="AFN337" s="3"/>
      <c r="AFO337" s="3"/>
      <c r="AFP337" s="3"/>
      <c r="AFQ337" s="3"/>
      <c r="AFR337" s="3"/>
      <c r="AFS337" s="3"/>
      <c r="AFT337" s="3"/>
      <c r="AFU337" s="3"/>
      <c r="AFV337" s="3"/>
      <c r="AFW337" s="3"/>
      <c r="AFX337" s="3"/>
      <c r="AFY337" s="3"/>
      <c r="AFZ337" s="3"/>
      <c r="AGA337" s="3"/>
      <c r="AGB337" s="3"/>
      <c r="AGC337" s="3"/>
      <c r="AGD337" s="3"/>
      <c r="AGE337" s="3"/>
      <c r="AGF337" s="3"/>
      <c r="AGG337" s="3"/>
      <c r="AGH337" s="3"/>
      <c r="AGI337" s="3"/>
      <c r="AGJ337" s="3"/>
      <c r="AGK337" s="3"/>
      <c r="AGL337" s="3"/>
      <c r="AGM337" s="3"/>
      <c r="AGN337" s="3"/>
      <c r="AGO337" s="3"/>
      <c r="AGP337" s="3"/>
      <c r="AGQ337" s="3"/>
      <c r="AGR337" s="3"/>
      <c r="AGS337" s="3"/>
      <c r="AGT337" s="3"/>
      <c r="AGU337" s="3"/>
      <c r="AGV337" s="3"/>
      <c r="AGW337" s="3"/>
      <c r="AGX337" s="3"/>
      <c r="AGY337" s="3"/>
      <c r="AGZ337" s="3"/>
      <c r="AHA337" s="3"/>
      <c r="AHB337" s="3"/>
      <c r="AHC337" s="3"/>
      <c r="AHD337" s="3"/>
      <c r="AHE337" s="3"/>
      <c r="AHF337" s="3"/>
      <c r="AHG337" s="3"/>
      <c r="AHH337" s="3"/>
      <c r="AHI337" s="3"/>
      <c r="AHJ337" s="3"/>
      <c r="AHK337" s="3"/>
      <c r="AHL337" s="3"/>
      <c r="AHM337" s="3"/>
      <c r="AHN337" s="3"/>
      <c r="AHO337" s="3"/>
      <c r="AHP337" s="3"/>
      <c r="AHQ337" s="3"/>
      <c r="AHR337" s="3"/>
      <c r="AHS337" s="3"/>
      <c r="AHT337" s="3"/>
      <c r="AHU337" s="3"/>
      <c r="AHV337" s="3"/>
      <c r="AHW337" s="3"/>
      <c r="AHX337" s="3"/>
      <c r="AHY337" s="3"/>
      <c r="AHZ337" s="3"/>
      <c r="AIA337" s="3"/>
      <c r="AIB337" s="3"/>
      <c r="AIC337" s="3"/>
      <c r="AID337" s="3"/>
      <c r="AIE337" s="3"/>
      <c r="AIF337" s="3"/>
      <c r="AIG337" s="3"/>
      <c r="AIH337" s="3"/>
      <c r="AII337" s="3"/>
      <c r="AIJ337" s="3"/>
      <c r="AIK337" s="3"/>
      <c r="AIL337" s="3"/>
      <c r="AIM337" s="3"/>
      <c r="AIN337" s="3"/>
      <c r="AIO337" s="3"/>
      <c r="AIP337" s="3"/>
      <c r="AIQ337" s="3"/>
      <c r="AIR337" s="3"/>
      <c r="AIS337" s="3"/>
      <c r="AIT337" s="3"/>
      <c r="AIU337" s="3"/>
      <c r="AIV337" s="3"/>
      <c r="AIW337" s="3"/>
      <c r="AIX337" s="3"/>
      <c r="AIY337" s="3"/>
      <c r="AIZ337" s="3"/>
      <c r="AJA337" s="3"/>
      <c r="AJB337" s="3"/>
      <c r="AJC337" s="3"/>
      <c r="AJD337" s="3"/>
      <c r="AJE337" s="3"/>
      <c r="AJF337" s="3"/>
      <c r="AJG337" s="3"/>
      <c r="AJH337" s="3"/>
      <c r="AJI337" s="3"/>
      <c r="AJJ337" s="3"/>
      <c r="AJK337" s="3"/>
      <c r="AJL337" s="3"/>
      <c r="AJM337" s="3"/>
      <c r="AJN337" s="3"/>
      <c r="AJO337" s="3"/>
      <c r="AJP337" s="3"/>
      <c r="AJQ337" s="3"/>
      <c r="AJR337" s="3"/>
      <c r="AJS337" s="3"/>
      <c r="AJT337" s="3"/>
      <c r="AJU337" s="3"/>
      <c r="AJV337" s="3"/>
      <c r="AJW337" s="3"/>
      <c r="AJX337" s="3"/>
      <c r="AJY337" s="3"/>
      <c r="AJZ337" s="3"/>
      <c r="AKA337" s="3"/>
      <c r="AKB337" s="3"/>
      <c r="AKC337" s="3"/>
      <c r="AKD337" s="3"/>
      <c r="AKE337" s="3"/>
      <c r="AKF337" s="3"/>
      <c r="AKG337" s="3"/>
      <c r="AKH337" s="3"/>
      <c r="AKI337" s="3"/>
      <c r="AKJ337" s="3"/>
      <c r="AKK337" s="3"/>
      <c r="AKL337" s="3"/>
      <c r="AKM337" s="3"/>
      <c r="AKN337" s="3"/>
      <c r="AKO337" s="3"/>
      <c r="AKP337" s="3"/>
      <c r="AKQ337" s="3"/>
      <c r="AKR337" s="3"/>
      <c r="AKS337" s="3"/>
      <c r="AKT337" s="3"/>
      <c r="AKU337" s="3"/>
      <c r="AKV337" s="3"/>
      <c r="AKW337" s="3"/>
      <c r="AKX337" s="3"/>
      <c r="AKY337" s="3"/>
      <c r="AKZ337" s="3"/>
      <c r="ALA337" s="3"/>
      <c r="ALB337" s="3"/>
      <c r="ALC337" s="3"/>
      <c r="ALD337" s="3"/>
      <c r="ALE337" s="3"/>
      <c r="ALF337" s="3"/>
      <c r="ALG337" s="3"/>
      <c r="ALH337" s="3"/>
      <c r="ALI337" s="3"/>
      <c r="ALJ337" s="3"/>
      <c r="ALK337" s="3"/>
      <c r="ALL337" s="3"/>
      <c r="ALM337" s="3"/>
      <c r="ALN337" s="3"/>
      <c r="ALO337" s="3"/>
      <c r="ALP337" s="3"/>
      <c r="ALQ337" s="3"/>
      <c r="ALR337" s="3"/>
      <c r="ALS337" s="3"/>
      <c r="ALT337" s="3"/>
      <c r="ALU337" s="3"/>
      <c r="ALV337" s="3"/>
      <c r="ALW337" s="3"/>
      <c r="ALX337" s="3"/>
      <c r="ALY337" s="3"/>
      <c r="ALZ337" s="3"/>
      <c r="AMA337" s="3"/>
      <c r="AMB337" s="3"/>
      <c r="AMC337" s="3"/>
      <c r="AMD337" s="3"/>
      <c r="AME337" s="3"/>
      <c r="AMF337" s="3"/>
      <c r="AMG337" s="3"/>
      <c r="AMH337" s="3"/>
      <c r="AMI337" s="3"/>
      <c r="AMJ337" s="3"/>
      <c r="AMK337" s="3"/>
      <c r="AML337" s="3"/>
      <c r="AMM337" s="3"/>
    </row>
    <row r="338" spans="1:1027" ht="15" customHeight="1">
      <c r="A338" s="12">
        <v>924</v>
      </c>
      <c r="B338" s="13" t="s">
        <v>581</v>
      </c>
      <c r="C338" s="14"/>
      <c r="D338" s="14" t="s">
        <v>579</v>
      </c>
      <c r="E338" s="14" t="s">
        <v>580</v>
      </c>
      <c r="F338" s="15" t="s">
        <v>22</v>
      </c>
      <c r="G338" s="21"/>
      <c r="H338" s="58"/>
      <c r="I338" s="14"/>
      <c r="J338" s="14" t="s">
        <v>23</v>
      </c>
      <c r="K338" s="14"/>
      <c r="L338" s="14"/>
      <c r="M338" s="14" t="s">
        <v>29</v>
      </c>
      <c r="N338" s="14" t="s">
        <v>25</v>
      </c>
      <c r="O338" s="14"/>
      <c r="P338" s="14"/>
      <c r="Q338" s="14"/>
      <c r="R338" s="14" t="s">
        <v>30</v>
      </c>
    </row>
    <row r="339" spans="1:1027" ht="15" customHeight="1">
      <c r="A339" s="12">
        <v>1713</v>
      </c>
      <c r="B339" s="13" t="s">
        <v>582</v>
      </c>
      <c r="C339" s="14"/>
      <c r="D339" s="14" t="s">
        <v>579</v>
      </c>
      <c r="E339" s="14" t="s">
        <v>580</v>
      </c>
      <c r="F339" s="15" t="s">
        <v>22</v>
      </c>
      <c r="G339" s="14"/>
      <c r="H339" s="58">
        <v>0</v>
      </c>
      <c r="I339" s="14"/>
      <c r="J339" s="14" t="s">
        <v>23</v>
      </c>
      <c r="K339" s="14"/>
      <c r="L339" s="14"/>
      <c r="M339" s="14" t="s">
        <v>32</v>
      </c>
      <c r="N339" s="14" t="s">
        <v>25</v>
      </c>
      <c r="O339" s="14"/>
      <c r="P339" s="14"/>
      <c r="Q339" s="14"/>
      <c r="R339" s="14" t="s">
        <v>308</v>
      </c>
    </row>
    <row r="340" spans="1:1027" ht="15" customHeight="1">
      <c r="A340" s="12">
        <v>148</v>
      </c>
      <c r="B340" s="13" t="s">
        <v>583</v>
      </c>
      <c r="C340" s="14"/>
      <c r="D340" s="14" t="s">
        <v>584</v>
      </c>
      <c r="E340" s="14" t="s">
        <v>36</v>
      </c>
      <c r="F340" s="15" t="s">
        <v>22</v>
      </c>
      <c r="G340" s="14"/>
      <c r="H340" s="58"/>
      <c r="I340" s="15"/>
      <c r="J340" s="14" t="s">
        <v>23</v>
      </c>
      <c r="K340" s="15"/>
      <c r="L340" s="15"/>
      <c r="M340" s="14" t="s">
        <v>27</v>
      </c>
      <c r="N340" s="25" t="s">
        <v>289</v>
      </c>
      <c r="O340" s="14" t="s">
        <v>189</v>
      </c>
      <c r="P340" s="14"/>
      <c r="Q340" s="14"/>
      <c r="R340" s="17">
        <v>43633</v>
      </c>
      <c r="S340" s="1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  <c r="WQ340" s="3"/>
      <c r="WR340" s="3"/>
      <c r="WS340" s="3"/>
      <c r="WT340" s="3"/>
      <c r="WU340" s="3"/>
      <c r="WV340" s="3"/>
      <c r="WW340" s="3"/>
      <c r="WX340" s="3"/>
      <c r="WY340" s="3"/>
      <c r="WZ340" s="3"/>
      <c r="XA340" s="3"/>
      <c r="XB340" s="3"/>
      <c r="XC340" s="3"/>
      <c r="XD340" s="3"/>
      <c r="XE340" s="3"/>
      <c r="XF340" s="3"/>
      <c r="XG340" s="3"/>
      <c r="XH340" s="3"/>
      <c r="XI340" s="3"/>
      <c r="XJ340" s="3"/>
      <c r="XK340" s="3"/>
      <c r="XL340" s="3"/>
      <c r="XM340" s="3"/>
      <c r="XN340" s="3"/>
      <c r="XO340" s="3"/>
      <c r="XP340" s="3"/>
      <c r="XQ340" s="3"/>
      <c r="XR340" s="3"/>
      <c r="XS340" s="3"/>
      <c r="XT340" s="3"/>
      <c r="XU340" s="3"/>
      <c r="XV340" s="3"/>
      <c r="XW340" s="3"/>
      <c r="XX340" s="3"/>
      <c r="XY340" s="3"/>
      <c r="XZ340" s="3"/>
      <c r="YA340" s="3"/>
      <c r="YB340" s="3"/>
      <c r="YC340" s="3"/>
      <c r="YD340" s="3"/>
      <c r="YE340" s="3"/>
      <c r="YF340" s="3"/>
      <c r="YG340" s="3"/>
      <c r="YH340" s="3"/>
      <c r="YI340" s="3"/>
      <c r="YJ340" s="3"/>
      <c r="YK340" s="3"/>
      <c r="YL340" s="3"/>
      <c r="YM340" s="3"/>
      <c r="YN340" s="3"/>
      <c r="YO340" s="3"/>
      <c r="YP340" s="3"/>
      <c r="YQ340" s="3"/>
      <c r="YR340" s="3"/>
      <c r="YS340" s="3"/>
      <c r="YT340" s="3"/>
      <c r="YU340" s="3"/>
      <c r="YV340" s="3"/>
      <c r="YW340" s="3"/>
      <c r="YX340" s="3"/>
      <c r="YY340" s="3"/>
      <c r="YZ340" s="3"/>
      <c r="ZA340" s="3"/>
      <c r="ZB340" s="3"/>
      <c r="ZC340" s="3"/>
      <c r="ZD340" s="3"/>
      <c r="ZE340" s="3"/>
      <c r="ZF340" s="3"/>
      <c r="ZG340" s="3"/>
      <c r="ZH340" s="3"/>
      <c r="ZI340" s="3"/>
      <c r="ZJ340" s="3"/>
      <c r="ZK340" s="3"/>
      <c r="ZL340" s="3"/>
      <c r="ZM340" s="3"/>
      <c r="ZN340" s="3"/>
      <c r="ZO340" s="3"/>
      <c r="ZP340" s="3"/>
      <c r="ZQ340" s="3"/>
      <c r="ZR340" s="3"/>
      <c r="ZS340" s="3"/>
      <c r="ZT340" s="3"/>
      <c r="ZU340" s="3"/>
      <c r="ZV340" s="3"/>
      <c r="ZW340" s="3"/>
      <c r="ZX340" s="3"/>
      <c r="ZY340" s="3"/>
      <c r="ZZ340" s="3"/>
      <c r="AAA340" s="3"/>
      <c r="AAB340" s="3"/>
      <c r="AAC340" s="3"/>
      <c r="AAD340" s="3"/>
      <c r="AAE340" s="3"/>
      <c r="AAF340" s="3"/>
      <c r="AAG340" s="3"/>
      <c r="AAH340" s="3"/>
      <c r="AAI340" s="3"/>
      <c r="AAJ340" s="3"/>
      <c r="AAK340" s="3"/>
      <c r="AAL340" s="3"/>
      <c r="AAM340" s="3"/>
      <c r="AAN340" s="3"/>
      <c r="AAO340" s="3"/>
      <c r="AAP340" s="3"/>
      <c r="AAQ340" s="3"/>
      <c r="AAR340" s="3"/>
      <c r="AAS340" s="3"/>
      <c r="AAT340" s="3"/>
      <c r="AAU340" s="3"/>
      <c r="AAV340" s="3"/>
      <c r="AAW340" s="3"/>
      <c r="AAX340" s="3"/>
      <c r="AAY340" s="3"/>
      <c r="AAZ340" s="3"/>
      <c r="ABA340" s="3"/>
      <c r="ABB340" s="3"/>
      <c r="ABC340" s="3"/>
      <c r="ABD340" s="3"/>
      <c r="ABE340" s="3"/>
      <c r="ABF340" s="3"/>
      <c r="ABG340" s="3"/>
      <c r="ABH340" s="3"/>
      <c r="ABI340" s="3"/>
      <c r="ABJ340" s="3"/>
      <c r="ABK340" s="3"/>
      <c r="ABL340" s="3"/>
      <c r="ABM340" s="3"/>
      <c r="ABN340" s="3"/>
      <c r="ABO340" s="3"/>
      <c r="ABP340" s="3"/>
      <c r="ABQ340" s="3"/>
      <c r="ABR340" s="3"/>
      <c r="ABS340" s="3"/>
      <c r="ABT340" s="3"/>
      <c r="ABU340" s="3"/>
      <c r="ABV340" s="3"/>
      <c r="ABW340" s="3"/>
      <c r="ABX340" s="3"/>
      <c r="ABY340" s="3"/>
      <c r="ABZ340" s="3"/>
      <c r="ACA340" s="3"/>
      <c r="ACB340" s="3"/>
      <c r="ACC340" s="3"/>
      <c r="ACD340" s="3"/>
      <c r="ACE340" s="3"/>
      <c r="ACF340" s="3"/>
      <c r="ACG340" s="3"/>
      <c r="ACH340" s="3"/>
      <c r="ACI340" s="3"/>
      <c r="ACJ340" s="3"/>
      <c r="ACK340" s="3"/>
      <c r="ACL340" s="3"/>
      <c r="ACM340" s="3"/>
      <c r="ACN340" s="3"/>
      <c r="ACO340" s="3"/>
      <c r="ACP340" s="3"/>
      <c r="ACQ340" s="3"/>
      <c r="ACR340" s="3"/>
      <c r="ACS340" s="3"/>
      <c r="ACT340" s="3"/>
      <c r="ACU340" s="3"/>
      <c r="ACV340" s="3"/>
      <c r="ACW340" s="3"/>
      <c r="ACX340" s="3"/>
      <c r="ACY340" s="3"/>
      <c r="ACZ340" s="3"/>
      <c r="ADA340" s="3"/>
      <c r="ADB340" s="3"/>
      <c r="ADC340" s="3"/>
      <c r="ADD340" s="3"/>
      <c r="ADE340" s="3"/>
      <c r="ADF340" s="3"/>
      <c r="ADG340" s="3"/>
      <c r="ADH340" s="3"/>
      <c r="ADI340" s="3"/>
      <c r="ADJ340" s="3"/>
      <c r="ADK340" s="3"/>
      <c r="ADL340" s="3"/>
      <c r="ADM340" s="3"/>
      <c r="ADN340" s="3"/>
      <c r="ADO340" s="3"/>
      <c r="ADP340" s="3"/>
      <c r="ADQ340" s="3"/>
      <c r="ADR340" s="3"/>
      <c r="ADS340" s="3"/>
      <c r="ADT340" s="3"/>
      <c r="ADU340" s="3"/>
      <c r="ADV340" s="3"/>
      <c r="ADW340" s="3"/>
      <c r="ADX340" s="3"/>
      <c r="ADY340" s="3"/>
      <c r="ADZ340" s="3"/>
      <c r="AEA340" s="3"/>
      <c r="AEB340" s="3"/>
      <c r="AEC340" s="3"/>
      <c r="AED340" s="3"/>
      <c r="AEE340" s="3"/>
      <c r="AEF340" s="3"/>
      <c r="AEG340" s="3"/>
      <c r="AEH340" s="3"/>
      <c r="AEI340" s="3"/>
      <c r="AEJ340" s="3"/>
      <c r="AEK340" s="3"/>
      <c r="AEL340" s="3"/>
      <c r="AEM340" s="3"/>
      <c r="AEN340" s="3"/>
      <c r="AEO340" s="3"/>
      <c r="AEP340" s="3"/>
      <c r="AEQ340" s="3"/>
      <c r="AER340" s="3"/>
      <c r="AES340" s="3"/>
      <c r="AET340" s="3"/>
      <c r="AEU340" s="3"/>
      <c r="AEV340" s="3"/>
      <c r="AEW340" s="3"/>
      <c r="AEX340" s="3"/>
      <c r="AEY340" s="3"/>
      <c r="AEZ340" s="3"/>
      <c r="AFA340" s="3"/>
      <c r="AFB340" s="3"/>
      <c r="AFC340" s="3"/>
      <c r="AFD340" s="3"/>
      <c r="AFE340" s="3"/>
      <c r="AFF340" s="3"/>
      <c r="AFG340" s="3"/>
      <c r="AFH340" s="3"/>
      <c r="AFI340" s="3"/>
      <c r="AFJ340" s="3"/>
      <c r="AFK340" s="3"/>
      <c r="AFL340" s="3"/>
      <c r="AFM340" s="3"/>
      <c r="AFN340" s="3"/>
      <c r="AFO340" s="3"/>
      <c r="AFP340" s="3"/>
      <c r="AFQ340" s="3"/>
      <c r="AFR340" s="3"/>
      <c r="AFS340" s="3"/>
      <c r="AFT340" s="3"/>
      <c r="AFU340" s="3"/>
      <c r="AFV340" s="3"/>
      <c r="AFW340" s="3"/>
      <c r="AFX340" s="3"/>
      <c r="AFY340" s="3"/>
      <c r="AFZ340" s="3"/>
      <c r="AGA340" s="3"/>
      <c r="AGB340" s="3"/>
      <c r="AGC340" s="3"/>
      <c r="AGD340" s="3"/>
      <c r="AGE340" s="3"/>
      <c r="AGF340" s="3"/>
      <c r="AGG340" s="3"/>
      <c r="AGH340" s="3"/>
      <c r="AGI340" s="3"/>
      <c r="AGJ340" s="3"/>
      <c r="AGK340" s="3"/>
      <c r="AGL340" s="3"/>
      <c r="AGM340" s="3"/>
      <c r="AGN340" s="3"/>
      <c r="AGO340" s="3"/>
      <c r="AGP340" s="3"/>
      <c r="AGQ340" s="3"/>
      <c r="AGR340" s="3"/>
      <c r="AGS340" s="3"/>
      <c r="AGT340" s="3"/>
      <c r="AGU340" s="3"/>
      <c r="AGV340" s="3"/>
      <c r="AGW340" s="3"/>
      <c r="AGX340" s="3"/>
      <c r="AGY340" s="3"/>
      <c r="AGZ340" s="3"/>
      <c r="AHA340" s="3"/>
      <c r="AHB340" s="3"/>
      <c r="AHC340" s="3"/>
      <c r="AHD340" s="3"/>
      <c r="AHE340" s="3"/>
      <c r="AHF340" s="3"/>
      <c r="AHG340" s="3"/>
      <c r="AHH340" s="3"/>
      <c r="AHI340" s="3"/>
      <c r="AHJ340" s="3"/>
      <c r="AHK340" s="3"/>
      <c r="AHL340" s="3"/>
      <c r="AHM340" s="3"/>
      <c r="AHN340" s="3"/>
      <c r="AHO340" s="3"/>
      <c r="AHP340" s="3"/>
      <c r="AHQ340" s="3"/>
      <c r="AHR340" s="3"/>
      <c r="AHS340" s="3"/>
      <c r="AHT340" s="3"/>
      <c r="AHU340" s="3"/>
      <c r="AHV340" s="3"/>
      <c r="AHW340" s="3"/>
      <c r="AHX340" s="3"/>
      <c r="AHY340" s="3"/>
      <c r="AHZ340" s="3"/>
      <c r="AIA340" s="3"/>
      <c r="AIB340" s="3"/>
      <c r="AIC340" s="3"/>
      <c r="AID340" s="3"/>
      <c r="AIE340" s="3"/>
      <c r="AIF340" s="3"/>
      <c r="AIG340" s="3"/>
      <c r="AIH340" s="3"/>
      <c r="AII340" s="3"/>
      <c r="AIJ340" s="3"/>
      <c r="AIK340" s="3"/>
      <c r="AIL340" s="3"/>
      <c r="AIM340" s="3"/>
      <c r="AIN340" s="3"/>
      <c r="AIO340" s="3"/>
      <c r="AIP340" s="3"/>
      <c r="AIQ340" s="3"/>
      <c r="AIR340" s="3"/>
      <c r="AIS340" s="3"/>
      <c r="AIT340" s="3"/>
      <c r="AIU340" s="3"/>
      <c r="AIV340" s="3"/>
      <c r="AIW340" s="3"/>
      <c r="AIX340" s="3"/>
      <c r="AIY340" s="3"/>
      <c r="AIZ340" s="3"/>
      <c r="AJA340" s="3"/>
      <c r="AJB340" s="3"/>
      <c r="AJC340" s="3"/>
      <c r="AJD340" s="3"/>
      <c r="AJE340" s="3"/>
      <c r="AJF340" s="3"/>
      <c r="AJG340" s="3"/>
      <c r="AJH340" s="3"/>
      <c r="AJI340" s="3"/>
      <c r="AJJ340" s="3"/>
      <c r="AJK340" s="3"/>
      <c r="AJL340" s="3"/>
      <c r="AJM340" s="3"/>
      <c r="AJN340" s="3"/>
      <c r="AJO340" s="3"/>
      <c r="AJP340" s="3"/>
      <c r="AJQ340" s="3"/>
      <c r="AJR340" s="3"/>
      <c r="AJS340" s="3"/>
      <c r="AJT340" s="3"/>
      <c r="AJU340" s="3"/>
      <c r="AJV340" s="3"/>
      <c r="AJW340" s="3"/>
      <c r="AJX340" s="3"/>
      <c r="AJY340" s="3"/>
      <c r="AJZ340" s="3"/>
      <c r="AKA340" s="3"/>
      <c r="AKB340" s="3"/>
      <c r="AKC340" s="3"/>
      <c r="AKD340" s="3"/>
      <c r="AKE340" s="3"/>
      <c r="AKF340" s="3"/>
      <c r="AKG340" s="3"/>
      <c r="AKH340" s="3"/>
      <c r="AKI340" s="3"/>
      <c r="AKJ340" s="3"/>
      <c r="AKK340" s="3"/>
      <c r="AKL340" s="3"/>
      <c r="AKM340" s="3"/>
      <c r="AKN340" s="3"/>
      <c r="AKO340" s="3"/>
      <c r="AKP340" s="3"/>
      <c r="AKQ340" s="3"/>
      <c r="AKR340" s="3"/>
      <c r="AKS340" s="3"/>
      <c r="AKT340" s="3"/>
      <c r="AKU340" s="3"/>
      <c r="AKV340" s="3"/>
      <c r="AKW340" s="3"/>
      <c r="AKX340" s="3"/>
      <c r="AKY340" s="3"/>
      <c r="AKZ340" s="3"/>
      <c r="ALA340" s="3"/>
      <c r="ALB340" s="3"/>
      <c r="ALC340" s="3"/>
      <c r="ALD340" s="3"/>
      <c r="ALE340" s="3"/>
      <c r="ALF340" s="3"/>
      <c r="ALG340" s="3"/>
      <c r="ALH340" s="3"/>
      <c r="ALI340" s="3"/>
      <c r="ALJ340" s="3"/>
      <c r="ALK340" s="3"/>
      <c r="ALL340" s="3"/>
      <c r="ALM340" s="3"/>
      <c r="ALN340" s="3"/>
      <c r="ALO340" s="3"/>
      <c r="ALP340" s="3"/>
      <c r="ALQ340" s="3"/>
      <c r="ALR340" s="3"/>
      <c r="ALS340" s="3"/>
      <c r="ALT340" s="3"/>
      <c r="ALU340" s="3"/>
      <c r="ALV340" s="3"/>
      <c r="ALW340" s="3"/>
      <c r="ALX340" s="3"/>
      <c r="ALY340" s="3"/>
      <c r="ALZ340" s="3"/>
      <c r="AMA340" s="3"/>
      <c r="AMB340" s="3"/>
      <c r="AMC340" s="3"/>
      <c r="AMD340" s="3"/>
      <c r="AME340" s="3"/>
      <c r="AMF340" s="3"/>
      <c r="AMG340" s="3"/>
      <c r="AMH340" s="3"/>
      <c r="AMI340" s="3"/>
      <c r="AMJ340" s="3"/>
      <c r="AMK340" s="3"/>
      <c r="AML340" s="3"/>
      <c r="AMM340" s="3"/>
    </row>
    <row r="341" spans="1:1027" ht="15" customHeight="1">
      <c r="A341" s="12">
        <v>925</v>
      </c>
      <c r="B341" s="13" t="s">
        <v>585</v>
      </c>
      <c r="C341" s="14"/>
      <c r="D341" s="14" t="s">
        <v>584</v>
      </c>
      <c r="E341" s="14" t="s">
        <v>36</v>
      </c>
      <c r="F341" s="15" t="s">
        <v>22</v>
      </c>
      <c r="G341" s="21"/>
      <c r="H341" s="58">
        <v>1</v>
      </c>
      <c r="I341" s="14"/>
      <c r="J341" s="14" t="s">
        <v>23</v>
      </c>
      <c r="K341" s="14"/>
      <c r="L341" s="14"/>
      <c r="M341" s="14" t="s">
        <v>29</v>
      </c>
      <c r="N341" s="25" t="s">
        <v>37</v>
      </c>
      <c r="O341" s="14" t="s">
        <v>586</v>
      </c>
      <c r="P341" s="14"/>
      <c r="Q341" s="14"/>
      <c r="R341" s="14" t="s">
        <v>30</v>
      </c>
    </row>
    <row r="342" spans="1:1027" ht="15" customHeight="1">
      <c r="A342" s="12">
        <v>1714</v>
      </c>
      <c r="B342" s="13" t="s">
        <v>587</v>
      </c>
      <c r="C342" s="14"/>
      <c r="D342" s="14" t="s">
        <v>584</v>
      </c>
      <c r="E342" s="14" t="s">
        <v>36</v>
      </c>
      <c r="F342" s="15" t="s">
        <v>22</v>
      </c>
      <c r="G342" s="14"/>
      <c r="H342" s="58">
        <v>3</v>
      </c>
      <c r="I342" s="14"/>
      <c r="J342" s="14" t="s">
        <v>23</v>
      </c>
      <c r="K342" s="14"/>
      <c r="L342" s="14"/>
      <c r="M342" s="14" t="s">
        <v>32</v>
      </c>
      <c r="N342" s="25" t="s">
        <v>37</v>
      </c>
      <c r="O342" s="14" t="s">
        <v>588</v>
      </c>
      <c r="P342" s="14"/>
      <c r="Q342" s="14"/>
      <c r="R342" s="14" t="s">
        <v>308</v>
      </c>
    </row>
    <row r="343" spans="1:1027" ht="15" customHeight="1">
      <c r="A343" s="12">
        <v>149</v>
      </c>
      <c r="B343" s="13" t="s">
        <v>589</v>
      </c>
      <c r="C343" s="14"/>
      <c r="D343" s="14" t="s">
        <v>590</v>
      </c>
      <c r="E343" s="14" t="s">
        <v>36</v>
      </c>
      <c r="F343" s="15" t="s">
        <v>22</v>
      </c>
      <c r="G343" s="14"/>
      <c r="H343" s="58"/>
      <c r="I343" s="15"/>
      <c r="J343" s="14" t="s">
        <v>23</v>
      </c>
      <c r="K343" s="15"/>
      <c r="L343" s="15"/>
      <c r="M343" s="14" t="s">
        <v>27</v>
      </c>
      <c r="N343" s="22" t="s">
        <v>25</v>
      </c>
      <c r="O343" s="14"/>
      <c r="P343" s="14"/>
      <c r="Q343" s="14"/>
      <c r="R343" s="17">
        <v>43633</v>
      </c>
      <c r="S343" s="1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WZ343" s="3"/>
      <c r="XA343" s="3"/>
      <c r="XB343" s="3"/>
      <c r="XC343" s="3"/>
      <c r="XD343" s="3"/>
      <c r="XE343" s="3"/>
      <c r="XF343" s="3"/>
      <c r="XG343" s="3"/>
      <c r="XH343" s="3"/>
      <c r="XI343" s="3"/>
      <c r="XJ343" s="3"/>
      <c r="XK343" s="3"/>
      <c r="XL343" s="3"/>
      <c r="XM343" s="3"/>
      <c r="XN343" s="3"/>
      <c r="XO343" s="3"/>
      <c r="XP343" s="3"/>
      <c r="XQ343" s="3"/>
      <c r="XR343" s="3"/>
      <c r="XS343" s="3"/>
      <c r="XT343" s="3"/>
      <c r="XU343" s="3"/>
      <c r="XV343" s="3"/>
      <c r="XW343" s="3"/>
      <c r="XX343" s="3"/>
      <c r="XY343" s="3"/>
      <c r="XZ343" s="3"/>
      <c r="YA343" s="3"/>
      <c r="YB343" s="3"/>
      <c r="YC343" s="3"/>
      <c r="YD343" s="3"/>
      <c r="YE343" s="3"/>
      <c r="YF343" s="3"/>
      <c r="YG343" s="3"/>
      <c r="YH343" s="3"/>
      <c r="YI343" s="3"/>
      <c r="YJ343" s="3"/>
      <c r="YK343" s="3"/>
      <c r="YL343" s="3"/>
      <c r="YM343" s="3"/>
      <c r="YN343" s="3"/>
      <c r="YO343" s="3"/>
      <c r="YP343" s="3"/>
      <c r="YQ343" s="3"/>
      <c r="YR343" s="3"/>
      <c r="YS343" s="3"/>
      <c r="YT343" s="3"/>
      <c r="YU343" s="3"/>
      <c r="YV343" s="3"/>
      <c r="YW343" s="3"/>
      <c r="YX343" s="3"/>
      <c r="YY343" s="3"/>
      <c r="YZ343" s="3"/>
      <c r="ZA343" s="3"/>
      <c r="ZB343" s="3"/>
      <c r="ZC343" s="3"/>
      <c r="ZD343" s="3"/>
      <c r="ZE343" s="3"/>
      <c r="ZF343" s="3"/>
      <c r="ZG343" s="3"/>
      <c r="ZH343" s="3"/>
      <c r="ZI343" s="3"/>
      <c r="ZJ343" s="3"/>
      <c r="ZK343" s="3"/>
      <c r="ZL343" s="3"/>
      <c r="ZM343" s="3"/>
      <c r="ZN343" s="3"/>
      <c r="ZO343" s="3"/>
      <c r="ZP343" s="3"/>
      <c r="ZQ343" s="3"/>
      <c r="ZR343" s="3"/>
      <c r="ZS343" s="3"/>
      <c r="ZT343" s="3"/>
      <c r="ZU343" s="3"/>
      <c r="ZV343" s="3"/>
      <c r="ZW343" s="3"/>
      <c r="ZX343" s="3"/>
      <c r="ZY343" s="3"/>
      <c r="ZZ343" s="3"/>
      <c r="AAA343" s="3"/>
      <c r="AAB343" s="3"/>
      <c r="AAC343" s="3"/>
      <c r="AAD343" s="3"/>
      <c r="AAE343" s="3"/>
      <c r="AAF343" s="3"/>
      <c r="AAG343" s="3"/>
      <c r="AAH343" s="3"/>
      <c r="AAI343" s="3"/>
      <c r="AAJ343" s="3"/>
      <c r="AAK343" s="3"/>
      <c r="AAL343" s="3"/>
      <c r="AAM343" s="3"/>
      <c r="AAN343" s="3"/>
      <c r="AAO343" s="3"/>
      <c r="AAP343" s="3"/>
      <c r="AAQ343" s="3"/>
      <c r="AAR343" s="3"/>
      <c r="AAS343" s="3"/>
      <c r="AAT343" s="3"/>
      <c r="AAU343" s="3"/>
      <c r="AAV343" s="3"/>
      <c r="AAW343" s="3"/>
      <c r="AAX343" s="3"/>
      <c r="AAY343" s="3"/>
      <c r="AAZ343" s="3"/>
      <c r="ABA343" s="3"/>
      <c r="ABB343" s="3"/>
      <c r="ABC343" s="3"/>
      <c r="ABD343" s="3"/>
      <c r="ABE343" s="3"/>
      <c r="ABF343" s="3"/>
      <c r="ABG343" s="3"/>
      <c r="ABH343" s="3"/>
      <c r="ABI343" s="3"/>
      <c r="ABJ343" s="3"/>
      <c r="ABK343" s="3"/>
      <c r="ABL343" s="3"/>
      <c r="ABM343" s="3"/>
      <c r="ABN343" s="3"/>
      <c r="ABO343" s="3"/>
      <c r="ABP343" s="3"/>
      <c r="ABQ343" s="3"/>
      <c r="ABR343" s="3"/>
      <c r="ABS343" s="3"/>
      <c r="ABT343" s="3"/>
      <c r="ABU343" s="3"/>
      <c r="ABV343" s="3"/>
      <c r="ABW343" s="3"/>
      <c r="ABX343" s="3"/>
      <c r="ABY343" s="3"/>
      <c r="ABZ343" s="3"/>
      <c r="ACA343" s="3"/>
      <c r="ACB343" s="3"/>
      <c r="ACC343" s="3"/>
      <c r="ACD343" s="3"/>
      <c r="ACE343" s="3"/>
      <c r="ACF343" s="3"/>
      <c r="ACG343" s="3"/>
      <c r="ACH343" s="3"/>
      <c r="ACI343" s="3"/>
      <c r="ACJ343" s="3"/>
      <c r="ACK343" s="3"/>
      <c r="ACL343" s="3"/>
      <c r="ACM343" s="3"/>
      <c r="ACN343" s="3"/>
      <c r="ACO343" s="3"/>
      <c r="ACP343" s="3"/>
      <c r="ACQ343" s="3"/>
      <c r="ACR343" s="3"/>
      <c r="ACS343" s="3"/>
      <c r="ACT343" s="3"/>
      <c r="ACU343" s="3"/>
      <c r="ACV343" s="3"/>
      <c r="ACW343" s="3"/>
      <c r="ACX343" s="3"/>
      <c r="ACY343" s="3"/>
      <c r="ACZ343" s="3"/>
      <c r="ADA343" s="3"/>
      <c r="ADB343" s="3"/>
      <c r="ADC343" s="3"/>
      <c r="ADD343" s="3"/>
      <c r="ADE343" s="3"/>
      <c r="ADF343" s="3"/>
      <c r="ADG343" s="3"/>
      <c r="ADH343" s="3"/>
      <c r="ADI343" s="3"/>
      <c r="ADJ343" s="3"/>
      <c r="ADK343" s="3"/>
      <c r="ADL343" s="3"/>
      <c r="ADM343" s="3"/>
      <c r="ADN343" s="3"/>
      <c r="ADO343" s="3"/>
      <c r="ADP343" s="3"/>
      <c r="ADQ343" s="3"/>
      <c r="ADR343" s="3"/>
      <c r="ADS343" s="3"/>
      <c r="ADT343" s="3"/>
      <c r="ADU343" s="3"/>
      <c r="ADV343" s="3"/>
      <c r="ADW343" s="3"/>
      <c r="ADX343" s="3"/>
      <c r="ADY343" s="3"/>
      <c r="ADZ343" s="3"/>
      <c r="AEA343" s="3"/>
      <c r="AEB343" s="3"/>
      <c r="AEC343" s="3"/>
      <c r="AED343" s="3"/>
      <c r="AEE343" s="3"/>
      <c r="AEF343" s="3"/>
      <c r="AEG343" s="3"/>
      <c r="AEH343" s="3"/>
      <c r="AEI343" s="3"/>
      <c r="AEJ343" s="3"/>
      <c r="AEK343" s="3"/>
      <c r="AEL343" s="3"/>
      <c r="AEM343" s="3"/>
      <c r="AEN343" s="3"/>
      <c r="AEO343" s="3"/>
      <c r="AEP343" s="3"/>
      <c r="AEQ343" s="3"/>
      <c r="AER343" s="3"/>
      <c r="AES343" s="3"/>
      <c r="AET343" s="3"/>
      <c r="AEU343" s="3"/>
      <c r="AEV343" s="3"/>
      <c r="AEW343" s="3"/>
      <c r="AEX343" s="3"/>
      <c r="AEY343" s="3"/>
      <c r="AEZ343" s="3"/>
      <c r="AFA343" s="3"/>
      <c r="AFB343" s="3"/>
      <c r="AFC343" s="3"/>
      <c r="AFD343" s="3"/>
      <c r="AFE343" s="3"/>
      <c r="AFF343" s="3"/>
      <c r="AFG343" s="3"/>
      <c r="AFH343" s="3"/>
      <c r="AFI343" s="3"/>
      <c r="AFJ343" s="3"/>
      <c r="AFK343" s="3"/>
      <c r="AFL343" s="3"/>
      <c r="AFM343" s="3"/>
      <c r="AFN343" s="3"/>
      <c r="AFO343" s="3"/>
      <c r="AFP343" s="3"/>
      <c r="AFQ343" s="3"/>
      <c r="AFR343" s="3"/>
      <c r="AFS343" s="3"/>
      <c r="AFT343" s="3"/>
      <c r="AFU343" s="3"/>
      <c r="AFV343" s="3"/>
      <c r="AFW343" s="3"/>
      <c r="AFX343" s="3"/>
      <c r="AFY343" s="3"/>
      <c r="AFZ343" s="3"/>
      <c r="AGA343" s="3"/>
      <c r="AGB343" s="3"/>
      <c r="AGC343" s="3"/>
      <c r="AGD343" s="3"/>
      <c r="AGE343" s="3"/>
      <c r="AGF343" s="3"/>
      <c r="AGG343" s="3"/>
      <c r="AGH343" s="3"/>
      <c r="AGI343" s="3"/>
      <c r="AGJ343" s="3"/>
      <c r="AGK343" s="3"/>
      <c r="AGL343" s="3"/>
      <c r="AGM343" s="3"/>
      <c r="AGN343" s="3"/>
      <c r="AGO343" s="3"/>
      <c r="AGP343" s="3"/>
      <c r="AGQ343" s="3"/>
      <c r="AGR343" s="3"/>
      <c r="AGS343" s="3"/>
      <c r="AGT343" s="3"/>
      <c r="AGU343" s="3"/>
      <c r="AGV343" s="3"/>
      <c r="AGW343" s="3"/>
      <c r="AGX343" s="3"/>
      <c r="AGY343" s="3"/>
      <c r="AGZ343" s="3"/>
      <c r="AHA343" s="3"/>
      <c r="AHB343" s="3"/>
      <c r="AHC343" s="3"/>
      <c r="AHD343" s="3"/>
      <c r="AHE343" s="3"/>
      <c r="AHF343" s="3"/>
      <c r="AHG343" s="3"/>
      <c r="AHH343" s="3"/>
      <c r="AHI343" s="3"/>
      <c r="AHJ343" s="3"/>
      <c r="AHK343" s="3"/>
      <c r="AHL343" s="3"/>
      <c r="AHM343" s="3"/>
      <c r="AHN343" s="3"/>
      <c r="AHO343" s="3"/>
      <c r="AHP343" s="3"/>
      <c r="AHQ343" s="3"/>
      <c r="AHR343" s="3"/>
      <c r="AHS343" s="3"/>
      <c r="AHT343" s="3"/>
      <c r="AHU343" s="3"/>
      <c r="AHV343" s="3"/>
      <c r="AHW343" s="3"/>
      <c r="AHX343" s="3"/>
      <c r="AHY343" s="3"/>
      <c r="AHZ343" s="3"/>
      <c r="AIA343" s="3"/>
      <c r="AIB343" s="3"/>
      <c r="AIC343" s="3"/>
      <c r="AID343" s="3"/>
      <c r="AIE343" s="3"/>
      <c r="AIF343" s="3"/>
      <c r="AIG343" s="3"/>
      <c r="AIH343" s="3"/>
      <c r="AII343" s="3"/>
      <c r="AIJ343" s="3"/>
      <c r="AIK343" s="3"/>
      <c r="AIL343" s="3"/>
      <c r="AIM343" s="3"/>
      <c r="AIN343" s="3"/>
      <c r="AIO343" s="3"/>
      <c r="AIP343" s="3"/>
      <c r="AIQ343" s="3"/>
      <c r="AIR343" s="3"/>
      <c r="AIS343" s="3"/>
      <c r="AIT343" s="3"/>
      <c r="AIU343" s="3"/>
      <c r="AIV343" s="3"/>
      <c r="AIW343" s="3"/>
      <c r="AIX343" s="3"/>
      <c r="AIY343" s="3"/>
      <c r="AIZ343" s="3"/>
      <c r="AJA343" s="3"/>
      <c r="AJB343" s="3"/>
      <c r="AJC343" s="3"/>
      <c r="AJD343" s="3"/>
      <c r="AJE343" s="3"/>
      <c r="AJF343" s="3"/>
      <c r="AJG343" s="3"/>
      <c r="AJH343" s="3"/>
      <c r="AJI343" s="3"/>
      <c r="AJJ343" s="3"/>
      <c r="AJK343" s="3"/>
      <c r="AJL343" s="3"/>
      <c r="AJM343" s="3"/>
      <c r="AJN343" s="3"/>
      <c r="AJO343" s="3"/>
      <c r="AJP343" s="3"/>
      <c r="AJQ343" s="3"/>
      <c r="AJR343" s="3"/>
      <c r="AJS343" s="3"/>
      <c r="AJT343" s="3"/>
      <c r="AJU343" s="3"/>
      <c r="AJV343" s="3"/>
      <c r="AJW343" s="3"/>
      <c r="AJX343" s="3"/>
      <c r="AJY343" s="3"/>
      <c r="AJZ343" s="3"/>
      <c r="AKA343" s="3"/>
      <c r="AKB343" s="3"/>
      <c r="AKC343" s="3"/>
      <c r="AKD343" s="3"/>
      <c r="AKE343" s="3"/>
      <c r="AKF343" s="3"/>
      <c r="AKG343" s="3"/>
      <c r="AKH343" s="3"/>
      <c r="AKI343" s="3"/>
      <c r="AKJ343" s="3"/>
      <c r="AKK343" s="3"/>
      <c r="AKL343" s="3"/>
      <c r="AKM343" s="3"/>
      <c r="AKN343" s="3"/>
      <c r="AKO343" s="3"/>
      <c r="AKP343" s="3"/>
      <c r="AKQ343" s="3"/>
      <c r="AKR343" s="3"/>
      <c r="AKS343" s="3"/>
      <c r="AKT343" s="3"/>
      <c r="AKU343" s="3"/>
      <c r="AKV343" s="3"/>
      <c r="AKW343" s="3"/>
      <c r="AKX343" s="3"/>
      <c r="AKY343" s="3"/>
      <c r="AKZ343" s="3"/>
      <c r="ALA343" s="3"/>
      <c r="ALB343" s="3"/>
      <c r="ALC343" s="3"/>
      <c r="ALD343" s="3"/>
      <c r="ALE343" s="3"/>
      <c r="ALF343" s="3"/>
      <c r="ALG343" s="3"/>
      <c r="ALH343" s="3"/>
      <c r="ALI343" s="3"/>
      <c r="ALJ343" s="3"/>
      <c r="ALK343" s="3"/>
      <c r="ALL343" s="3"/>
      <c r="ALM343" s="3"/>
      <c r="ALN343" s="3"/>
      <c r="ALO343" s="3"/>
      <c r="ALP343" s="3"/>
      <c r="ALQ343" s="3"/>
      <c r="ALR343" s="3"/>
      <c r="ALS343" s="3"/>
      <c r="ALT343" s="3"/>
      <c r="ALU343" s="3"/>
      <c r="ALV343" s="3"/>
      <c r="ALW343" s="3"/>
      <c r="ALX343" s="3"/>
      <c r="ALY343" s="3"/>
      <c r="ALZ343" s="3"/>
      <c r="AMA343" s="3"/>
      <c r="AMB343" s="3"/>
      <c r="AMC343" s="3"/>
      <c r="AMD343" s="3"/>
      <c r="AME343" s="3"/>
      <c r="AMF343" s="3"/>
      <c r="AMG343" s="3"/>
      <c r="AMH343" s="3"/>
      <c r="AMI343" s="3"/>
      <c r="AMJ343" s="3"/>
      <c r="AMK343" s="3"/>
      <c r="AML343" s="3"/>
      <c r="AMM343" s="3"/>
    </row>
    <row r="344" spans="1:1027" ht="15" customHeight="1">
      <c r="A344" s="12">
        <v>926</v>
      </c>
      <c r="B344" s="13" t="s">
        <v>591</v>
      </c>
      <c r="C344" s="14"/>
      <c r="D344" s="14" t="s">
        <v>590</v>
      </c>
      <c r="E344" s="14" t="s">
        <v>36</v>
      </c>
      <c r="F344" s="15" t="s">
        <v>22</v>
      </c>
      <c r="G344" s="21"/>
      <c r="H344" s="58">
        <v>1</v>
      </c>
      <c r="I344" s="14"/>
      <c r="J344" s="14" t="s">
        <v>23</v>
      </c>
      <c r="K344" s="14"/>
      <c r="L344" s="14"/>
      <c r="M344" s="14" t="s">
        <v>29</v>
      </c>
      <c r="N344" s="14" t="s">
        <v>25</v>
      </c>
      <c r="O344" s="14"/>
      <c r="P344" s="14"/>
      <c r="Q344" s="14"/>
      <c r="R344" s="14" t="s">
        <v>30</v>
      </c>
    </row>
    <row r="345" spans="1:1027" ht="15" customHeight="1">
      <c r="A345" s="12">
        <v>1715</v>
      </c>
      <c r="B345" s="13" t="s">
        <v>592</v>
      </c>
      <c r="C345" s="14"/>
      <c r="D345" s="14" t="s">
        <v>590</v>
      </c>
      <c r="E345" s="14" t="s">
        <v>36</v>
      </c>
      <c r="F345" s="15" t="s">
        <v>22</v>
      </c>
      <c r="G345" s="14"/>
      <c r="H345" s="58">
        <v>0</v>
      </c>
      <c r="I345" s="14"/>
      <c r="J345" s="14" t="s">
        <v>23</v>
      </c>
      <c r="K345" s="14"/>
      <c r="L345" s="14"/>
      <c r="M345" s="14" t="s">
        <v>32</v>
      </c>
      <c r="N345" s="14" t="s">
        <v>25</v>
      </c>
      <c r="O345" s="14"/>
      <c r="P345" s="14"/>
      <c r="Q345" s="14"/>
      <c r="R345" s="14" t="s">
        <v>308</v>
      </c>
    </row>
    <row r="346" spans="1:1027" ht="15" customHeight="1">
      <c r="A346" s="12">
        <v>150</v>
      </c>
      <c r="B346" s="13" t="s">
        <v>593</v>
      </c>
      <c r="C346" s="14"/>
      <c r="D346" s="14" t="s">
        <v>594</v>
      </c>
      <c r="E346" s="14" t="s">
        <v>44</v>
      </c>
      <c r="F346" s="15" t="s">
        <v>22</v>
      </c>
      <c r="G346" s="14"/>
      <c r="H346" s="58"/>
      <c r="I346" s="15"/>
      <c r="J346" s="14" t="s">
        <v>23</v>
      </c>
      <c r="K346" s="15"/>
      <c r="L346" s="15"/>
      <c r="M346" s="14" t="s">
        <v>27</v>
      </c>
      <c r="N346" s="25" t="s">
        <v>37</v>
      </c>
      <c r="O346" s="14" t="s">
        <v>138</v>
      </c>
      <c r="P346" s="14"/>
      <c r="Q346" s="14"/>
      <c r="R346" s="17">
        <v>43633</v>
      </c>
      <c r="S346" s="1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  <c r="WQ346" s="3"/>
      <c r="WR346" s="3"/>
      <c r="WS346" s="3"/>
      <c r="WT346" s="3"/>
      <c r="WU346" s="3"/>
      <c r="WV346" s="3"/>
      <c r="WW346" s="3"/>
      <c r="WX346" s="3"/>
      <c r="WY346" s="3"/>
      <c r="WZ346" s="3"/>
      <c r="XA346" s="3"/>
      <c r="XB346" s="3"/>
      <c r="XC346" s="3"/>
      <c r="XD346" s="3"/>
      <c r="XE346" s="3"/>
      <c r="XF346" s="3"/>
      <c r="XG346" s="3"/>
      <c r="XH346" s="3"/>
      <c r="XI346" s="3"/>
      <c r="XJ346" s="3"/>
      <c r="XK346" s="3"/>
      <c r="XL346" s="3"/>
      <c r="XM346" s="3"/>
      <c r="XN346" s="3"/>
      <c r="XO346" s="3"/>
      <c r="XP346" s="3"/>
      <c r="XQ346" s="3"/>
      <c r="XR346" s="3"/>
      <c r="XS346" s="3"/>
      <c r="XT346" s="3"/>
      <c r="XU346" s="3"/>
      <c r="XV346" s="3"/>
      <c r="XW346" s="3"/>
      <c r="XX346" s="3"/>
      <c r="XY346" s="3"/>
      <c r="XZ346" s="3"/>
      <c r="YA346" s="3"/>
      <c r="YB346" s="3"/>
      <c r="YC346" s="3"/>
      <c r="YD346" s="3"/>
      <c r="YE346" s="3"/>
      <c r="YF346" s="3"/>
      <c r="YG346" s="3"/>
      <c r="YH346" s="3"/>
      <c r="YI346" s="3"/>
      <c r="YJ346" s="3"/>
      <c r="YK346" s="3"/>
      <c r="YL346" s="3"/>
      <c r="YM346" s="3"/>
      <c r="YN346" s="3"/>
      <c r="YO346" s="3"/>
      <c r="YP346" s="3"/>
      <c r="YQ346" s="3"/>
      <c r="YR346" s="3"/>
      <c r="YS346" s="3"/>
      <c r="YT346" s="3"/>
      <c r="YU346" s="3"/>
      <c r="YV346" s="3"/>
      <c r="YW346" s="3"/>
      <c r="YX346" s="3"/>
      <c r="YY346" s="3"/>
      <c r="YZ346" s="3"/>
      <c r="ZA346" s="3"/>
      <c r="ZB346" s="3"/>
      <c r="ZC346" s="3"/>
      <c r="ZD346" s="3"/>
      <c r="ZE346" s="3"/>
      <c r="ZF346" s="3"/>
      <c r="ZG346" s="3"/>
      <c r="ZH346" s="3"/>
      <c r="ZI346" s="3"/>
      <c r="ZJ346" s="3"/>
      <c r="ZK346" s="3"/>
      <c r="ZL346" s="3"/>
      <c r="ZM346" s="3"/>
      <c r="ZN346" s="3"/>
      <c r="ZO346" s="3"/>
      <c r="ZP346" s="3"/>
      <c r="ZQ346" s="3"/>
      <c r="ZR346" s="3"/>
      <c r="ZS346" s="3"/>
      <c r="ZT346" s="3"/>
      <c r="ZU346" s="3"/>
      <c r="ZV346" s="3"/>
      <c r="ZW346" s="3"/>
      <c r="ZX346" s="3"/>
      <c r="ZY346" s="3"/>
      <c r="ZZ346" s="3"/>
      <c r="AAA346" s="3"/>
      <c r="AAB346" s="3"/>
      <c r="AAC346" s="3"/>
      <c r="AAD346" s="3"/>
      <c r="AAE346" s="3"/>
      <c r="AAF346" s="3"/>
      <c r="AAG346" s="3"/>
      <c r="AAH346" s="3"/>
      <c r="AAI346" s="3"/>
      <c r="AAJ346" s="3"/>
      <c r="AAK346" s="3"/>
      <c r="AAL346" s="3"/>
      <c r="AAM346" s="3"/>
      <c r="AAN346" s="3"/>
      <c r="AAO346" s="3"/>
      <c r="AAP346" s="3"/>
      <c r="AAQ346" s="3"/>
      <c r="AAR346" s="3"/>
      <c r="AAS346" s="3"/>
      <c r="AAT346" s="3"/>
      <c r="AAU346" s="3"/>
      <c r="AAV346" s="3"/>
      <c r="AAW346" s="3"/>
      <c r="AAX346" s="3"/>
      <c r="AAY346" s="3"/>
      <c r="AAZ346" s="3"/>
      <c r="ABA346" s="3"/>
      <c r="ABB346" s="3"/>
      <c r="ABC346" s="3"/>
      <c r="ABD346" s="3"/>
      <c r="ABE346" s="3"/>
      <c r="ABF346" s="3"/>
      <c r="ABG346" s="3"/>
      <c r="ABH346" s="3"/>
      <c r="ABI346" s="3"/>
      <c r="ABJ346" s="3"/>
      <c r="ABK346" s="3"/>
      <c r="ABL346" s="3"/>
      <c r="ABM346" s="3"/>
      <c r="ABN346" s="3"/>
      <c r="ABO346" s="3"/>
      <c r="ABP346" s="3"/>
      <c r="ABQ346" s="3"/>
      <c r="ABR346" s="3"/>
      <c r="ABS346" s="3"/>
      <c r="ABT346" s="3"/>
      <c r="ABU346" s="3"/>
      <c r="ABV346" s="3"/>
      <c r="ABW346" s="3"/>
      <c r="ABX346" s="3"/>
      <c r="ABY346" s="3"/>
      <c r="ABZ346" s="3"/>
      <c r="ACA346" s="3"/>
      <c r="ACB346" s="3"/>
      <c r="ACC346" s="3"/>
      <c r="ACD346" s="3"/>
      <c r="ACE346" s="3"/>
      <c r="ACF346" s="3"/>
      <c r="ACG346" s="3"/>
      <c r="ACH346" s="3"/>
      <c r="ACI346" s="3"/>
      <c r="ACJ346" s="3"/>
      <c r="ACK346" s="3"/>
      <c r="ACL346" s="3"/>
      <c r="ACM346" s="3"/>
      <c r="ACN346" s="3"/>
      <c r="ACO346" s="3"/>
      <c r="ACP346" s="3"/>
      <c r="ACQ346" s="3"/>
      <c r="ACR346" s="3"/>
      <c r="ACS346" s="3"/>
      <c r="ACT346" s="3"/>
      <c r="ACU346" s="3"/>
      <c r="ACV346" s="3"/>
      <c r="ACW346" s="3"/>
      <c r="ACX346" s="3"/>
      <c r="ACY346" s="3"/>
      <c r="ACZ346" s="3"/>
      <c r="ADA346" s="3"/>
      <c r="ADB346" s="3"/>
      <c r="ADC346" s="3"/>
      <c r="ADD346" s="3"/>
      <c r="ADE346" s="3"/>
      <c r="ADF346" s="3"/>
      <c r="ADG346" s="3"/>
      <c r="ADH346" s="3"/>
      <c r="ADI346" s="3"/>
      <c r="ADJ346" s="3"/>
      <c r="ADK346" s="3"/>
      <c r="ADL346" s="3"/>
      <c r="ADM346" s="3"/>
      <c r="ADN346" s="3"/>
      <c r="ADO346" s="3"/>
      <c r="ADP346" s="3"/>
      <c r="ADQ346" s="3"/>
      <c r="ADR346" s="3"/>
      <c r="ADS346" s="3"/>
      <c r="ADT346" s="3"/>
      <c r="ADU346" s="3"/>
      <c r="ADV346" s="3"/>
      <c r="ADW346" s="3"/>
      <c r="ADX346" s="3"/>
      <c r="ADY346" s="3"/>
      <c r="ADZ346" s="3"/>
      <c r="AEA346" s="3"/>
      <c r="AEB346" s="3"/>
      <c r="AEC346" s="3"/>
      <c r="AED346" s="3"/>
      <c r="AEE346" s="3"/>
      <c r="AEF346" s="3"/>
      <c r="AEG346" s="3"/>
      <c r="AEH346" s="3"/>
      <c r="AEI346" s="3"/>
      <c r="AEJ346" s="3"/>
      <c r="AEK346" s="3"/>
      <c r="AEL346" s="3"/>
      <c r="AEM346" s="3"/>
      <c r="AEN346" s="3"/>
      <c r="AEO346" s="3"/>
      <c r="AEP346" s="3"/>
      <c r="AEQ346" s="3"/>
      <c r="AER346" s="3"/>
      <c r="AES346" s="3"/>
      <c r="AET346" s="3"/>
      <c r="AEU346" s="3"/>
      <c r="AEV346" s="3"/>
      <c r="AEW346" s="3"/>
      <c r="AEX346" s="3"/>
      <c r="AEY346" s="3"/>
      <c r="AEZ346" s="3"/>
      <c r="AFA346" s="3"/>
      <c r="AFB346" s="3"/>
      <c r="AFC346" s="3"/>
      <c r="AFD346" s="3"/>
      <c r="AFE346" s="3"/>
      <c r="AFF346" s="3"/>
      <c r="AFG346" s="3"/>
      <c r="AFH346" s="3"/>
      <c r="AFI346" s="3"/>
      <c r="AFJ346" s="3"/>
      <c r="AFK346" s="3"/>
      <c r="AFL346" s="3"/>
      <c r="AFM346" s="3"/>
      <c r="AFN346" s="3"/>
      <c r="AFO346" s="3"/>
      <c r="AFP346" s="3"/>
      <c r="AFQ346" s="3"/>
      <c r="AFR346" s="3"/>
      <c r="AFS346" s="3"/>
      <c r="AFT346" s="3"/>
      <c r="AFU346" s="3"/>
      <c r="AFV346" s="3"/>
      <c r="AFW346" s="3"/>
      <c r="AFX346" s="3"/>
      <c r="AFY346" s="3"/>
      <c r="AFZ346" s="3"/>
      <c r="AGA346" s="3"/>
      <c r="AGB346" s="3"/>
      <c r="AGC346" s="3"/>
      <c r="AGD346" s="3"/>
      <c r="AGE346" s="3"/>
      <c r="AGF346" s="3"/>
      <c r="AGG346" s="3"/>
      <c r="AGH346" s="3"/>
      <c r="AGI346" s="3"/>
      <c r="AGJ346" s="3"/>
      <c r="AGK346" s="3"/>
      <c r="AGL346" s="3"/>
      <c r="AGM346" s="3"/>
      <c r="AGN346" s="3"/>
      <c r="AGO346" s="3"/>
      <c r="AGP346" s="3"/>
      <c r="AGQ346" s="3"/>
      <c r="AGR346" s="3"/>
      <c r="AGS346" s="3"/>
      <c r="AGT346" s="3"/>
      <c r="AGU346" s="3"/>
      <c r="AGV346" s="3"/>
      <c r="AGW346" s="3"/>
      <c r="AGX346" s="3"/>
      <c r="AGY346" s="3"/>
      <c r="AGZ346" s="3"/>
      <c r="AHA346" s="3"/>
      <c r="AHB346" s="3"/>
      <c r="AHC346" s="3"/>
      <c r="AHD346" s="3"/>
      <c r="AHE346" s="3"/>
      <c r="AHF346" s="3"/>
      <c r="AHG346" s="3"/>
      <c r="AHH346" s="3"/>
      <c r="AHI346" s="3"/>
      <c r="AHJ346" s="3"/>
      <c r="AHK346" s="3"/>
      <c r="AHL346" s="3"/>
      <c r="AHM346" s="3"/>
      <c r="AHN346" s="3"/>
      <c r="AHO346" s="3"/>
      <c r="AHP346" s="3"/>
      <c r="AHQ346" s="3"/>
      <c r="AHR346" s="3"/>
      <c r="AHS346" s="3"/>
      <c r="AHT346" s="3"/>
      <c r="AHU346" s="3"/>
      <c r="AHV346" s="3"/>
      <c r="AHW346" s="3"/>
      <c r="AHX346" s="3"/>
      <c r="AHY346" s="3"/>
      <c r="AHZ346" s="3"/>
      <c r="AIA346" s="3"/>
      <c r="AIB346" s="3"/>
      <c r="AIC346" s="3"/>
      <c r="AID346" s="3"/>
      <c r="AIE346" s="3"/>
      <c r="AIF346" s="3"/>
      <c r="AIG346" s="3"/>
      <c r="AIH346" s="3"/>
      <c r="AII346" s="3"/>
      <c r="AIJ346" s="3"/>
      <c r="AIK346" s="3"/>
      <c r="AIL346" s="3"/>
      <c r="AIM346" s="3"/>
      <c r="AIN346" s="3"/>
      <c r="AIO346" s="3"/>
      <c r="AIP346" s="3"/>
      <c r="AIQ346" s="3"/>
      <c r="AIR346" s="3"/>
      <c r="AIS346" s="3"/>
      <c r="AIT346" s="3"/>
      <c r="AIU346" s="3"/>
      <c r="AIV346" s="3"/>
      <c r="AIW346" s="3"/>
      <c r="AIX346" s="3"/>
      <c r="AIY346" s="3"/>
      <c r="AIZ346" s="3"/>
      <c r="AJA346" s="3"/>
      <c r="AJB346" s="3"/>
      <c r="AJC346" s="3"/>
      <c r="AJD346" s="3"/>
      <c r="AJE346" s="3"/>
      <c r="AJF346" s="3"/>
      <c r="AJG346" s="3"/>
      <c r="AJH346" s="3"/>
      <c r="AJI346" s="3"/>
      <c r="AJJ346" s="3"/>
      <c r="AJK346" s="3"/>
      <c r="AJL346" s="3"/>
      <c r="AJM346" s="3"/>
      <c r="AJN346" s="3"/>
      <c r="AJO346" s="3"/>
      <c r="AJP346" s="3"/>
      <c r="AJQ346" s="3"/>
      <c r="AJR346" s="3"/>
      <c r="AJS346" s="3"/>
      <c r="AJT346" s="3"/>
      <c r="AJU346" s="3"/>
      <c r="AJV346" s="3"/>
      <c r="AJW346" s="3"/>
      <c r="AJX346" s="3"/>
      <c r="AJY346" s="3"/>
      <c r="AJZ346" s="3"/>
      <c r="AKA346" s="3"/>
      <c r="AKB346" s="3"/>
      <c r="AKC346" s="3"/>
      <c r="AKD346" s="3"/>
      <c r="AKE346" s="3"/>
      <c r="AKF346" s="3"/>
      <c r="AKG346" s="3"/>
      <c r="AKH346" s="3"/>
      <c r="AKI346" s="3"/>
      <c r="AKJ346" s="3"/>
      <c r="AKK346" s="3"/>
      <c r="AKL346" s="3"/>
      <c r="AKM346" s="3"/>
      <c r="AKN346" s="3"/>
      <c r="AKO346" s="3"/>
      <c r="AKP346" s="3"/>
      <c r="AKQ346" s="3"/>
      <c r="AKR346" s="3"/>
      <c r="AKS346" s="3"/>
      <c r="AKT346" s="3"/>
      <c r="AKU346" s="3"/>
      <c r="AKV346" s="3"/>
      <c r="AKW346" s="3"/>
      <c r="AKX346" s="3"/>
      <c r="AKY346" s="3"/>
      <c r="AKZ346" s="3"/>
      <c r="ALA346" s="3"/>
      <c r="ALB346" s="3"/>
      <c r="ALC346" s="3"/>
      <c r="ALD346" s="3"/>
      <c r="ALE346" s="3"/>
      <c r="ALF346" s="3"/>
      <c r="ALG346" s="3"/>
      <c r="ALH346" s="3"/>
      <c r="ALI346" s="3"/>
      <c r="ALJ346" s="3"/>
      <c r="ALK346" s="3"/>
      <c r="ALL346" s="3"/>
      <c r="ALM346" s="3"/>
      <c r="ALN346" s="3"/>
      <c r="ALO346" s="3"/>
      <c r="ALP346" s="3"/>
      <c r="ALQ346" s="3"/>
      <c r="ALR346" s="3"/>
      <c r="ALS346" s="3"/>
      <c r="ALT346" s="3"/>
      <c r="ALU346" s="3"/>
      <c r="ALV346" s="3"/>
      <c r="ALW346" s="3"/>
      <c r="ALX346" s="3"/>
      <c r="ALY346" s="3"/>
      <c r="ALZ346" s="3"/>
      <c r="AMA346" s="3"/>
      <c r="AMB346" s="3"/>
      <c r="AMC346" s="3"/>
      <c r="AMD346" s="3"/>
      <c r="AME346" s="3"/>
      <c r="AMF346" s="3"/>
      <c r="AMG346" s="3"/>
      <c r="AMH346" s="3"/>
      <c r="AMI346" s="3"/>
      <c r="AMJ346" s="3"/>
      <c r="AMK346" s="3"/>
      <c r="AML346" s="3"/>
      <c r="AMM346" s="3"/>
    </row>
    <row r="347" spans="1:1027" ht="15" customHeight="1">
      <c r="A347" s="12">
        <v>927</v>
      </c>
      <c r="B347" s="13" t="s">
        <v>595</v>
      </c>
      <c r="C347" s="14"/>
      <c r="D347" s="14" t="s">
        <v>594</v>
      </c>
      <c r="E347" s="14" t="s">
        <v>44</v>
      </c>
      <c r="F347" s="15" t="s">
        <v>22</v>
      </c>
      <c r="G347" s="21"/>
      <c r="H347" s="58">
        <v>1</v>
      </c>
      <c r="I347" s="14"/>
      <c r="J347" s="14" t="s">
        <v>23</v>
      </c>
      <c r="K347" s="14"/>
      <c r="L347" s="14"/>
      <c r="M347" s="14" t="s">
        <v>29</v>
      </c>
      <c r="N347" s="14" t="s">
        <v>25</v>
      </c>
      <c r="O347" s="14"/>
      <c r="P347" s="14"/>
      <c r="Q347" s="14"/>
      <c r="R347" s="14" t="s">
        <v>30</v>
      </c>
    </row>
    <row r="348" spans="1:1027" ht="15" customHeight="1">
      <c r="A348" s="12">
        <v>1716</v>
      </c>
      <c r="B348" s="13" t="s">
        <v>596</v>
      </c>
      <c r="C348" s="14"/>
      <c r="D348" s="14" t="s">
        <v>594</v>
      </c>
      <c r="E348" s="14" t="s">
        <v>44</v>
      </c>
      <c r="F348" s="15" t="s">
        <v>22</v>
      </c>
      <c r="G348" s="14"/>
      <c r="H348" s="58">
        <v>0</v>
      </c>
      <c r="I348" s="14"/>
      <c r="J348" s="14" t="s">
        <v>23</v>
      </c>
      <c r="K348" s="14"/>
      <c r="L348" s="14"/>
      <c r="M348" s="14" t="s">
        <v>32</v>
      </c>
      <c r="N348" s="14" t="s">
        <v>25</v>
      </c>
      <c r="O348" s="14"/>
      <c r="P348" s="14"/>
      <c r="Q348" s="14"/>
      <c r="R348" s="14" t="s">
        <v>308</v>
      </c>
    </row>
    <row r="349" spans="1:1027" ht="15" customHeight="1">
      <c r="A349" s="12">
        <v>151</v>
      </c>
      <c r="B349" s="13" t="s">
        <v>597</v>
      </c>
      <c r="C349" s="14"/>
      <c r="D349" s="14" t="s">
        <v>598</v>
      </c>
      <c r="E349" s="14" t="s">
        <v>580</v>
      </c>
      <c r="F349" s="15" t="s">
        <v>22</v>
      </c>
      <c r="G349" s="14"/>
      <c r="H349" s="58"/>
      <c r="I349" s="15"/>
      <c r="J349" s="14" t="s">
        <v>23</v>
      </c>
      <c r="K349" s="15"/>
      <c r="L349" s="15"/>
      <c r="M349" s="14" t="s">
        <v>27</v>
      </c>
      <c r="N349" s="22" t="s">
        <v>25</v>
      </c>
      <c r="O349" s="14"/>
      <c r="P349" s="14"/>
      <c r="Q349" s="14"/>
      <c r="R349" s="17">
        <v>43633</v>
      </c>
      <c r="S349" s="12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WR349" s="3"/>
      <c r="WS349" s="3"/>
      <c r="WT349" s="3"/>
      <c r="WU349" s="3"/>
      <c r="WV349" s="3"/>
      <c r="WW349" s="3"/>
      <c r="WX349" s="3"/>
      <c r="WY349" s="3"/>
      <c r="WZ349" s="3"/>
      <c r="XA349" s="3"/>
      <c r="XB349" s="3"/>
      <c r="XC349" s="3"/>
      <c r="XD349" s="3"/>
      <c r="XE349" s="3"/>
      <c r="XF349" s="3"/>
      <c r="XG349" s="3"/>
      <c r="XH349" s="3"/>
      <c r="XI349" s="3"/>
      <c r="XJ349" s="3"/>
      <c r="XK349" s="3"/>
      <c r="XL349" s="3"/>
      <c r="XM349" s="3"/>
      <c r="XN349" s="3"/>
      <c r="XO349" s="3"/>
      <c r="XP349" s="3"/>
      <c r="XQ349" s="3"/>
      <c r="XR349" s="3"/>
      <c r="XS349" s="3"/>
      <c r="XT349" s="3"/>
      <c r="XU349" s="3"/>
      <c r="XV349" s="3"/>
      <c r="XW349" s="3"/>
      <c r="XX349" s="3"/>
      <c r="XY349" s="3"/>
      <c r="XZ349" s="3"/>
      <c r="YA349" s="3"/>
      <c r="YB349" s="3"/>
      <c r="YC349" s="3"/>
      <c r="YD349" s="3"/>
      <c r="YE349" s="3"/>
      <c r="YF349" s="3"/>
      <c r="YG349" s="3"/>
      <c r="YH349" s="3"/>
      <c r="YI349" s="3"/>
      <c r="YJ349" s="3"/>
      <c r="YK349" s="3"/>
      <c r="YL349" s="3"/>
      <c r="YM349" s="3"/>
      <c r="YN349" s="3"/>
      <c r="YO349" s="3"/>
      <c r="YP349" s="3"/>
      <c r="YQ349" s="3"/>
      <c r="YR349" s="3"/>
      <c r="YS349" s="3"/>
      <c r="YT349" s="3"/>
      <c r="YU349" s="3"/>
      <c r="YV349" s="3"/>
      <c r="YW349" s="3"/>
      <c r="YX349" s="3"/>
      <c r="YY349" s="3"/>
      <c r="YZ349" s="3"/>
      <c r="ZA349" s="3"/>
      <c r="ZB349" s="3"/>
      <c r="ZC349" s="3"/>
      <c r="ZD349" s="3"/>
      <c r="ZE349" s="3"/>
      <c r="ZF349" s="3"/>
      <c r="ZG349" s="3"/>
      <c r="ZH349" s="3"/>
      <c r="ZI349" s="3"/>
      <c r="ZJ349" s="3"/>
      <c r="ZK349" s="3"/>
      <c r="ZL349" s="3"/>
      <c r="ZM349" s="3"/>
      <c r="ZN349" s="3"/>
      <c r="ZO349" s="3"/>
      <c r="ZP349" s="3"/>
      <c r="ZQ349" s="3"/>
      <c r="ZR349" s="3"/>
      <c r="ZS349" s="3"/>
      <c r="ZT349" s="3"/>
      <c r="ZU349" s="3"/>
      <c r="ZV349" s="3"/>
      <c r="ZW349" s="3"/>
      <c r="ZX349" s="3"/>
      <c r="ZY349" s="3"/>
      <c r="ZZ349" s="3"/>
      <c r="AAA349" s="3"/>
      <c r="AAB349" s="3"/>
      <c r="AAC349" s="3"/>
      <c r="AAD349" s="3"/>
      <c r="AAE349" s="3"/>
      <c r="AAF349" s="3"/>
      <c r="AAG349" s="3"/>
      <c r="AAH349" s="3"/>
      <c r="AAI349" s="3"/>
      <c r="AAJ349" s="3"/>
      <c r="AAK349" s="3"/>
      <c r="AAL349" s="3"/>
      <c r="AAM349" s="3"/>
      <c r="AAN349" s="3"/>
      <c r="AAO349" s="3"/>
      <c r="AAP349" s="3"/>
      <c r="AAQ349" s="3"/>
      <c r="AAR349" s="3"/>
      <c r="AAS349" s="3"/>
      <c r="AAT349" s="3"/>
      <c r="AAU349" s="3"/>
      <c r="AAV349" s="3"/>
      <c r="AAW349" s="3"/>
      <c r="AAX349" s="3"/>
      <c r="AAY349" s="3"/>
      <c r="AAZ349" s="3"/>
      <c r="ABA349" s="3"/>
      <c r="ABB349" s="3"/>
      <c r="ABC349" s="3"/>
      <c r="ABD349" s="3"/>
      <c r="ABE349" s="3"/>
      <c r="ABF349" s="3"/>
      <c r="ABG349" s="3"/>
      <c r="ABH349" s="3"/>
      <c r="ABI349" s="3"/>
      <c r="ABJ349" s="3"/>
      <c r="ABK349" s="3"/>
      <c r="ABL349" s="3"/>
      <c r="ABM349" s="3"/>
      <c r="ABN349" s="3"/>
      <c r="ABO349" s="3"/>
      <c r="ABP349" s="3"/>
      <c r="ABQ349" s="3"/>
      <c r="ABR349" s="3"/>
      <c r="ABS349" s="3"/>
      <c r="ABT349" s="3"/>
      <c r="ABU349" s="3"/>
      <c r="ABV349" s="3"/>
      <c r="ABW349" s="3"/>
      <c r="ABX349" s="3"/>
      <c r="ABY349" s="3"/>
      <c r="ABZ349" s="3"/>
      <c r="ACA349" s="3"/>
      <c r="ACB349" s="3"/>
      <c r="ACC349" s="3"/>
      <c r="ACD349" s="3"/>
      <c r="ACE349" s="3"/>
      <c r="ACF349" s="3"/>
      <c r="ACG349" s="3"/>
      <c r="ACH349" s="3"/>
      <c r="ACI349" s="3"/>
      <c r="ACJ349" s="3"/>
      <c r="ACK349" s="3"/>
      <c r="ACL349" s="3"/>
      <c r="ACM349" s="3"/>
      <c r="ACN349" s="3"/>
      <c r="ACO349" s="3"/>
      <c r="ACP349" s="3"/>
      <c r="ACQ349" s="3"/>
      <c r="ACR349" s="3"/>
      <c r="ACS349" s="3"/>
      <c r="ACT349" s="3"/>
      <c r="ACU349" s="3"/>
      <c r="ACV349" s="3"/>
      <c r="ACW349" s="3"/>
      <c r="ACX349" s="3"/>
      <c r="ACY349" s="3"/>
      <c r="ACZ349" s="3"/>
      <c r="ADA349" s="3"/>
      <c r="ADB349" s="3"/>
      <c r="ADC349" s="3"/>
      <c r="ADD349" s="3"/>
      <c r="ADE349" s="3"/>
      <c r="ADF349" s="3"/>
      <c r="ADG349" s="3"/>
      <c r="ADH349" s="3"/>
      <c r="ADI349" s="3"/>
      <c r="ADJ349" s="3"/>
      <c r="ADK349" s="3"/>
      <c r="ADL349" s="3"/>
      <c r="ADM349" s="3"/>
      <c r="ADN349" s="3"/>
      <c r="ADO349" s="3"/>
      <c r="ADP349" s="3"/>
      <c r="ADQ349" s="3"/>
      <c r="ADR349" s="3"/>
      <c r="ADS349" s="3"/>
      <c r="ADT349" s="3"/>
      <c r="ADU349" s="3"/>
      <c r="ADV349" s="3"/>
      <c r="ADW349" s="3"/>
      <c r="ADX349" s="3"/>
      <c r="ADY349" s="3"/>
      <c r="ADZ349" s="3"/>
      <c r="AEA349" s="3"/>
      <c r="AEB349" s="3"/>
      <c r="AEC349" s="3"/>
      <c r="AED349" s="3"/>
      <c r="AEE349" s="3"/>
      <c r="AEF349" s="3"/>
      <c r="AEG349" s="3"/>
      <c r="AEH349" s="3"/>
      <c r="AEI349" s="3"/>
      <c r="AEJ349" s="3"/>
      <c r="AEK349" s="3"/>
      <c r="AEL349" s="3"/>
      <c r="AEM349" s="3"/>
      <c r="AEN349" s="3"/>
      <c r="AEO349" s="3"/>
      <c r="AEP349" s="3"/>
      <c r="AEQ349" s="3"/>
      <c r="AER349" s="3"/>
      <c r="AES349" s="3"/>
      <c r="AET349" s="3"/>
      <c r="AEU349" s="3"/>
      <c r="AEV349" s="3"/>
      <c r="AEW349" s="3"/>
      <c r="AEX349" s="3"/>
      <c r="AEY349" s="3"/>
      <c r="AEZ349" s="3"/>
      <c r="AFA349" s="3"/>
      <c r="AFB349" s="3"/>
      <c r="AFC349" s="3"/>
      <c r="AFD349" s="3"/>
      <c r="AFE349" s="3"/>
      <c r="AFF349" s="3"/>
      <c r="AFG349" s="3"/>
      <c r="AFH349" s="3"/>
      <c r="AFI349" s="3"/>
      <c r="AFJ349" s="3"/>
      <c r="AFK349" s="3"/>
      <c r="AFL349" s="3"/>
      <c r="AFM349" s="3"/>
      <c r="AFN349" s="3"/>
      <c r="AFO349" s="3"/>
      <c r="AFP349" s="3"/>
      <c r="AFQ349" s="3"/>
      <c r="AFR349" s="3"/>
      <c r="AFS349" s="3"/>
      <c r="AFT349" s="3"/>
      <c r="AFU349" s="3"/>
      <c r="AFV349" s="3"/>
      <c r="AFW349" s="3"/>
      <c r="AFX349" s="3"/>
      <c r="AFY349" s="3"/>
      <c r="AFZ349" s="3"/>
      <c r="AGA349" s="3"/>
      <c r="AGB349" s="3"/>
      <c r="AGC349" s="3"/>
      <c r="AGD349" s="3"/>
      <c r="AGE349" s="3"/>
      <c r="AGF349" s="3"/>
      <c r="AGG349" s="3"/>
      <c r="AGH349" s="3"/>
      <c r="AGI349" s="3"/>
      <c r="AGJ349" s="3"/>
      <c r="AGK349" s="3"/>
      <c r="AGL349" s="3"/>
      <c r="AGM349" s="3"/>
      <c r="AGN349" s="3"/>
      <c r="AGO349" s="3"/>
      <c r="AGP349" s="3"/>
      <c r="AGQ349" s="3"/>
      <c r="AGR349" s="3"/>
      <c r="AGS349" s="3"/>
      <c r="AGT349" s="3"/>
      <c r="AGU349" s="3"/>
      <c r="AGV349" s="3"/>
      <c r="AGW349" s="3"/>
      <c r="AGX349" s="3"/>
      <c r="AGY349" s="3"/>
      <c r="AGZ349" s="3"/>
      <c r="AHA349" s="3"/>
      <c r="AHB349" s="3"/>
      <c r="AHC349" s="3"/>
      <c r="AHD349" s="3"/>
      <c r="AHE349" s="3"/>
      <c r="AHF349" s="3"/>
      <c r="AHG349" s="3"/>
      <c r="AHH349" s="3"/>
      <c r="AHI349" s="3"/>
      <c r="AHJ349" s="3"/>
      <c r="AHK349" s="3"/>
      <c r="AHL349" s="3"/>
      <c r="AHM349" s="3"/>
      <c r="AHN349" s="3"/>
      <c r="AHO349" s="3"/>
      <c r="AHP349" s="3"/>
      <c r="AHQ349" s="3"/>
      <c r="AHR349" s="3"/>
      <c r="AHS349" s="3"/>
      <c r="AHT349" s="3"/>
      <c r="AHU349" s="3"/>
      <c r="AHV349" s="3"/>
      <c r="AHW349" s="3"/>
      <c r="AHX349" s="3"/>
      <c r="AHY349" s="3"/>
      <c r="AHZ349" s="3"/>
      <c r="AIA349" s="3"/>
      <c r="AIB349" s="3"/>
      <c r="AIC349" s="3"/>
      <c r="AID349" s="3"/>
      <c r="AIE349" s="3"/>
      <c r="AIF349" s="3"/>
      <c r="AIG349" s="3"/>
      <c r="AIH349" s="3"/>
      <c r="AII349" s="3"/>
      <c r="AIJ349" s="3"/>
      <c r="AIK349" s="3"/>
      <c r="AIL349" s="3"/>
      <c r="AIM349" s="3"/>
      <c r="AIN349" s="3"/>
      <c r="AIO349" s="3"/>
      <c r="AIP349" s="3"/>
      <c r="AIQ349" s="3"/>
      <c r="AIR349" s="3"/>
      <c r="AIS349" s="3"/>
      <c r="AIT349" s="3"/>
      <c r="AIU349" s="3"/>
      <c r="AIV349" s="3"/>
      <c r="AIW349" s="3"/>
      <c r="AIX349" s="3"/>
      <c r="AIY349" s="3"/>
      <c r="AIZ349" s="3"/>
      <c r="AJA349" s="3"/>
      <c r="AJB349" s="3"/>
      <c r="AJC349" s="3"/>
      <c r="AJD349" s="3"/>
      <c r="AJE349" s="3"/>
      <c r="AJF349" s="3"/>
      <c r="AJG349" s="3"/>
      <c r="AJH349" s="3"/>
      <c r="AJI349" s="3"/>
      <c r="AJJ349" s="3"/>
      <c r="AJK349" s="3"/>
      <c r="AJL349" s="3"/>
      <c r="AJM349" s="3"/>
      <c r="AJN349" s="3"/>
      <c r="AJO349" s="3"/>
      <c r="AJP349" s="3"/>
      <c r="AJQ349" s="3"/>
      <c r="AJR349" s="3"/>
      <c r="AJS349" s="3"/>
      <c r="AJT349" s="3"/>
      <c r="AJU349" s="3"/>
      <c r="AJV349" s="3"/>
      <c r="AJW349" s="3"/>
      <c r="AJX349" s="3"/>
      <c r="AJY349" s="3"/>
      <c r="AJZ349" s="3"/>
      <c r="AKA349" s="3"/>
      <c r="AKB349" s="3"/>
      <c r="AKC349" s="3"/>
      <c r="AKD349" s="3"/>
      <c r="AKE349" s="3"/>
      <c r="AKF349" s="3"/>
      <c r="AKG349" s="3"/>
      <c r="AKH349" s="3"/>
      <c r="AKI349" s="3"/>
      <c r="AKJ349" s="3"/>
      <c r="AKK349" s="3"/>
      <c r="AKL349" s="3"/>
      <c r="AKM349" s="3"/>
      <c r="AKN349" s="3"/>
      <c r="AKO349" s="3"/>
      <c r="AKP349" s="3"/>
      <c r="AKQ349" s="3"/>
      <c r="AKR349" s="3"/>
      <c r="AKS349" s="3"/>
      <c r="AKT349" s="3"/>
      <c r="AKU349" s="3"/>
      <c r="AKV349" s="3"/>
      <c r="AKW349" s="3"/>
      <c r="AKX349" s="3"/>
      <c r="AKY349" s="3"/>
      <c r="AKZ349" s="3"/>
      <c r="ALA349" s="3"/>
      <c r="ALB349" s="3"/>
      <c r="ALC349" s="3"/>
      <c r="ALD349" s="3"/>
      <c r="ALE349" s="3"/>
      <c r="ALF349" s="3"/>
      <c r="ALG349" s="3"/>
      <c r="ALH349" s="3"/>
      <c r="ALI349" s="3"/>
      <c r="ALJ349" s="3"/>
      <c r="ALK349" s="3"/>
      <c r="ALL349" s="3"/>
      <c r="ALM349" s="3"/>
      <c r="ALN349" s="3"/>
      <c r="ALO349" s="3"/>
      <c r="ALP349" s="3"/>
      <c r="ALQ349" s="3"/>
      <c r="ALR349" s="3"/>
      <c r="ALS349" s="3"/>
      <c r="ALT349" s="3"/>
      <c r="ALU349" s="3"/>
      <c r="ALV349" s="3"/>
      <c r="ALW349" s="3"/>
      <c r="ALX349" s="3"/>
      <c r="ALY349" s="3"/>
      <c r="ALZ349" s="3"/>
      <c r="AMA349" s="3"/>
      <c r="AMB349" s="3"/>
      <c r="AMC349" s="3"/>
      <c r="AMD349" s="3"/>
      <c r="AME349" s="3"/>
      <c r="AMF349" s="3"/>
      <c r="AMG349" s="3"/>
      <c r="AMH349" s="3"/>
      <c r="AMI349" s="3"/>
      <c r="AMJ349" s="3"/>
      <c r="AMK349" s="3"/>
      <c r="AML349" s="3"/>
      <c r="AMM349" s="3"/>
    </row>
    <row r="350" spans="1:1027" ht="15" customHeight="1">
      <c r="A350" s="12">
        <v>928</v>
      </c>
      <c r="B350" s="13" t="s">
        <v>599</v>
      </c>
      <c r="C350" s="14"/>
      <c r="D350" s="14" t="s">
        <v>598</v>
      </c>
      <c r="E350" s="14" t="s">
        <v>580</v>
      </c>
      <c r="F350" s="15" t="s">
        <v>22</v>
      </c>
      <c r="G350" s="21"/>
      <c r="H350" s="58"/>
      <c r="I350" s="14"/>
      <c r="J350" s="14" t="s">
        <v>23</v>
      </c>
      <c r="K350" s="14"/>
      <c r="L350" s="14"/>
      <c r="M350" s="14" t="s">
        <v>29</v>
      </c>
      <c r="N350" s="14" t="s">
        <v>25</v>
      </c>
      <c r="O350" s="14"/>
      <c r="P350" s="14"/>
      <c r="Q350" s="14"/>
      <c r="R350" s="14" t="s">
        <v>30</v>
      </c>
    </row>
    <row r="351" spans="1:1027" ht="15" customHeight="1">
      <c r="A351" s="12">
        <v>1717</v>
      </c>
      <c r="B351" s="13" t="s">
        <v>600</v>
      </c>
      <c r="C351" s="14"/>
      <c r="D351" s="14" t="s">
        <v>598</v>
      </c>
      <c r="E351" s="14" t="s">
        <v>580</v>
      </c>
      <c r="F351" s="15" t="s">
        <v>22</v>
      </c>
      <c r="G351" s="14"/>
      <c r="H351" s="58">
        <v>0</v>
      </c>
      <c r="I351" s="14"/>
      <c r="J351" s="14" t="s">
        <v>23</v>
      </c>
      <c r="K351" s="14"/>
      <c r="L351" s="14"/>
      <c r="M351" s="14" t="s">
        <v>32</v>
      </c>
      <c r="N351" s="14" t="s">
        <v>25</v>
      </c>
      <c r="O351" s="14"/>
      <c r="P351" s="14"/>
      <c r="Q351" s="14"/>
      <c r="R351" s="14" t="s">
        <v>308</v>
      </c>
    </row>
    <row r="352" spans="1:1027" ht="15" customHeight="1">
      <c r="A352" s="12">
        <v>152</v>
      </c>
      <c r="B352" s="13" t="s">
        <v>601</v>
      </c>
      <c r="C352" s="14"/>
      <c r="D352" s="14" t="s">
        <v>602</v>
      </c>
      <c r="E352" s="14" t="s">
        <v>36</v>
      </c>
      <c r="F352" s="15" t="s">
        <v>22</v>
      </c>
      <c r="G352" s="14"/>
      <c r="H352" s="58"/>
      <c r="I352" s="14"/>
      <c r="J352" s="14" t="s">
        <v>23</v>
      </c>
      <c r="K352" s="14"/>
      <c r="L352" s="14"/>
      <c r="M352" s="14" t="s">
        <v>27</v>
      </c>
      <c r="N352" s="22" t="s">
        <v>25</v>
      </c>
      <c r="O352" s="14"/>
      <c r="P352" s="14"/>
      <c r="Q352" s="14"/>
      <c r="R352" s="17">
        <v>43633</v>
      </c>
    </row>
    <row r="353" spans="1:18" ht="15" customHeight="1">
      <c r="A353" s="12">
        <v>929</v>
      </c>
      <c r="B353" s="13" t="s">
        <v>603</v>
      </c>
      <c r="C353" s="14"/>
      <c r="D353" s="14" t="s">
        <v>602</v>
      </c>
      <c r="E353" s="14" t="s">
        <v>36</v>
      </c>
      <c r="F353" s="15" t="s">
        <v>22</v>
      </c>
      <c r="G353" s="21"/>
      <c r="H353" s="58"/>
      <c r="I353" s="14"/>
      <c r="J353" s="14" t="s">
        <v>23</v>
      </c>
      <c r="K353" s="14"/>
      <c r="L353" s="14"/>
      <c r="M353" s="14" t="s">
        <v>29</v>
      </c>
      <c r="N353" s="14" t="s">
        <v>25</v>
      </c>
      <c r="O353" s="14"/>
      <c r="P353" s="14"/>
      <c r="Q353" s="14"/>
      <c r="R353" s="14" t="s">
        <v>30</v>
      </c>
    </row>
    <row r="354" spans="1:18" ht="15" customHeight="1">
      <c r="A354" s="12">
        <v>1718</v>
      </c>
      <c r="B354" s="13" t="s">
        <v>604</v>
      </c>
      <c r="C354" s="14"/>
      <c r="D354" s="14" t="s">
        <v>602</v>
      </c>
      <c r="E354" s="14" t="s">
        <v>36</v>
      </c>
      <c r="F354" s="15" t="s">
        <v>22</v>
      </c>
      <c r="G354" s="14"/>
      <c r="H354" s="58">
        <v>0</v>
      </c>
      <c r="I354" s="14"/>
      <c r="J354" s="14" t="s">
        <v>23</v>
      </c>
      <c r="K354" s="14"/>
      <c r="L354" s="14"/>
      <c r="M354" s="14" t="s">
        <v>32</v>
      </c>
      <c r="N354" s="14" t="s">
        <v>25</v>
      </c>
      <c r="O354" s="14"/>
      <c r="P354" s="14"/>
      <c r="Q354" s="14"/>
      <c r="R354" s="14" t="s">
        <v>308</v>
      </c>
    </row>
    <row r="355" spans="1:18" ht="15" customHeight="1">
      <c r="A355" s="12">
        <v>153</v>
      </c>
      <c r="B355" s="13" t="s">
        <v>605</v>
      </c>
      <c r="C355" s="14"/>
      <c r="D355" s="14" t="s">
        <v>606</v>
      </c>
      <c r="E355" s="14" t="s">
        <v>92</v>
      </c>
      <c r="F355" s="15" t="s">
        <v>22</v>
      </c>
      <c r="G355" s="14"/>
      <c r="H355" s="58"/>
      <c r="I355" s="14"/>
      <c r="J355" s="14" t="s">
        <v>23</v>
      </c>
      <c r="K355" s="14"/>
      <c r="L355" s="14"/>
      <c r="M355" s="14" t="s">
        <v>27</v>
      </c>
      <c r="N355" s="25" t="s">
        <v>37</v>
      </c>
      <c r="O355" s="14" t="s">
        <v>38</v>
      </c>
      <c r="P355" s="14"/>
      <c r="Q355" s="14"/>
      <c r="R355" s="17">
        <v>43633</v>
      </c>
    </row>
    <row r="356" spans="1:18" ht="15" customHeight="1">
      <c r="A356" s="12">
        <v>930</v>
      </c>
      <c r="B356" s="13" t="s">
        <v>607</v>
      </c>
      <c r="C356" s="14"/>
      <c r="D356" s="14" t="s">
        <v>606</v>
      </c>
      <c r="E356" s="14" t="s">
        <v>92</v>
      </c>
      <c r="F356" s="15" t="s">
        <v>22</v>
      </c>
      <c r="G356" s="21"/>
      <c r="H356" s="58">
        <v>2</v>
      </c>
      <c r="I356" s="14"/>
      <c r="J356" s="14" t="s">
        <v>23</v>
      </c>
      <c r="K356" s="14"/>
      <c r="L356" s="14"/>
      <c r="M356" s="14" t="s">
        <v>29</v>
      </c>
      <c r="N356" s="25" t="s">
        <v>37</v>
      </c>
      <c r="O356" s="14" t="s">
        <v>608</v>
      </c>
      <c r="P356" s="14"/>
      <c r="Q356" s="14"/>
      <c r="R356" s="14" t="s">
        <v>30</v>
      </c>
    </row>
    <row r="357" spans="1:18" ht="15" customHeight="1">
      <c r="A357" s="12">
        <v>1719</v>
      </c>
      <c r="B357" s="13" t="s">
        <v>609</v>
      </c>
      <c r="C357" s="14"/>
      <c r="D357" s="14" t="s">
        <v>606</v>
      </c>
      <c r="E357" s="14" t="s">
        <v>92</v>
      </c>
      <c r="F357" s="15" t="s">
        <v>22</v>
      </c>
      <c r="G357" s="14"/>
      <c r="H357" s="58">
        <v>3</v>
      </c>
      <c r="I357" s="14"/>
      <c r="J357" s="14" t="s">
        <v>23</v>
      </c>
      <c r="K357" s="14"/>
      <c r="L357" s="14"/>
      <c r="M357" s="14" t="s">
        <v>32</v>
      </c>
      <c r="N357" s="25" t="s">
        <v>37</v>
      </c>
      <c r="O357" s="14" t="s">
        <v>610</v>
      </c>
      <c r="P357" s="14"/>
      <c r="Q357" s="14"/>
      <c r="R357" s="14" t="s">
        <v>308</v>
      </c>
    </row>
    <row r="358" spans="1:18" ht="15" customHeight="1">
      <c r="A358" s="12">
        <v>154</v>
      </c>
      <c r="B358" s="13" t="s">
        <v>611</v>
      </c>
      <c r="C358" s="14"/>
      <c r="D358" s="14" t="s">
        <v>612</v>
      </c>
      <c r="E358" s="14" t="s">
        <v>44</v>
      </c>
      <c r="F358" s="15" t="s">
        <v>22</v>
      </c>
      <c r="G358" s="14"/>
      <c r="H358" s="58"/>
      <c r="I358" s="14"/>
      <c r="J358" s="14" t="s">
        <v>23</v>
      </c>
      <c r="K358" s="14"/>
      <c r="L358" s="14"/>
      <c r="M358" s="14" t="s">
        <v>27</v>
      </c>
      <c r="N358" s="25" t="s">
        <v>37</v>
      </c>
      <c r="O358" s="14" t="s">
        <v>45</v>
      </c>
      <c r="P358" s="14"/>
      <c r="Q358" s="14"/>
      <c r="R358" s="17">
        <v>43633</v>
      </c>
    </row>
    <row r="359" spans="1:18" ht="15" customHeight="1">
      <c r="A359" s="12">
        <v>931</v>
      </c>
      <c r="B359" s="13" t="s">
        <v>613</v>
      </c>
      <c r="C359" s="14"/>
      <c r="D359" s="14" t="s">
        <v>612</v>
      </c>
      <c r="E359" s="14" t="s">
        <v>44</v>
      </c>
      <c r="F359" s="15" t="s">
        <v>22</v>
      </c>
      <c r="G359" s="21"/>
      <c r="H359" s="58">
        <v>1</v>
      </c>
      <c r="I359" s="14"/>
      <c r="J359" s="14" t="s">
        <v>23</v>
      </c>
      <c r="K359" s="14"/>
      <c r="L359" s="14"/>
      <c r="M359" s="14" t="s">
        <v>29</v>
      </c>
      <c r="N359" s="25" t="s">
        <v>37</v>
      </c>
      <c r="O359" s="14" t="s">
        <v>614</v>
      </c>
      <c r="P359" s="14"/>
      <c r="Q359" s="14"/>
      <c r="R359" s="14" t="s">
        <v>30</v>
      </c>
    </row>
    <row r="360" spans="1:18" ht="15" customHeight="1">
      <c r="A360" s="12">
        <v>1720</v>
      </c>
      <c r="B360" s="13" t="s">
        <v>615</v>
      </c>
      <c r="C360" s="14"/>
      <c r="D360" s="14" t="s">
        <v>612</v>
      </c>
      <c r="E360" s="14" t="s">
        <v>44</v>
      </c>
      <c r="F360" s="15" t="s">
        <v>22</v>
      </c>
      <c r="G360" s="14"/>
      <c r="H360" s="58">
        <v>4</v>
      </c>
      <c r="I360" s="14"/>
      <c r="J360" s="14" t="s">
        <v>23</v>
      </c>
      <c r="K360" s="14"/>
      <c r="L360" s="14"/>
      <c r="M360" s="14" t="s">
        <v>32</v>
      </c>
      <c r="N360" s="25" t="s">
        <v>37</v>
      </c>
      <c r="O360" s="14" t="s">
        <v>616</v>
      </c>
      <c r="P360" s="14"/>
      <c r="Q360" s="14"/>
      <c r="R360" s="14" t="s">
        <v>308</v>
      </c>
    </row>
    <row r="361" spans="1:18" ht="15" customHeight="1">
      <c r="A361" s="12">
        <v>155</v>
      </c>
      <c r="B361" s="13" t="s">
        <v>617</v>
      </c>
      <c r="C361" s="14"/>
      <c r="D361" s="14" t="s">
        <v>618</v>
      </c>
      <c r="E361" s="14" t="s">
        <v>172</v>
      </c>
      <c r="F361" s="15" t="s">
        <v>22</v>
      </c>
      <c r="G361" s="14"/>
      <c r="H361" s="58"/>
      <c r="I361" s="14"/>
      <c r="J361" s="14" t="s">
        <v>23</v>
      </c>
      <c r="K361" s="14"/>
      <c r="L361" s="14"/>
      <c r="M361" s="14" t="s">
        <v>27</v>
      </c>
      <c r="N361" s="25" t="s">
        <v>37</v>
      </c>
      <c r="O361" s="14" t="s">
        <v>45</v>
      </c>
      <c r="P361" s="14"/>
      <c r="Q361" s="14"/>
      <c r="R361" s="17">
        <v>43633</v>
      </c>
    </row>
    <row r="362" spans="1:18" ht="15" customHeight="1">
      <c r="A362" s="12">
        <v>932</v>
      </c>
      <c r="B362" s="13" t="s">
        <v>619</v>
      </c>
      <c r="C362" s="14"/>
      <c r="D362" s="14" t="s">
        <v>618</v>
      </c>
      <c r="E362" s="14" t="s">
        <v>172</v>
      </c>
      <c r="F362" s="15" t="s">
        <v>22</v>
      </c>
      <c r="G362" s="21"/>
      <c r="H362" s="58">
        <v>1</v>
      </c>
      <c r="I362" s="14"/>
      <c r="J362" s="14" t="s">
        <v>23</v>
      </c>
      <c r="K362" s="14"/>
      <c r="L362" s="14"/>
      <c r="M362" s="14" t="s">
        <v>29</v>
      </c>
      <c r="N362" s="25" t="s">
        <v>37</v>
      </c>
      <c r="O362" s="14" t="s">
        <v>620</v>
      </c>
      <c r="P362" s="14"/>
      <c r="Q362" s="14"/>
      <c r="R362" s="14" t="s">
        <v>30</v>
      </c>
    </row>
    <row r="363" spans="1:18" ht="15" customHeight="1">
      <c r="A363" s="12">
        <v>1721</v>
      </c>
      <c r="B363" s="13" t="s">
        <v>621</v>
      </c>
      <c r="C363" s="14"/>
      <c r="D363" s="14" t="s">
        <v>618</v>
      </c>
      <c r="E363" s="14" t="s">
        <v>172</v>
      </c>
      <c r="F363" s="15" t="s">
        <v>22</v>
      </c>
      <c r="G363" s="14"/>
      <c r="H363" s="58">
        <v>3</v>
      </c>
      <c r="I363" s="14"/>
      <c r="J363" s="14" t="s">
        <v>23</v>
      </c>
      <c r="K363" s="14"/>
      <c r="L363" s="14"/>
      <c r="M363" s="14" t="s">
        <v>32</v>
      </c>
      <c r="N363" s="25" t="s">
        <v>37</v>
      </c>
      <c r="O363" s="14" t="s">
        <v>82</v>
      </c>
      <c r="P363" s="14"/>
      <c r="Q363" s="14"/>
      <c r="R363" s="14" t="s">
        <v>308</v>
      </c>
    </row>
    <row r="364" spans="1:18" ht="15" customHeight="1">
      <c r="A364" s="12">
        <v>156</v>
      </c>
      <c r="B364" s="13" t="s">
        <v>622</v>
      </c>
      <c r="C364" s="14"/>
      <c r="D364" s="14" t="s">
        <v>623</v>
      </c>
      <c r="E364" s="14" t="s">
        <v>115</v>
      </c>
      <c r="F364" s="15" t="s">
        <v>22</v>
      </c>
      <c r="G364" s="14"/>
      <c r="H364" s="58"/>
      <c r="I364" s="14"/>
      <c r="J364" s="14" t="s">
        <v>23</v>
      </c>
      <c r="K364" s="14"/>
      <c r="L364" s="14"/>
      <c r="M364" s="14" t="s">
        <v>27</v>
      </c>
      <c r="N364" s="22" t="s">
        <v>25</v>
      </c>
      <c r="O364" s="14"/>
      <c r="P364" s="18"/>
      <c r="Q364" s="14"/>
      <c r="R364" s="17">
        <v>43633</v>
      </c>
    </row>
    <row r="365" spans="1:18" ht="15" customHeight="1">
      <c r="A365" s="12">
        <v>933</v>
      </c>
      <c r="B365" s="13" t="s">
        <v>624</v>
      </c>
      <c r="C365" s="14"/>
      <c r="D365" s="14" t="s">
        <v>623</v>
      </c>
      <c r="E365" s="14" t="s">
        <v>115</v>
      </c>
      <c r="F365" s="15" t="s">
        <v>22</v>
      </c>
      <c r="G365" s="21"/>
      <c r="H365" s="58"/>
      <c r="I365" s="14"/>
      <c r="J365" s="14" t="s">
        <v>23</v>
      </c>
      <c r="K365" s="14"/>
      <c r="L365" s="14"/>
      <c r="M365" s="14" t="s">
        <v>29</v>
      </c>
      <c r="N365" s="14" t="s">
        <v>25</v>
      </c>
      <c r="O365" s="14"/>
      <c r="P365" s="14"/>
      <c r="Q365" s="14"/>
      <c r="R365" s="14" t="s">
        <v>30</v>
      </c>
    </row>
    <row r="366" spans="1:18" ht="15" customHeight="1">
      <c r="A366" s="12">
        <v>1722</v>
      </c>
      <c r="B366" s="13" t="s">
        <v>625</v>
      </c>
      <c r="C366" s="14"/>
      <c r="D366" s="14" t="s">
        <v>623</v>
      </c>
      <c r="E366" s="14" t="s">
        <v>115</v>
      </c>
      <c r="F366" s="15" t="s">
        <v>22</v>
      </c>
      <c r="G366" s="14"/>
      <c r="H366" s="58">
        <v>1</v>
      </c>
      <c r="I366" s="14"/>
      <c r="J366" s="14" t="s">
        <v>23</v>
      </c>
      <c r="K366" s="14"/>
      <c r="L366" s="14"/>
      <c r="M366" s="14" t="s">
        <v>32</v>
      </c>
      <c r="N366" s="14" t="s">
        <v>25</v>
      </c>
      <c r="O366" s="14"/>
      <c r="P366" s="14"/>
      <c r="Q366" s="14"/>
      <c r="R366" s="14" t="s">
        <v>308</v>
      </c>
    </row>
    <row r="367" spans="1:18" ht="15" customHeight="1">
      <c r="A367" s="12">
        <v>157</v>
      </c>
      <c r="B367" s="13" t="s">
        <v>626</v>
      </c>
      <c r="C367" s="14"/>
      <c r="D367" s="14" t="s">
        <v>627</v>
      </c>
      <c r="E367" s="14" t="s">
        <v>21</v>
      </c>
      <c r="F367" s="15" t="s">
        <v>22</v>
      </c>
      <c r="G367" s="14"/>
      <c r="H367" s="58"/>
      <c r="I367" s="14"/>
      <c r="J367" s="14" t="s">
        <v>23</v>
      </c>
      <c r="K367" s="14"/>
      <c r="L367" s="14"/>
      <c r="M367" s="14" t="s">
        <v>27</v>
      </c>
      <c r="N367" s="25" t="s">
        <v>289</v>
      </c>
      <c r="O367" s="14" t="s">
        <v>221</v>
      </c>
      <c r="P367" s="18"/>
      <c r="Q367" s="14"/>
      <c r="R367" s="17">
        <v>43633</v>
      </c>
    </row>
    <row r="368" spans="1:18" ht="15" customHeight="1">
      <c r="A368" s="12">
        <v>934</v>
      </c>
      <c r="B368" s="13" t="s">
        <v>628</v>
      </c>
      <c r="C368" s="14"/>
      <c r="D368" s="14" t="s">
        <v>627</v>
      </c>
      <c r="E368" s="14" t="s">
        <v>21</v>
      </c>
      <c r="F368" s="15" t="s">
        <v>22</v>
      </c>
      <c r="G368" s="21"/>
      <c r="H368" s="58"/>
      <c r="I368" s="14"/>
      <c r="J368" s="14" t="s">
        <v>23</v>
      </c>
      <c r="K368" s="14"/>
      <c r="L368" s="14"/>
      <c r="M368" s="14" t="s">
        <v>29</v>
      </c>
      <c r="N368" s="14" t="s">
        <v>25</v>
      </c>
      <c r="O368" s="14"/>
      <c r="P368" s="14"/>
      <c r="Q368" s="14"/>
      <c r="R368" s="14" t="s">
        <v>30</v>
      </c>
    </row>
    <row r="369" spans="1:1027" ht="15" customHeight="1">
      <c r="A369" s="12">
        <v>1723</v>
      </c>
      <c r="B369" s="13" t="s">
        <v>629</v>
      </c>
      <c r="C369" s="14"/>
      <c r="D369" s="14" t="s">
        <v>627</v>
      </c>
      <c r="E369" s="14" t="s">
        <v>21</v>
      </c>
      <c r="F369" s="15" t="s">
        <v>22</v>
      </c>
      <c r="G369" s="14"/>
      <c r="H369" s="58">
        <v>0</v>
      </c>
      <c r="I369" s="14"/>
      <c r="J369" s="14" t="s">
        <v>23</v>
      </c>
      <c r="K369" s="14"/>
      <c r="L369" s="14"/>
      <c r="M369" s="14" t="s">
        <v>32</v>
      </c>
      <c r="N369" s="14" t="s">
        <v>25</v>
      </c>
      <c r="O369" s="14"/>
      <c r="P369" s="14"/>
      <c r="Q369" s="14"/>
      <c r="R369" s="14" t="s">
        <v>308</v>
      </c>
    </row>
    <row r="370" spans="1:1027" ht="15" customHeight="1">
      <c r="A370" s="12">
        <v>158</v>
      </c>
      <c r="B370" s="13" t="s">
        <v>630</v>
      </c>
      <c r="C370" s="14"/>
      <c r="D370" s="14" t="s">
        <v>631</v>
      </c>
      <c r="E370" s="14" t="s">
        <v>137</v>
      </c>
      <c r="F370" s="15" t="s">
        <v>22</v>
      </c>
      <c r="G370" s="14"/>
      <c r="H370" s="58"/>
      <c r="I370" s="14"/>
      <c r="J370" s="14" t="s">
        <v>23</v>
      </c>
      <c r="K370" s="14"/>
      <c r="L370" s="14"/>
      <c r="M370" s="14" t="s">
        <v>27</v>
      </c>
      <c r="N370" s="22" t="s">
        <v>25</v>
      </c>
      <c r="O370" s="14"/>
      <c r="P370" s="14"/>
      <c r="Q370" s="14"/>
      <c r="R370" s="17">
        <v>43633</v>
      </c>
    </row>
    <row r="371" spans="1:1027" ht="15" customHeight="1">
      <c r="A371" s="12">
        <v>935</v>
      </c>
      <c r="B371" s="13" t="s">
        <v>632</v>
      </c>
      <c r="C371" s="14"/>
      <c r="D371" s="14" t="s">
        <v>631</v>
      </c>
      <c r="E371" s="14" t="s">
        <v>137</v>
      </c>
      <c r="F371" s="15" t="s">
        <v>22</v>
      </c>
      <c r="G371" s="21"/>
      <c r="H371" s="58">
        <v>1</v>
      </c>
      <c r="I371" s="14"/>
      <c r="J371" s="14" t="s">
        <v>23</v>
      </c>
      <c r="K371" s="14"/>
      <c r="L371" s="14"/>
      <c r="M371" s="14" t="s">
        <v>29</v>
      </c>
      <c r="N371" s="14" t="s">
        <v>25</v>
      </c>
      <c r="O371" s="14"/>
      <c r="P371" s="14"/>
      <c r="Q371" s="14"/>
      <c r="R371" s="14" t="s">
        <v>30</v>
      </c>
    </row>
    <row r="372" spans="1:1027" ht="15" customHeight="1">
      <c r="A372" s="12">
        <v>1724</v>
      </c>
      <c r="B372" s="13" t="s">
        <v>633</v>
      </c>
      <c r="C372" s="14"/>
      <c r="D372" s="14" t="s">
        <v>631</v>
      </c>
      <c r="E372" s="14" t="s">
        <v>137</v>
      </c>
      <c r="F372" s="15" t="s">
        <v>22</v>
      </c>
      <c r="G372" s="14"/>
      <c r="H372" s="58">
        <v>0</v>
      </c>
      <c r="I372" s="14"/>
      <c r="J372" s="14" t="s">
        <v>23</v>
      </c>
      <c r="K372" s="14"/>
      <c r="L372" s="14"/>
      <c r="M372" s="14" t="s">
        <v>32</v>
      </c>
      <c r="N372" s="14" t="s">
        <v>25</v>
      </c>
      <c r="O372" s="14"/>
      <c r="P372" s="14"/>
      <c r="Q372" s="14"/>
      <c r="R372" s="14" t="s">
        <v>308</v>
      </c>
    </row>
    <row r="373" spans="1:1027" ht="15" customHeight="1">
      <c r="A373" s="12">
        <v>159</v>
      </c>
      <c r="B373" s="13" t="s">
        <v>634</v>
      </c>
      <c r="C373" s="14"/>
      <c r="D373" s="14" t="s">
        <v>635</v>
      </c>
      <c r="E373" s="14" t="s">
        <v>44</v>
      </c>
      <c r="F373" s="15" t="s">
        <v>22</v>
      </c>
      <c r="G373" s="14"/>
      <c r="H373" s="58"/>
      <c r="I373" s="14"/>
      <c r="J373" s="14" t="s">
        <v>23</v>
      </c>
      <c r="K373" s="14"/>
      <c r="L373" s="14"/>
      <c r="M373" s="14" t="s">
        <v>27</v>
      </c>
      <c r="N373" s="22" t="s">
        <v>25</v>
      </c>
      <c r="O373" s="14"/>
      <c r="P373" s="14"/>
      <c r="Q373" s="14"/>
      <c r="R373" s="17">
        <v>43633</v>
      </c>
    </row>
    <row r="374" spans="1:1027" ht="15" customHeight="1">
      <c r="A374" s="12">
        <v>936</v>
      </c>
      <c r="B374" s="13" t="s">
        <v>636</v>
      </c>
      <c r="C374" s="14"/>
      <c r="D374" s="14" t="s">
        <v>635</v>
      </c>
      <c r="E374" s="14" t="s">
        <v>44</v>
      </c>
      <c r="F374" s="15" t="s">
        <v>22</v>
      </c>
      <c r="G374" s="21"/>
      <c r="H374" s="58"/>
      <c r="I374" s="14"/>
      <c r="J374" s="14" t="s">
        <v>23</v>
      </c>
      <c r="K374" s="14"/>
      <c r="L374" s="14"/>
      <c r="M374" s="14" t="s">
        <v>29</v>
      </c>
      <c r="N374" s="25" t="s">
        <v>37</v>
      </c>
      <c r="O374" s="14" t="s">
        <v>637</v>
      </c>
      <c r="P374" s="14"/>
      <c r="Q374" s="14"/>
      <c r="R374" s="14" t="s">
        <v>30</v>
      </c>
    </row>
    <row r="375" spans="1:1027" ht="15" customHeight="1">
      <c r="A375" s="12">
        <v>1725</v>
      </c>
      <c r="B375" s="13" t="s">
        <v>638</v>
      </c>
      <c r="C375" s="14"/>
      <c r="D375" s="14" t="s">
        <v>635</v>
      </c>
      <c r="E375" s="14" t="s">
        <v>44</v>
      </c>
      <c r="F375" s="15" t="s">
        <v>22</v>
      </c>
      <c r="G375" s="14"/>
      <c r="H375" s="58">
        <v>2</v>
      </c>
      <c r="I375" s="14"/>
      <c r="J375" s="14" t="s">
        <v>23</v>
      </c>
      <c r="K375" s="14"/>
      <c r="L375" s="14"/>
      <c r="M375" s="14" t="s">
        <v>32</v>
      </c>
      <c r="N375" s="25" t="s">
        <v>37</v>
      </c>
      <c r="O375" s="14" t="s">
        <v>639</v>
      </c>
      <c r="P375" s="14"/>
      <c r="Q375" s="14"/>
      <c r="R375" s="14" t="s">
        <v>308</v>
      </c>
    </row>
    <row r="376" spans="1:1027" ht="15" customHeight="1">
      <c r="A376" s="12">
        <v>160</v>
      </c>
      <c r="B376" s="13" t="s">
        <v>640</v>
      </c>
      <c r="C376" s="14"/>
      <c r="D376" s="14" t="s">
        <v>641</v>
      </c>
      <c r="E376" s="14" t="s">
        <v>36</v>
      </c>
      <c r="F376" s="15" t="s">
        <v>22</v>
      </c>
      <c r="G376" s="14"/>
      <c r="H376" s="58"/>
      <c r="I376" s="14"/>
      <c r="J376" s="14" t="s">
        <v>23</v>
      </c>
      <c r="K376" s="14"/>
      <c r="L376" s="14"/>
      <c r="M376" s="14" t="s">
        <v>27</v>
      </c>
      <c r="N376" s="25" t="s">
        <v>37</v>
      </c>
      <c r="O376" s="14" t="s">
        <v>80</v>
      </c>
      <c r="P376" s="14"/>
      <c r="Q376" s="14"/>
      <c r="R376" s="17">
        <v>43633</v>
      </c>
    </row>
    <row r="377" spans="1:1027" ht="15" customHeight="1">
      <c r="A377" s="12">
        <v>937</v>
      </c>
      <c r="B377" s="13" t="s">
        <v>642</v>
      </c>
      <c r="C377" s="14"/>
      <c r="D377" s="14" t="s">
        <v>641</v>
      </c>
      <c r="E377" s="14" t="s">
        <v>36</v>
      </c>
      <c r="F377" s="15" t="s">
        <v>22</v>
      </c>
      <c r="G377" s="21"/>
      <c r="H377" s="58">
        <v>1</v>
      </c>
      <c r="I377" s="14"/>
      <c r="J377" s="14" t="s">
        <v>23</v>
      </c>
      <c r="K377" s="14"/>
      <c r="L377" s="14"/>
      <c r="M377" s="14" t="s">
        <v>29</v>
      </c>
      <c r="N377" s="25" t="s">
        <v>37</v>
      </c>
      <c r="O377" s="14" t="s">
        <v>643</v>
      </c>
      <c r="P377" s="14"/>
      <c r="Q377" s="14"/>
      <c r="R377" s="14" t="s">
        <v>30</v>
      </c>
    </row>
    <row r="378" spans="1:1027" ht="15" customHeight="1">
      <c r="A378" s="12">
        <v>1726</v>
      </c>
      <c r="B378" s="13" t="s">
        <v>644</v>
      </c>
      <c r="C378" s="14"/>
      <c r="D378" s="14" t="s">
        <v>641</v>
      </c>
      <c r="E378" s="14" t="s">
        <v>36</v>
      </c>
      <c r="F378" s="15" t="s">
        <v>22</v>
      </c>
      <c r="G378" s="14"/>
      <c r="H378" s="58">
        <v>3</v>
      </c>
      <c r="I378" s="14"/>
      <c r="J378" s="14" t="s">
        <v>23</v>
      </c>
      <c r="K378" s="14"/>
      <c r="L378" s="14"/>
      <c r="M378" s="14" t="s">
        <v>32</v>
      </c>
      <c r="N378" s="25" t="s">
        <v>37</v>
      </c>
      <c r="O378" s="14" t="s">
        <v>645</v>
      </c>
      <c r="P378" s="14"/>
      <c r="Q378" s="14"/>
      <c r="R378" s="14" t="s">
        <v>308</v>
      </c>
    </row>
    <row r="379" spans="1:1027" ht="15" customHeight="1">
      <c r="A379" s="12">
        <v>31</v>
      </c>
      <c r="B379" s="13" t="s">
        <v>646</v>
      </c>
      <c r="C379" s="14"/>
      <c r="D379" s="14" t="s">
        <v>647</v>
      </c>
      <c r="E379" s="14" t="s">
        <v>172</v>
      </c>
      <c r="F379" s="15" t="s">
        <v>22</v>
      </c>
      <c r="G379" s="14"/>
      <c r="H379" s="58"/>
      <c r="I379" s="14"/>
      <c r="J379" s="14" t="s">
        <v>23</v>
      </c>
      <c r="K379" s="15"/>
      <c r="L379" s="15"/>
      <c r="M379" s="14" t="s">
        <v>24</v>
      </c>
      <c r="N379" s="14" t="s">
        <v>25</v>
      </c>
      <c r="O379" s="14"/>
      <c r="P379" s="14"/>
      <c r="Q379" s="14"/>
      <c r="R379" s="17">
        <v>43599</v>
      </c>
      <c r="S379" s="12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WR379" s="3"/>
      <c r="WS379" s="3"/>
      <c r="WT379" s="3"/>
      <c r="WU379" s="3"/>
      <c r="WV379" s="3"/>
      <c r="WW379" s="3"/>
      <c r="WX379" s="3"/>
      <c r="WY379" s="3"/>
      <c r="WZ379" s="3"/>
      <c r="XA379" s="3"/>
      <c r="XB379" s="3"/>
      <c r="XC379" s="3"/>
      <c r="XD379" s="3"/>
      <c r="XE379" s="3"/>
      <c r="XF379" s="3"/>
      <c r="XG379" s="3"/>
      <c r="XH379" s="3"/>
      <c r="XI379" s="3"/>
      <c r="XJ379" s="3"/>
      <c r="XK379" s="3"/>
      <c r="XL379" s="3"/>
      <c r="XM379" s="3"/>
      <c r="XN379" s="3"/>
      <c r="XO379" s="3"/>
      <c r="XP379" s="3"/>
      <c r="XQ379" s="3"/>
      <c r="XR379" s="3"/>
      <c r="XS379" s="3"/>
      <c r="XT379" s="3"/>
      <c r="XU379" s="3"/>
      <c r="XV379" s="3"/>
      <c r="XW379" s="3"/>
      <c r="XX379" s="3"/>
      <c r="XY379" s="3"/>
      <c r="XZ379" s="3"/>
      <c r="YA379" s="3"/>
      <c r="YB379" s="3"/>
      <c r="YC379" s="3"/>
      <c r="YD379" s="3"/>
      <c r="YE379" s="3"/>
      <c r="YF379" s="3"/>
      <c r="YG379" s="3"/>
      <c r="YH379" s="3"/>
      <c r="YI379" s="3"/>
      <c r="YJ379" s="3"/>
      <c r="YK379" s="3"/>
      <c r="YL379" s="3"/>
      <c r="YM379" s="3"/>
      <c r="YN379" s="3"/>
      <c r="YO379" s="3"/>
      <c r="YP379" s="3"/>
      <c r="YQ379" s="3"/>
      <c r="YR379" s="3"/>
      <c r="YS379" s="3"/>
      <c r="YT379" s="3"/>
      <c r="YU379" s="3"/>
      <c r="YV379" s="3"/>
      <c r="YW379" s="3"/>
      <c r="YX379" s="3"/>
      <c r="YY379" s="3"/>
      <c r="YZ379" s="3"/>
      <c r="ZA379" s="3"/>
      <c r="ZB379" s="3"/>
      <c r="ZC379" s="3"/>
      <c r="ZD379" s="3"/>
      <c r="ZE379" s="3"/>
      <c r="ZF379" s="3"/>
      <c r="ZG379" s="3"/>
      <c r="ZH379" s="3"/>
      <c r="ZI379" s="3"/>
      <c r="ZJ379" s="3"/>
      <c r="ZK379" s="3"/>
      <c r="ZL379" s="3"/>
      <c r="ZM379" s="3"/>
      <c r="ZN379" s="3"/>
      <c r="ZO379" s="3"/>
      <c r="ZP379" s="3"/>
      <c r="ZQ379" s="3"/>
      <c r="ZR379" s="3"/>
      <c r="ZS379" s="3"/>
      <c r="ZT379" s="3"/>
      <c r="ZU379" s="3"/>
      <c r="ZV379" s="3"/>
      <c r="ZW379" s="3"/>
      <c r="ZX379" s="3"/>
      <c r="ZY379" s="3"/>
      <c r="ZZ379" s="3"/>
      <c r="AAA379" s="3"/>
      <c r="AAB379" s="3"/>
      <c r="AAC379" s="3"/>
      <c r="AAD379" s="3"/>
      <c r="AAE379" s="3"/>
      <c r="AAF379" s="3"/>
      <c r="AAG379" s="3"/>
      <c r="AAH379" s="3"/>
      <c r="AAI379" s="3"/>
      <c r="AAJ379" s="3"/>
      <c r="AAK379" s="3"/>
      <c r="AAL379" s="3"/>
      <c r="AAM379" s="3"/>
      <c r="AAN379" s="3"/>
      <c r="AAO379" s="3"/>
      <c r="AAP379" s="3"/>
      <c r="AAQ379" s="3"/>
      <c r="AAR379" s="3"/>
      <c r="AAS379" s="3"/>
      <c r="AAT379" s="3"/>
      <c r="AAU379" s="3"/>
      <c r="AAV379" s="3"/>
      <c r="AAW379" s="3"/>
      <c r="AAX379" s="3"/>
      <c r="AAY379" s="3"/>
      <c r="AAZ379" s="3"/>
      <c r="ABA379" s="3"/>
      <c r="ABB379" s="3"/>
      <c r="ABC379" s="3"/>
      <c r="ABD379" s="3"/>
      <c r="ABE379" s="3"/>
      <c r="ABF379" s="3"/>
      <c r="ABG379" s="3"/>
      <c r="ABH379" s="3"/>
      <c r="ABI379" s="3"/>
      <c r="ABJ379" s="3"/>
      <c r="ABK379" s="3"/>
      <c r="ABL379" s="3"/>
      <c r="ABM379" s="3"/>
      <c r="ABN379" s="3"/>
      <c r="ABO379" s="3"/>
      <c r="ABP379" s="3"/>
      <c r="ABQ379" s="3"/>
      <c r="ABR379" s="3"/>
      <c r="ABS379" s="3"/>
      <c r="ABT379" s="3"/>
      <c r="ABU379" s="3"/>
      <c r="ABV379" s="3"/>
      <c r="ABW379" s="3"/>
      <c r="ABX379" s="3"/>
      <c r="ABY379" s="3"/>
      <c r="ABZ379" s="3"/>
      <c r="ACA379" s="3"/>
      <c r="ACB379" s="3"/>
      <c r="ACC379" s="3"/>
      <c r="ACD379" s="3"/>
      <c r="ACE379" s="3"/>
      <c r="ACF379" s="3"/>
      <c r="ACG379" s="3"/>
      <c r="ACH379" s="3"/>
      <c r="ACI379" s="3"/>
      <c r="ACJ379" s="3"/>
      <c r="ACK379" s="3"/>
      <c r="ACL379" s="3"/>
      <c r="ACM379" s="3"/>
      <c r="ACN379" s="3"/>
      <c r="ACO379" s="3"/>
      <c r="ACP379" s="3"/>
      <c r="ACQ379" s="3"/>
      <c r="ACR379" s="3"/>
      <c r="ACS379" s="3"/>
      <c r="ACT379" s="3"/>
      <c r="ACU379" s="3"/>
      <c r="ACV379" s="3"/>
      <c r="ACW379" s="3"/>
      <c r="ACX379" s="3"/>
      <c r="ACY379" s="3"/>
      <c r="ACZ379" s="3"/>
      <c r="ADA379" s="3"/>
      <c r="ADB379" s="3"/>
      <c r="ADC379" s="3"/>
      <c r="ADD379" s="3"/>
      <c r="ADE379" s="3"/>
      <c r="ADF379" s="3"/>
      <c r="ADG379" s="3"/>
      <c r="ADH379" s="3"/>
      <c r="ADI379" s="3"/>
      <c r="ADJ379" s="3"/>
      <c r="ADK379" s="3"/>
      <c r="ADL379" s="3"/>
      <c r="ADM379" s="3"/>
      <c r="ADN379" s="3"/>
      <c r="ADO379" s="3"/>
      <c r="ADP379" s="3"/>
      <c r="ADQ379" s="3"/>
      <c r="ADR379" s="3"/>
      <c r="ADS379" s="3"/>
      <c r="ADT379" s="3"/>
      <c r="ADU379" s="3"/>
      <c r="ADV379" s="3"/>
      <c r="ADW379" s="3"/>
      <c r="ADX379" s="3"/>
      <c r="ADY379" s="3"/>
      <c r="ADZ379" s="3"/>
      <c r="AEA379" s="3"/>
      <c r="AEB379" s="3"/>
      <c r="AEC379" s="3"/>
      <c r="AED379" s="3"/>
      <c r="AEE379" s="3"/>
      <c r="AEF379" s="3"/>
      <c r="AEG379" s="3"/>
      <c r="AEH379" s="3"/>
      <c r="AEI379" s="3"/>
      <c r="AEJ379" s="3"/>
      <c r="AEK379" s="3"/>
      <c r="AEL379" s="3"/>
      <c r="AEM379" s="3"/>
      <c r="AEN379" s="3"/>
      <c r="AEO379" s="3"/>
      <c r="AEP379" s="3"/>
      <c r="AEQ379" s="3"/>
      <c r="AER379" s="3"/>
      <c r="AES379" s="3"/>
      <c r="AET379" s="3"/>
      <c r="AEU379" s="3"/>
      <c r="AEV379" s="3"/>
      <c r="AEW379" s="3"/>
      <c r="AEX379" s="3"/>
      <c r="AEY379" s="3"/>
      <c r="AEZ379" s="3"/>
      <c r="AFA379" s="3"/>
      <c r="AFB379" s="3"/>
      <c r="AFC379" s="3"/>
      <c r="AFD379" s="3"/>
      <c r="AFE379" s="3"/>
      <c r="AFF379" s="3"/>
      <c r="AFG379" s="3"/>
      <c r="AFH379" s="3"/>
      <c r="AFI379" s="3"/>
      <c r="AFJ379" s="3"/>
      <c r="AFK379" s="3"/>
      <c r="AFL379" s="3"/>
      <c r="AFM379" s="3"/>
      <c r="AFN379" s="3"/>
      <c r="AFO379" s="3"/>
      <c r="AFP379" s="3"/>
      <c r="AFQ379" s="3"/>
      <c r="AFR379" s="3"/>
      <c r="AFS379" s="3"/>
      <c r="AFT379" s="3"/>
      <c r="AFU379" s="3"/>
      <c r="AFV379" s="3"/>
      <c r="AFW379" s="3"/>
      <c r="AFX379" s="3"/>
      <c r="AFY379" s="3"/>
      <c r="AFZ379" s="3"/>
      <c r="AGA379" s="3"/>
      <c r="AGB379" s="3"/>
      <c r="AGC379" s="3"/>
      <c r="AGD379" s="3"/>
      <c r="AGE379" s="3"/>
      <c r="AGF379" s="3"/>
      <c r="AGG379" s="3"/>
      <c r="AGH379" s="3"/>
      <c r="AGI379" s="3"/>
      <c r="AGJ379" s="3"/>
      <c r="AGK379" s="3"/>
      <c r="AGL379" s="3"/>
      <c r="AGM379" s="3"/>
      <c r="AGN379" s="3"/>
      <c r="AGO379" s="3"/>
      <c r="AGP379" s="3"/>
      <c r="AGQ379" s="3"/>
      <c r="AGR379" s="3"/>
      <c r="AGS379" s="3"/>
      <c r="AGT379" s="3"/>
      <c r="AGU379" s="3"/>
      <c r="AGV379" s="3"/>
      <c r="AGW379" s="3"/>
      <c r="AGX379" s="3"/>
      <c r="AGY379" s="3"/>
      <c r="AGZ379" s="3"/>
      <c r="AHA379" s="3"/>
      <c r="AHB379" s="3"/>
      <c r="AHC379" s="3"/>
      <c r="AHD379" s="3"/>
      <c r="AHE379" s="3"/>
      <c r="AHF379" s="3"/>
      <c r="AHG379" s="3"/>
      <c r="AHH379" s="3"/>
      <c r="AHI379" s="3"/>
      <c r="AHJ379" s="3"/>
      <c r="AHK379" s="3"/>
      <c r="AHL379" s="3"/>
      <c r="AHM379" s="3"/>
      <c r="AHN379" s="3"/>
      <c r="AHO379" s="3"/>
      <c r="AHP379" s="3"/>
      <c r="AHQ379" s="3"/>
      <c r="AHR379" s="3"/>
      <c r="AHS379" s="3"/>
      <c r="AHT379" s="3"/>
      <c r="AHU379" s="3"/>
      <c r="AHV379" s="3"/>
      <c r="AHW379" s="3"/>
      <c r="AHX379" s="3"/>
      <c r="AHY379" s="3"/>
      <c r="AHZ379" s="3"/>
      <c r="AIA379" s="3"/>
      <c r="AIB379" s="3"/>
      <c r="AIC379" s="3"/>
      <c r="AID379" s="3"/>
      <c r="AIE379" s="3"/>
      <c r="AIF379" s="3"/>
      <c r="AIG379" s="3"/>
      <c r="AIH379" s="3"/>
      <c r="AII379" s="3"/>
      <c r="AIJ379" s="3"/>
      <c r="AIK379" s="3"/>
      <c r="AIL379" s="3"/>
      <c r="AIM379" s="3"/>
      <c r="AIN379" s="3"/>
      <c r="AIO379" s="3"/>
      <c r="AIP379" s="3"/>
      <c r="AIQ379" s="3"/>
      <c r="AIR379" s="3"/>
      <c r="AIS379" s="3"/>
      <c r="AIT379" s="3"/>
      <c r="AIU379" s="3"/>
      <c r="AIV379" s="3"/>
      <c r="AIW379" s="3"/>
      <c r="AIX379" s="3"/>
      <c r="AIY379" s="3"/>
      <c r="AIZ379" s="3"/>
      <c r="AJA379" s="3"/>
      <c r="AJB379" s="3"/>
      <c r="AJC379" s="3"/>
      <c r="AJD379" s="3"/>
      <c r="AJE379" s="3"/>
      <c r="AJF379" s="3"/>
      <c r="AJG379" s="3"/>
      <c r="AJH379" s="3"/>
      <c r="AJI379" s="3"/>
      <c r="AJJ379" s="3"/>
      <c r="AJK379" s="3"/>
      <c r="AJL379" s="3"/>
      <c r="AJM379" s="3"/>
      <c r="AJN379" s="3"/>
      <c r="AJO379" s="3"/>
      <c r="AJP379" s="3"/>
      <c r="AJQ379" s="3"/>
      <c r="AJR379" s="3"/>
      <c r="AJS379" s="3"/>
      <c r="AJT379" s="3"/>
      <c r="AJU379" s="3"/>
      <c r="AJV379" s="3"/>
      <c r="AJW379" s="3"/>
      <c r="AJX379" s="3"/>
      <c r="AJY379" s="3"/>
      <c r="AJZ379" s="3"/>
      <c r="AKA379" s="3"/>
      <c r="AKB379" s="3"/>
      <c r="AKC379" s="3"/>
      <c r="AKD379" s="3"/>
      <c r="AKE379" s="3"/>
      <c r="AKF379" s="3"/>
      <c r="AKG379" s="3"/>
      <c r="AKH379" s="3"/>
      <c r="AKI379" s="3"/>
      <c r="AKJ379" s="3"/>
      <c r="AKK379" s="3"/>
      <c r="AKL379" s="3"/>
      <c r="AKM379" s="3"/>
      <c r="AKN379" s="3"/>
      <c r="AKO379" s="3"/>
      <c r="AKP379" s="3"/>
      <c r="AKQ379" s="3"/>
      <c r="AKR379" s="3"/>
      <c r="AKS379" s="3"/>
      <c r="AKT379" s="3"/>
      <c r="AKU379" s="3"/>
      <c r="AKV379" s="3"/>
      <c r="AKW379" s="3"/>
      <c r="AKX379" s="3"/>
      <c r="AKY379" s="3"/>
      <c r="AKZ379" s="3"/>
      <c r="ALA379" s="3"/>
      <c r="ALB379" s="3"/>
      <c r="ALC379" s="3"/>
      <c r="ALD379" s="3"/>
      <c r="ALE379" s="3"/>
      <c r="ALF379" s="3"/>
      <c r="ALG379" s="3"/>
      <c r="ALH379" s="3"/>
      <c r="ALI379" s="3"/>
      <c r="ALJ379" s="3"/>
      <c r="ALK379" s="3"/>
      <c r="ALL379" s="3"/>
      <c r="ALM379" s="3"/>
      <c r="ALN379" s="3"/>
      <c r="ALO379" s="3"/>
      <c r="ALP379" s="3"/>
      <c r="ALQ379" s="3"/>
      <c r="ALR379" s="3"/>
      <c r="ALS379" s="3"/>
      <c r="ALT379" s="3"/>
      <c r="ALU379" s="3"/>
      <c r="ALV379" s="3"/>
      <c r="ALW379" s="3"/>
      <c r="ALX379" s="3"/>
      <c r="ALY379" s="3"/>
      <c r="ALZ379" s="3"/>
      <c r="AMA379" s="3"/>
      <c r="AMB379" s="3"/>
      <c r="AMC379" s="3"/>
      <c r="AMD379" s="3"/>
      <c r="AME379" s="3"/>
      <c r="AMF379" s="3"/>
      <c r="AMG379" s="3"/>
      <c r="AMH379" s="3"/>
      <c r="AMI379" s="3"/>
      <c r="AMJ379" s="3"/>
      <c r="AMK379" s="3"/>
      <c r="AML379" s="3"/>
      <c r="AMM379" s="3"/>
    </row>
    <row r="380" spans="1:1027" ht="15" customHeight="1">
      <c r="A380" s="12">
        <v>161</v>
      </c>
      <c r="B380" s="13" t="s">
        <v>648</v>
      </c>
      <c r="C380" s="14"/>
      <c r="D380" s="14" t="s">
        <v>647</v>
      </c>
      <c r="E380" s="14" t="s">
        <v>172</v>
      </c>
      <c r="F380" s="15" t="s">
        <v>22</v>
      </c>
      <c r="G380" s="14"/>
      <c r="H380" s="58"/>
      <c r="I380" s="14"/>
      <c r="J380" s="14" t="s">
        <v>23</v>
      </c>
      <c r="K380" s="14"/>
      <c r="L380" s="14"/>
      <c r="M380" s="14" t="s">
        <v>27</v>
      </c>
      <c r="N380" s="22" t="s">
        <v>25</v>
      </c>
      <c r="O380" s="14"/>
      <c r="P380" s="14"/>
      <c r="Q380" s="14"/>
      <c r="R380" s="17">
        <v>43633</v>
      </c>
    </row>
    <row r="381" spans="1:1027" ht="15" customHeight="1">
      <c r="A381" s="12">
        <v>938</v>
      </c>
      <c r="B381" s="13" t="s">
        <v>649</v>
      </c>
      <c r="C381" s="14"/>
      <c r="D381" s="14" t="s">
        <v>647</v>
      </c>
      <c r="E381" s="14" t="s">
        <v>172</v>
      </c>
      <c r="F381" s="15" t="s">
        <v>22</v>
      </c>
      <c r="G381" s="21"/>
      <c r="H381" s="58"/>
      <c r="I381" s="14"/>
      <c r="J381" s="14" t="s">
        <v>23</v>
      </c>
      <c r="K381" s="14"/>
      <c r="L381" s="14"/>
      <c r="M381" s="14" t="s">
        <v>29</v>
      </c>
      <c r="N381" s="14" t="s">
        <v>25</v>
      </c>
      <c r="O381" s="14"/>
      <c r="P381" s="14"/>
      <c r="Q381" s="14"/>
      <c r="R381" s="14" t="s">
        <v>650</v>
      </c>
    </row>
    <row r="382" spans="1:1027" ht="15" customHeight="1">
      <c r="A382" s="12">
        <v>1727</v>
      </c>
      <c r="B382" s="13" t="s">
        <v>651</v>
      </c>
      <c r="C382" s="14"/>
      <c r="D382" s="14" t="s">
        <v>647</v>
      </c>
      <c r="E382" s="14" t="s">
        <v>172</v>
      </c>
      <c r="F382" s="15" t="s">
        <v>22</v>
      </c>
      <c r="G382" s="14"/>
      <c r="H382" s="58">
        <v>2</v>
      </c>
      <c r="I382" s="14"/>
      <c r="J382" s="14" t="s">
        <v>23</v>
      </c>
      <c r="K382" s="14"/>
      <c r="L382" s="14"/>
      <c r="M382" s="14" t="s">
        <v>32</v>
      </c>
      <c r="N382" s="14" t="s">
        <v>25</v>
      </c>
      <c r="O382" s="14"/>
      <c r="P382" s="14"/>
      <c r="Q382" s="14"/>
      <c r="R382" s="14" t="s">
        <v>308</v>
      </c>
    </row>
    <row r="383" spans="1:1027" ht="15" customHeight="1">
      <c r="A383" s="12">
        <v>162</v>
      </c>
      <c r="B383" s="13" t="s">
        <v>652</v>
      </c>
      <c r="C383" s="14"/>
      <c r="D383" s="14" t="s">
        <v>653</v>
      </c>
      <c r="E383" s="14" t="s">
        <v>36</v>
      </c>
      <c r="F383" s="15" t="s">
        <v>22</v>
      </c>
      <c r="G383" s="14"/>
      <c r="H383" s="58"/>
      <c r="I383" s="14"/>
      <c r="J383" s="14" t="s">
        <v>23</v>
      </c>
      <c r="K383" s="14"/>
      <c r="L383" s="14"/>
      <c r="M383" s="14" t="s">
        <v>27</v>
      </c>
      <c r="N383" s="25" t="s">
        <v>37</v>
      </c>
      <c r="O383" s="14" t="s">
        <v>45</v>
      </c>
      <c r="P383" s="14"/>
      <c r="Q383" s="14"/>
      <c r="R383" s="14" t="s">
        <v>654</v>
      </c>
    </row>
    <row r="384" spans="1:1027" ht="15" customHeight="1">
      <c r="A384" s="12">
        <v>939</v>
      </c>
      <c r="B384" s="13" t="s">
        <v>655</v>
      </c>
      <c r="C384" s="14"/>
      <c r="D384" s="14" t="s">
        <v>653</v>
      </c>
      <c r="E384" s="14" t="s">
        <v>36</v>
      </c>
      <c r="F384" s="15" t="s">
        <v>22</v>
      </c>
      <c r="G384" s="21"/>
      <c r="H384" s="58">
        <v>3</v>
      </c>
      <c r="I384" s="14"/>
      <c r="J384" s="14" t="s">
        <v>23</v>
      </c>
      <c r="K384" s="14"/>
      <c r="L384" s="14"/>
      <c r="M384" s="14" t="s">
        <v>29</v>
      </c>
      <c r="N384" s="14" t="s">
        <v>25</v>
      </c>
      <c r="O384" s="14"/>
      <c r="P384" s="14"/>
      <c r="Q384" s="14"/>
      <c r="R384" s="14" t="s">
        <v>650</v>
      </c>
    </row>
    <row r="385" spans="1:1027" ht="15" customHeight="1">
      <c r="A385" s="12">
        <v>1728</v>
      </c>
      <c r="B385" s="13" t="s">
        <v>656</v>
      </c>
      <c r="C385" s="14"/>
      <c r="D385" s="14" t="s">
        <v>653</v>
      </c>
      <c r="E385" s="14" t="s">
        <v>36</v>
      </c>
      <c r="F385" s="15" t="s">
        <v>22</v>
      </c>
      <c r="G385" s="14"/>
      <c r="H385" s="58">
        <v>3</v>
      </c>
      <c r="I385" s="14"/>
      <c r="J385" s="14" t="s">
        <v>23</v>
      </c>
      <c r="K385" s="14"/>
      <c r="L385" s="14"/>
      <c r="M385" s="14" t="s">
        <v>32</v>
      </c>
      <c r="N385" s="25" t="s">
        <v>37</v>
      </c>
      <c r="O385" s="14" t="s">
        <v>657</v>
      </c>
      <c r="P385" s="14"/>
      <c r="Q385" s="14"/>
      <c r="R385" s="14" t="s">
        <v>308</v>
      </c>
    </row>
    <row r="386" spans="1:1027" ht="15" customHeight="1">
      <c r="A386" s="12">
        <v>163</v>
      </c>
      <c r="B386" s="13" t="s">
        <v>658</v>
      </c>
      <c r="C386" s="14"/>
      <c r="D386" s="14" t="s">
        <v>659</v>
      </c>
      <c r="E386" s="14" t="s">
        <v>44</v>
      </c>
      <c r="F386" s="15" t="s">
        <v>22</v>
      </c>
      <c r="G386" s="14"/>
      <c r="H386" s="58"/>
      <c r="I386" s="14"/>
      <c r="J386" s="14" t="s">
        <v>23</v>
      </c>
      <c r="K386" s="14"/>
      <c r="L386" s="14"/>
      <c r="M386" s="14" t="s">
        <v>27</v>
      </c>
      <c r="N386" s="22" t="s">
        <v>25</v>
      </c>
      <c r="O386" s="14"/>
      <c r="P386" s="14"/>
      <c r="Q386" s="14"/>
      <c r="R386" s="14" t="s">
        <v>654</v>
      </c>
    </row>
    <row r="387" spans="1:1027" ht="15" customHeight="1">
      <c r="A387" s="12">
        <v>940</v>
      </c>
      <c r="B387" s="13" t="s">
        <v>660</v>
      </c>
      <c r="C387" s="14"/>
      <c r="D387" s="14" t="s">
        <v>659</v>
      </c>
      <c r="E387" s="14" t="s">
        <v>44</v>
      </c>
      <c r="F387" s="15" t="s">
        <v>22</v>
      </c>
      <c r="G387" s="21"/>
      <c r="H387" s="58">
        <v>2</v>
      </c>
      <c r="I387" s="14"/>
      <c r="J387" s="14" t="s">
        <v>23</v>
      </c>
      <c r="K387" s="14"/>
      <c r="L387" s="14"/>
      <c r="M387" s="14" t="s">
        <v>29</v>
      </c>
      <c r="N387" s="25" t="s">
        <v>37</v>
      </c>
      <c r="O387" s="14" t="s">
        <v>661</v>
      </c>
      <c r="P387" s="14"/>
      <c r="Q387" s="14"/>
      <c r="R387" s="14" t="s">
        <v>650</v>
      </c>
    </row>
    <row r="388" spans="1:1027" ht="15" customHeight="1">
      <c r="A388" s="12">
        <v>1729</v>
      </c>
      <c r="B388" s="13" t="s">
        <v>662</v>
      </c>
      <c r="C388" s="14"/>
      <c r="D388" s="14" t="s">
        <v>659</v>
      </c>
      <c r="E388" s="14" t="s">
        <v>44</v>
      </c>
      <c r="F388" s="15" t="s">
        <v>22</v>
      </c>
      <c r="G388" s="14"/>
      <c r="H388" s="58">
        <v>3</v>
      </c>
      <c r="I388" s="14"/>
      <c r="J388" s="14" t="s">
        <v>23</v>
      </c>
      <c r="K388" s="14"/>
      <c r="L388" s="14"/>
      <c r="M388" s="14" t="s">
        <v>32</v>
      </c>
      <c r="N388" s="25" t="s">
        <v>37</v>
      </c>
      <c r="O388" s="14" t="s">
        <v>663</v>
      </c>
      <c r="P388" s="14"/>
      <c r="Q388" s="14"/>
      <c r="R388" s="14" t="s">
        <v>308</v>
      </c>
    </row>
    <row r="389" spans="1:1027" ht="15" customHeight="1">
      <c r="A389" s="12">
        <v>164</v>
      </c>
      <c r="B389" s="13" t="s">
        <v>664</v>
      </c>
      <c r="C389" s="14"/>
      <c r="D389" s="14" t="s">
        <v>665</v>
      </c>
      <c r="E389" s="14" t="s">
        <v>36</v>
      </c>
      <c r="F389" s="15" t="s">
        <v>22</v>
      </c>
      <c r="G389" s="14"/>
      <c r="H389" s="58">
        <v>1</v>
      </c>
      <c r="I389" s="14"/>
      <c r="J389" s="14" t="s">
        <v>23</v>
      </c>
      <c r="K389" s="14"/>
      <c r="L389" s="14"/>
      <c r="M389" s="14" t="s">
        <v>27</v>
      </c>
      <c r="N389" s="25" t="s">
        <v>37</v>
      </c>
      <c r="O389" s="14" t="s">
        <v>189</v>
      </c>
      <c r="P389" s="14"/>
      <c r="Q389" s="14"/>
      <c r="R389" s="14" t="s">
        <v>654</v>
      </c>
    </row>
    <row r="390" spans="1:1027" ht="15" customHeight="1">
      <c r="A390" s="12">
        <v>941</v>
      </c>
      <c r="B390" s="13" t="s">
        <v>666</v>
      </c>
      <c r="C390" s="14"/>
      <c r="D390" s="14" t="s">
        <v>665</v>
      </c>
      <c r="E390" s="14" t="s">
        <v>36</v>
      </c>
      <c r="F390" s="15" t="s">
        <v>22</v>
      </c>
      <c r="G390" s="21"/>
      <c r="H390" s="58">
        <v>3</v>
      </c>
      <c r="I390" s="14"/>
      <c r="J390" s="14" t="s">
        <v>23</v>
      </c>
      <c r="K390" s="14"/>
      <c r="L390" s="14"/>
      <c r="M390" s="14" t="s">
        <v>29</v>
      </c>
      <c r="N390" s="25" t="s">
        <v>37</v>
      </c>
      <c r="O390" s="14" t="s">
        <v>667</v>
      </c>
      <c r="P390" s="14"/>
      <c r="Q390" s="14"/>
      <c r="R390" s="14" t="s">
        <v>650</v>
      </c>
    </row>
    <row r="391" spans="1:1027" ht="15" customHeight="1">
      <c r="A391" s="12">
        <v>1730</v>
      </c>
      <c r="B391" s="13" t="s">
        <v>668</v>
      </c>
      <c r="C391" s="14"/>
      <c r="D391" s="14" t="s">
        <v>665</v>
      </c>
      <c r="E391" s="14" t="s">
        <v>36</v>
      </c>
      <c r="F391" s="15" t="s">
        <v>22</v>
      </c>
      <c r="G391" s="14"/>
      <c r="H391" s="58">
        <v>3</v>
      </c>
      <c r="I391" s="14"/>
      <c r="J391" s="14" t="s">
        <v>23</v>
      </c>
      <c r="K391" s="14"/>
      <c r="L391" s="14"/>
      <c r="M391" s="14" t="s">
        <v>32</v>
      </c>
      <c r="N391" s="25" t="s">
        <v>37</v>
      </c>
      <c r="O391" s="14" t="s">
        <v>669</v>
      </c>
      <c r="P391" s="14"/>
      <c r="Q391" s="14"/>
      <c r="R391" s="14" t="s">
        <v>308</v>
      </c>
    </row>
    <row r="392" spans="1:1027" ht="15" customHeight="1">
      <c r="A392" s="12">
        <v>165</v>
      </c>
      <c r="B392" s="13" t="s">
        <v>670</v>
      </c>
      <c r="C392" s="14"/>
      <c r="D392" s="14" t="s">
        <v>671</v>
      </c>
      <c r="E392" s="14" t="s">
        <v>115</v>
      </c>
      <c r="F392" s="15" t="s">
        <v>22</v>
      </c>
      <c r="G392" s="14"/>
      <c r="H392" s="58"/>
      <c r="I392" s="14"/>
      <c r="J392" s="14" t="s">
        <v>23</v>
      </c>
      <c r="K392" s="14"/>
      <c r="L392" s="14"/>
      <c r="M392" s="14" t="s">
        <v>27</v>
      </c>
      <c r="N392" s="22" t="s">
        <v>25</v>
      </c>
      <c r="O392" s="14"/>
      <c r="P392" s="14"/>
      <c r="Q392" s="14"/>
      <c r="R392" s="14" t="s">
        <v>654</v>
      </c>
    </row>
    <row r="393" spans="1:1027" ht="15" customHeight="1">
      <c r="A393" s="12">
        <v>942</v>
      </c>
      <c r="B393" s="13" t="s">
        <v>672</v>
      </c>
      <c r="C393" s="14"/>
      <c r="D393" s="14" t="s">
        <v>671</v>
      </c>
      <c r="E393" s="14" t="s">
        <v>115</v>
      </c>
      <c r="F393" s="15" t="s">
        <v>22</v>
      </c>
      <c r="G393" s="21"/>
      <c r="H393" s="58"/>
      <c r="I393" s="14"/>
      <c r="J393" s="14" t="s">
        <v>23</v>
      </c>
      <c r="K393" s="14"/>
      <c r="L393" s="14"/>
      <c r="M393" s="14" t="s">
        <v>29</v>
      </c>
      <c r="N393" s="14" t="s">
        <v>25</v>
      </c>
      <c r="O393" s="14"/>
      <c r="P393" s="14"/>
      <c r="Q393" s="14"/>
      <c r="R393" s="14" t="s">
        <v>650</v>
      </c>
    </row>
    <row r="394" spans="1:1027" ht="15" customHeight="1">
      <c r="A394" s="12">
        <v>1731</v>
      </c>
      <c r="B394" s="13" t="s">
        <v>673</v>
      </c>
      <c r="C394" s="14"/>
      <c r="D394" s="14" t="s">
        <v>671</v>
      </c>
      <c r="E394" s="14" t="s">
        <v>115</v>
      </c>
      <c r="F394" s="15" t="s">
        <v>22</v>
      </c>
      <c r="G394" s="14"/>
      <c r="H394" s="58">
        <v>0</v>
      </c>
      <c r="I394" s="14"/>
      <c r="J394" s="14" t="s">
        <v>23</v>
      </c>
      <c r="K394" s="14"/>
      <c r="L394" s="14"/>
      <c r="M394" s="14" t="s">
        <v>32</v>
      </c>
      <c r="N394" s="14" t="s">
        <v>25</v>
      </c>
      <c r="O394" s="14"/>
      <c r="P394" s="14"/>
      <c r="Q394" s="14"/>
      <c r="R394" s="14" t="s">
        <v>308</v>
      </c>
    </row>
    <row r="395" spans="1:1027" ht="15" customHeight="1">
      <c r="A395" s="12">
        <v>166</v>
      </c>
      <c r="B395" s="13" t="s">
        <v>674</v>
      </c>
      <c r="C395" s="14"/>
      <c r="D395" s="14" t="s">
        <v>675</v>
      </c>
      <c r="E395" s="14" t="s">
        <v>21</v>
      </c>
      <c r="F395" s="15" t="s">
        <v>22</v>
      </c>
      <c r="G395" s="14"/>
      <c r="H395" s="58"/>
      <c r="I395" s="14"/>
      <c r="J395" s="14" t="s">
        <v>23</v>
      </c>
      <c r="K395" s="14"/>
      <c r="L395" s="14"/>
      <c r="M395" s="14" t="s">
        <v>27</v>
      </c>
      <c r="N395" s="22" t="s">
        <v>25</v>
      </c>
      <c r="O395" s="14"/>
      <c r="P395" s="14"/>
      <c r="Q395" s="14"/>
      <c r="R395" s="14" t="s">
        <v>654</v>
      </c>
    </row>
    <row r="396" spans="1:1027" ht="15" customHeight="1">
      <c r="A396" s="12">
        <v>943</v>
      </c>
      <c r="B396" s="13" t="s">
        <v>676</v>
      </c>
      <c r="C396" s="14"/>
      <c r="D396" s="14" t="s">
        <v>675</v>
      </c>
      <c r="E396" s="14" t="s">
        <v>21</v>
      </c>
      <c r="F396" s="15" t="s">
        <v>22</v>
      </c>
      <c r="G396" s="21"/>
      <c r="H396" s="58"/>
      <c r="I396" s="14"/>
      <c r="J396" s="14" t="s">
        <v>23</v>
      </c>
      <c r="K396" s="14"/>
      <c r="L396" s="14"/>
      <c r="M396" s="14" t="s">
        <v>29</v>
      </c>
      <c r="N396" s="14" t="s">
        <v>25</v>
      </c>
      <c r="O396" s="14"/>
      <c r="P396" s="14"/>
      <c r="Q396" s="14"/>
      <c r="R396" s="14" t="s">
        <v>650</v>
      </c>
    </row>
    <row r="397" spans="1:1027" ht="15" customHeight="1">
      <c r="A397" s="12">
        <v>1732</v>
      </c>
      <c r="B397" s="13" t="s">
        <v>677</v>
      </c>
      <c r="C397" s="14"/>
      <c r="D397" s="14" t="s">
        <v>675</v>
      </c>
      <c r="E397" s="14" t="s">
        <v>21</v>
      </c>
      <c r="F397" s="15" t="s">
        <v>22</v>
      </c>
      <c r="G397" s="14"/>
      <c r="H397" s="58">
        <v>0</v>
      </c>
      <c r="I397" s="14"/>
      <c r="J397" s="14" t="s">
        <v>23</v>
      </c>
      <c r="K397" s="14"/>
      <c r="L397" s="14"/>
      <c r="M397" s="14" t="s">
        <v>32</v>
      </c>
      <c r="N397" s="14" t="s">
        <v>25</v>
      </c>
      <c r="O397" s="14"/>
      <c r="P397" s="14"/>
      <c r="Q397" s="14"/>
      <c r="R397" s="14" t="s">
        <v>308</v>
      </c>
    </row>
    <row r="398" spans="1:1027" ht="15" customHeight="1">
      <c r="A398" s="12">
        <v>39</v>
      </c>
      <c r="B398" s="13" t="s">
        <v>678</v>
      </c>
      <c r="C398" s="14"/>
      <c r="D398" s="14" t="s">
        <v>679</v>
      </c>
      <c r="E398" s="14" t="s">
        <v>44</v>
      </c>
      <c r="F398" s="15" t="s">
        <v>22</v>
      </c>
      <c r="G398" s="14"/>
      <c r="H398" s="58"/>
      <c r="I398" s="14"/>
      <c r="J398" s="14" t="s">
        <v>23</v>
      </c>
      <c r="K398" s="15"/>
      <c r="L398" s="15"/>
      <c r="M398" s="14" t="s">
        <v>24</v>
      </c>
      <c r="N398" s="14" t="s">
        <v>25</v>
      </c>
      <c r="O398" s="14"/>
      <c r="P398" s="14"/>
      <c r="Q398" s="14"/>
      <c r="R398" s="17">
        <v>43599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WP398" s="3"/>
      <c r="WQ398" s="3"/>
      <c r="WR398" s="3"/>
      <c r="WS398" s="3"/>
      <c r="WT398" s="3"/>
      <c r="WU398" s="3"/>
      <c r="WV398" s="3"/>
      <c r="WW398" s="3"/>
      <c r="WX398" s="3"/>
      <c r="WY398" s="3"/>
      <c r="WZ398" s="3"/>
      <c r="XA398" s="3"/>
      <c r="XB398" s="3"/>
      <c r="XC398" s="3"/>
      <c r="XD398" s="3"/>
      <c r="XE398" s="3"/>
      <c r="XF398" s="3"/>
      <c r="XG398" s="3"/>
      <c r="XH398" s="3"/>
      <c r="XI398" s="3"/>
      <c r="XJ398" s="3"/>
      <c r="XK398" s="3"/>
      <c r="XL398" s="3"/>
      <c r="XM398" s="3"/>
      <c r="XN398" s="3"/>
      <c r="XO398" s="3"/>
      <c r="XP398" s="3"/>
      <c r="XQ398" s="3"/>
      <c r="XR398" s="3"/>
      <c r="XS398" s="3"/>
      <c r="XT398" s="3"/>
      <c r="XU398" s="3"/>
      <c r="XV398" s="3"/>
      <c r="XW398" s="3"/>
      <c r="XX398" s="3"/>
      <c r="XY398" s="3"/>
      <c r="XZ398" s="3"/>
      <c r="YA398" s="3"/>
      <c r="YB398" s="3"/>
      <c r="YC398" s="3"/>
      <c r="YD398" s="3"/>
      <c r="YE398" s="3"/>
      <c r="YF398" s="3"/>
      <c r="YG398" s="3"/>
      <c r="YH398" s="3"/>
      <c r="YI398" s="3"/>
      <c r="YJ398" s="3"/>
      <c r="YK398" s="3"/>
      <c r="YL398" s="3"/>
      <c r="YM398" s="3"/>
      <c r="YN398" s="3"/>
      <c r="YO398" s="3"/>
      <c r="YP398" s="3"/>
      <c r="YQ398" s="3"/>
      <c r="YR398" s="3"/>
      <c r="YS398" s="3"/>
      <c r="YT398" s="3"/>
      <c r="YU398" s="3"/>
      <c r="YV398" s="3"/>
      <c r="YW398" s="3"/>
      <c r="YX398" s="3"/>
      <c r="YY398" s="3"/>
      <c r="YZ398" s="3"/>
      <c r="ZA398" s="3"/>
      <c r="ZB398" s="3"/>
      <c r="ZC398" s="3"/>
      <c r="ZD398" s="3"/>
      <c r="ZE398" s="3"/>
      <c r="ZF398" s="3"/>
      <c r="ZG398" s="3"/>
      <c r="ZH398" s="3"/>
      <c r="ZI398" s="3"/>
      <c r="ZJ398" s="3"/>
      <c r="ZK398" s="3"/>
      <c r="ZL398" s="3"/>
      <c r="ZM398" s="3"/>
      <c r="ZN398" s="3"/>
      <c r="ZO398" s="3"/>
      <c r="ZP398" s="3"/>
      <c r="ZQ398" s="3"/>
      <c r="ZR398" s="3"/>
      <c r="ZS398" s="3"/>
      <c r="ZT398" s="3"/>
      <c r="ZU398" s="3"/>
      <c r="ZV398" s="3"/>
      <c r="ZW398" s="3"/>
      <c r="ZX398" s="3"/>
      <c r="ZY398" s="3"/>
      <c r="ZZ398" s="3"/>
      <c r="AAA398" s="3"/>
      <c r="AAB398" s="3"/>
      <c r="AAC398" s="3"/>
      <c r="AAD398" s="3"/>
      <c r="AAE398" s="3"/>
      <c r="AAF398" s="3"/>
      <c r="AAG398" s="3"/>
      <c r="AAH398" s="3"/>
      <c r="AAI398" s="3"/>
      <c r="AAJ398" s="3"/>
      <c r="AAK398" s="3"/>
      <c r="AAL398" s="3"/>
      <c r="AAM398" s="3"/>
      <c r="AAN398" s="3"/>
      <c r="AAO398" s="3"/>
      <c r="AAP398" s="3"/>
      <c r="AAQ398" s="3"/>
      <c r="AAR398" s="3"/>
      <c r="AAS398" s="3"/>
      <c r="AAT398" s="3"/>
      <c r="AAU398" s="3"/>
      <c r="AAV398" s="3"/>
      <c r="AAW398" s="3"/>
      <c r="AAX398" s="3"/>
      <c r="AAY398" s="3"/>
      <c r="AAZ398" s="3"/>
      <c r="ABA398" s="3"/>
      <c r="ABB398" s="3"/>
      <c r="ABC398" s="3"/>
      <c r="ABD398" s="3"/>
      <c r="ABE398" s="3"/>
      <c r="ABF398" s="3"/>
      <c r="ABG398" s="3"/>
      <c r="ABH398" s="3"/>
      <c r="ABI398" s="3"/>
      <c r="ABJ398" s="3"/>
      <c r="ABK398" s="3"/>
      <c r="ABL398" s="3"/>
      <c r="ABM398" s="3"/>
      <c r="ABN398" s="3"/>
      <c r="ABO398" s="3"/>
      <c r="ABP398" s="3"/>
      <c r="ABQ398" s="3"/>
      <c r="ABR398" s="3"/>
      <c r="ABS398" s="3"/>
      <c r="ABT398" s="3"/>
      <c r="ABU398" s="3"/>
      <c r="ABV398" s="3"/>
      <c r="ABW398" s="3"/>
      <c r="ABX398" s="3"/>
      <c r="ABY398" s="3"/>
      <c r="ABZ398" s="3"/>
      <c r="ACA398" s="3"/>
      <c r="ACB398" s="3"/>
      <c r="ACC398" s="3"/>
      <c r="ACD398" s="3"/>
      <c r="ACE398" s="3"/>
      <c r="ACF398" s="3"/>
      <c r="ACG398" s="3"/>
      <c r="ACH398" s="3"/>
      <c r="ACI398" s="3"/>
      <c r="ACJ398" s="3"/>
      <c r="ACK398" s="3"/>
      <c r="ACL398" s="3"/>
      <c r="ACM398" s="3"/>
      <c r="ACN398" s="3"/>
      <c r="ACO398" s="3"/>
      <c r="ACP398" s="3"/>
      <c r="ACQ398" s="3"/>
      <c r="ACR398" s="3"/>
      <c r="ACS398" s="3"/>
      <c r="ACT398" s="3"/>
      <c r="ACU398" s="3"/>
      <c r="ACV398" s="3"/>
      <c r="ACW398" s="3"/>
      <c r="ACX398" s="3"/>
      <c r="ACY398" s="3"/>
      <c r="ACZ398" s="3"/>
      <c r="ADA398" s="3"/>
      <c r="ADB398" s="3"/>
      <c r="ADC398" s="3"/>
      <c r="ADD398" s="3"/>
      <c r="ADE398" s="3"/>
      <c r="ADF398" s="3"/>
      <c r="ADG398" s="3"/>
      <c r="ADH398" s="3"/>
      <c r="ADI398" s="3"/>
      <c r="ADJ398" s="3"/>
      <c r="ADK398" s="3"/>
      <c r="ADL398" s="3"/>
      <c r="ADM398" s="3"/>
      <c r="ADN398" s="3"/>
      <c r="ADO398" s="3"/>
      <c r="ADP398" s="3"/>
      <c r="ADQ398" s="3"/>
      <c r="ADR398" s="3"/>
      <c r="ADS398" s="3"/>
      <c r="ADT398" s="3"/>
      <c r="ADU398" s="3"/>
      <c r="ADV398" s="3"/>
      <c r="ADW398" s="3"/>
      <c r="ADX398" s="3"/>
      <c r="ADY398" s="3"/>
      <c r="ADZ398" s="3"/>
      <c r="AEA398" s="3"/>
      <c r="AEB398" s="3"/>
      <c r="AEC398" s="3"/>
      <c r="AED398" s="3"/>
      <c r="AEE398" s="3"/>
      <c r="AEF398" s="3"/>
      <c r="AEG398" s="3"/>
      <c r="AEH398" s="3"/>
      <c r="AEI398" s="3"/>
      <c r="AEJ398" s="3"/>
      <c r="AEK398" s="3"/>
      <c r="AEL398" s="3"/>
      <c r="AEM398" s="3"/>
      <c r="AEN398" s="3"/>
      <c r="AEO398" s="3"/>
      <c r="AEP398" s="3"/>
      <c r="AEQ398" s="3"/>
      <c r="AER398" s="3"/>
      <c r="AES398" s="3"/>
      <c r="AET398" s="3"/>
      <c r="AEU398" s="3"/>
      <c r="AEV398" s="3"/>
      <c r="AEW398" s="3"/>
      <c r="AEX398" s="3"/>
      <c r="AEY398" s="3"/>
      <c r="AEZ398" s="3"/>
      <c r="AFA398" s="3"/>
      <c r="AFB398" s="3"/>
      <c r="AFC398" s="3"/>
      <c r="AFD398" s="3"/>
      <c r="AFE398" s="3"/>
      <c r="AFF398" s="3"/>
      <c r="AFG398" s="3"/>
      <c r="AFH398" s="3"/>
      <c r="AFI398" s="3"/>
      <c r="AFJ398" s="3"/>
      <c r="AFK398" s="3"/>
      <c r="AFL398" s="3"/>
      <c r="AFM398" s="3"/>
      <c r="AFN398" s="3"/>
      <c r="AFO398" s="3"/>
      <c r="AFP398" s="3"/>
      <c r="AFQ398" s="3"/>
      <c r="AFR398" s="3"/>
      <c r="AFS398" s="3"/>
      <c r="AFT398" s="3"/>
      <c r="AFU398" s="3"/>
      <c r="AFV398" s="3"/>
      <c r="AFW398" s="3"/>
      <c r="AFX398" s="3"/>
      <c r="AFY398" s="3"/>
      <c r="AFZ398" s="3"/>
      <c r="AGA398" s="3"/>
      <c r="AGB398" s="3"/>
      <c r="AGC398" s="3"/>
      <c r="AGD398" s="3"/>
      <c r="AGE398" s="3"/>
      <c r="AGF398" s="3"/>
      <c r="AGG398" s="3"/>
      <c r="AGH398" s="3"/>
      <c r="AGI398" s="3"/>
      <c r="AGJ398" s="3"/>
      <c r="AGK398" s="3"/>
      <c r="AGL398" s="3"/>
      <c r="AGM398" s="3"/>
      <c r="AGN398" s="3"/>
      <c r="AGO398" s="3"/>
      <c r="AGP398" s="3"/>
      <c r="AGQ398" s="3"/>
      <c r="AGR398" s="3"/>
      <c r="AGS398" s="3"/>
      <c r="AGT398" s="3"/>
      <c r="AGU398" s="3"/>
      <c r="AGV398" s="3"/>
      <c r="AGW398" s="3"/>
      <c r="AGX398" s="3"/>
      <c r="AGY398" s="3"/>
      <c r="AGZ398" s="3"/>
      <c r="AHA398" s="3"/>
      <c r="AHB398" s="3"/>
      <c r="AHC398" s="3"/>
      <c r="AHD398" s="3"/>
      <c r="AHE398" s="3"/>
      <c r="AHF398" s="3"/>
      <c r="AHG398" s="3"/>
      <c r="AHH398" s="3"/>
      <c r="AHI398" s="3"/>
      <c r="AHJ398" s="3"/>
      <c r="AHK398" s="3"/>
      <c r="AHL398" s="3"/>
      <c r="AHM398" s="3"/>
      <c r="AHN398" s="3"/>
      <c r="AHO398" s="3"/>
      <c r="AHP398" s="3"/>
      <c r="AHQ398" s="3"/>
      <c r="AHR398" s="3"/>
      <c r="AHS398" s="3"/>
      <c r="AHT398" s="3"/>
      <c r="AHU398" s="3"/>
      <c r="AHV398" s="3"/>
      <c r="AHW398" s="3"/>
      <c r="AHX398" s="3"/>
      <c r="AHY398" s="3"/>
      <c r="AHZ398" s="3"/>
      <c r="AIA398" s="3"/>
      <c r="AIB398" s="3"/>
      <c r="AIC398" s="3"/>
      <c r="AID398" s="3"/>
      <c r="AIE398" s="3"/>
      <c r="AIF398" s="3"/>
      <c r="AIG398" s="3"/>
      <c r="AIH398" s="3"/>
      <c r="AII398" s="3"/>
      <c r="AIJ398" s="3"/>
      <c r="AIK398" s="3"/>
      <c r="AIL398" s="3"/>
      <c r="AIM398" s="3"/>
      <c r="AIN398" s="3"/>
      <c r="AIO398" s="3"/>
      <c r="AIP398" s="3"/>
      <c r="AIQ398" s="3"/>
      <c r="AIR398" s="3"/>
      <c r="AIS398" s="3"/>
      <c r="AIT398" s="3"/>
      <c r="AIU398" s="3"/>
      <c r="AIV398" s="3"/>
      <c r="AIW398" s="3"/>
      <c r="AIX398" s="3"/>
      <c r="AIY398" s="3"/>
      <c r="AIZ398" s="3"/>
      <c r="AJA398" s="3"/>
      <c r="AJB398" s="3"/>
      <c r="AJC398" s="3"/>
      <c r="AJD398" s="3"/>
      <c r="AJE398" s="3"/>
      <c r="AJF398" s="3"/>
      <c r="AJG398" s="3"/>
      <c r="AJH398" s="3"/>
      <c r="AJI398" s="3"/>
      <c r="AJJ398" s="3"/>
      <c r="AJK398" s="3"/>
      <c r="AJL398" s="3"/>
      <c r="AJM398" s="3"/>
      <c r="AJN398" s="3"/>
      <c r="AJO398" s="3"/>
      <c r="AJP398" s="3"/>
      <c r="AJQ398" s="3"/>
      <c r="AJR398" s="3"/>
      <c r="AJS398" s="3"/>
      <c r="AJT398" s="3"/>
      <c r="AJU398" s="3"/>
      <c r="AJV398" s="3"/>
      <c r="AJW398" s="3"/>
      <c r="AJX398" s="3"/>
      <c r="AJY398" s="3"/>
      <c r="AJZ398" s="3"/>
      <c r="AKA398" s="3"/>
      <c r="AKB398" s="3"/>
      <c r="AKC398" s="3"/>
      <c r="AKD398" s="3"/>
      <c r="AKE398" s="3"/>
      <c r="AKF398" s="3"/>
      <c r="AKG398" s="3"/>
      <c r="AKH398" s="3"/>
      <c r="AKI398" s="3"/>
      <c r="AKJ398" s="3"/>
      <c r="AKK398" s="3"/>
      <c r="AKL398" s="3"/>
      <c r="AKM398" s="3"/>
      <c r="AKN398" s="3"/>
      <c r="AKO398" s="3"/>
      <c r="AKP398" s="3"/>
      <c r="AKQ398" s="3"/>
      <c r="AKR398" s="3"/>
      <c r="AKS398" s="3"/>
      <c r="AKT398" s="3"/>
      <c r="AKU398" s="3"/>
      <c r="AKV398" s="3"/>
      <c r="AKW398" s="3"/>
      <c r="AKX398" s="3"/>
      <c r="AKY398" s="3"/>
      <c r="AKZ398" s="3"/>
      <c r="ALA398" s="3"/>
      <c r="ALB398" s="3"/>
      <c r="ALC398" s="3"/>
      <c r="ALD398" s="3"/>
      <c r="ALE398" s="3"/>
      <c r="ALF398" s="3"/>
      <c r="ALG398" s="3"/>
      <c r="ALH398" s="3"/>
      <c r="ALI398" s="3"/>
      <c r="ALJ398" s="3"/>
      <c r="ALK398" s="3"/>
      <c r="ALL398" s="3"/>
      <c r="ALM398" s="3"/>
      <c r="ALN398" s="3"/>
      <c r="ALO398" s="3"/>
      <c r="ALP398" s="3"/>
      <c r="ALQ398" s="3"/>
      <c r="ALR398" s="3"/>
      <c r="ALS398" s="3"/>
      <c r="ALT398" s="3"/>
      <c r="ALU398" s="3"/>
      <c r="ALV398" s="3"/>
      <c r="ALW398" s="3"/>
      <c r="ALX398" s="3"/>
      <c r="ALY398" s="3"/>
      <c r="ALZ398" s="3"/>
      <c r="AMA398" s="3"/>
      <c r="AMB398" s="3"/>
      <c r="AMC398" s="3"/>
      <c r="AMD398" s="3"/>
      <c r="AME398" s="3"/>
      <c r="AMF398" s="3"/>
      <c r="AMG398" s="3"/>
      <c r="AMH398" s="3"/>
      <c r="AMI398" s="3"/>
      <c r="AMJ398" s="3"/>
      <c r="AMK398" s="3"/>
      <c r="AML398" s="3"/>
      <c r="AMM398" s="3"/>
    </row>
    <row r="399" spans="1:1027" ht="15" customHeight="1">
      <c r="A399" s="12">
        <v>167</v>
      </c>
      <c r="B399" s="13" t="s">
        <v>680</v>
      </c>
      <c r="C399" s="14"/>
      <c r="D399" s="14" t="s">
        <v>679</v>
      </c>
      <c r="E399" s="14" t="s">
        <v>44</v>
      </c>
      <c r="F399" s="15" t="s">
        <v>22</v>
      </c>
      <c r="G399" s="14"/>
      <c r="H399" s="58"/>
      <c r="I399" s="14"/>
      <c r="J399" s="14" t="s">
        <v>23</v>
      </c>
      <c r="K399" s="14"/>
      <c r="L399" s="14"/>
      <c r="M399" s="14" t="s">
        <v>27</v>
      </c>
      <c r="N399" s="22" t="s">
        <v>25</v>
      </c>
      <c r="O399" s="14"/>
      <c r="P399" s="14"/>
      <c r="Q399" s="14"/>
      <c r="R399" s="14" t="s">
        <v>654</v>
      </c>
    </row>
    <row r="400" spans="1:1027" ht="15" customHeight="1">
      <c r="A400" s="12">
        <v>944</v>
      </c>
      <c r="B400" s="13" t="s">
        <v>681</v>
      </c>
      <c r="C400" s="14"/>
      <c r="D400" s="14" t="s">
        <v>679</v>
      </c>
      <c r="E400" s="14" t="s">
        <v>44</v>
      </c>
      <c r="F400" s="15" t="s">
        <v>22</v>
      </c>
      <c r="G400" s="21"/>
      <c r="H400" s="58">
        <v>1</v>
      </c>
      <c r="I400" s="14"/>
      <c r="J400" s="14" t="s">
        <v>23</v>
      </c>
      <c r="K400" s="14"/>
      <c r="L400" s="14"/>
      <c r="M400" s="14" t="s">
        <v>29</v>
      </c>
      <c r="N400" s="14" t="s">
        <v>25</v>
      </c>
      <c r="O400" s="14"/>
      <c r="P400" s="14"/>
      <c r="Q400" s="14"/>
      <c r="R400" s="14" t="s">
        <v>650</v>
      </c>
    </row>
    <row r="401" spans="1:18" ht="15" customHeight="1">
      <c r="A401" s="12">
        <v>1733</v>
      </c>
      <c r="B401" s="13" t="s">
        <v>682</v>
      </c>
      <c r="C401" s="14"/>
      <c r="D401" s="14" t="s">
        <v>679</v>
      </c>
      <c r="E401" s="14" t="s">
        <v>44</v>
      </c>
      <c r="F401" s="15" t="s">
        <v>22</v>
      </c>
      <c r="G401" s="14"/>
      <c r="H401" s="58">
        <v>1</v>
      </c>
      <c r="I401" s="14"/>
      <c r="J401" s="14" t="s">
        <v>23</v>
      </c>
      <c r="K401" s="14"/>
      <c r="L401" s="14"/>
      <c r="M401" s="14" t="s">
        <v>32</v>
      </c>
      <c r="N401" s="14" t="s">
        <v>25</v>
      </c>
      <c r="O401" s="14"/>
      <c r="P401" s="14"/>
      <c r="Q401" s="14"/>
      <c r="R401" s="14" t="s">
        <v>308</v>
      </c>
    </row>
    <row r="402" spans="1:18" ht="15" customHeight="1">
      <c r="A402" s="12">
        <v>168</v>
      </c>
      <c r="B402" s="13" t="s">
        <v>683</v>
      </c>
      <c r="C402" s="14"/>
      <c r="D402" s="14" t="s">
        <v>684</v>
      </c>
      <c r="E402" s="14" t="s">
        <v>137</v>
      </c>
      <c r="F402" s="15" t="s">
        <v>22</v>
      </c>
      <c r="G402" s="14"/>
      <c r="H402" s="58"/>
      <c r="I402" s="14"/>
      <c r="J402" s="14" t="s">
        <v>23</v>
      </c>
      <c r="K402" s="14"/>
      <c r="L402" s="14"/>
      <c r="M402" s="14" t="s">
        <v>27</v>
      </c>
      <c r="N402" s="25" t="s">
        <v>37</v>
      </c>
      <c r="O402" s="14" t="s">
        <v>52</v>
      </c>
      <c r="P402" s="14"/>
      <c r="Q402" s="14"/>
      <c r="R402" s="14" t="s">
        <v>654</v>
      </c>
    </row>
    <row r="403" spans="1:18" ht="15" customHeight="1">
      <c r="A403" s="12">
        <v>945</v>
      </c>
      <c r="B403" s="13" t="s">
        <v>685</v>
      </c>
      <c r="C403" s="14"/>
      <c r="D403" s="14" t="s">
        <v>684</v>
      </c>
      <c r="E403" s="14" t="s">
        <v>137</v>
      </c>
      <c r="F403" s="15" t="s">
        <v>22</v>
      </c>
      <c r="G403" s="21"/>
      <c r="H403" s="58">
        <v>1</v>
      </c>
      <c r="I403" s="14"/>
      <c r="J403" s="14" t="s">
        <v>23</v>
      </c>
      <c r="K403" s="14"/>
      <c r="L403" s="14"/>
      <c r="M403" s="14" t="s">
        <v>29</v>
      </c>
      <c r="N403" s="25" t="s">
        <v>289</v>
      </c>
      <c r="O403" s="14" t="s">
        <v>189</v>
      </c>
      <c r="P403" s="14"/>
      <c r="Q403" s="14"/>
      <c r="R403" s="14" t="s">
        <v>650</v>
      </c>
    </row>
    <row r="404" spans="1:18" ht="15" customHeight="1">
      <c r="A404" s="12">
        <v>1734</v>
      </c>
      <c r="B404" s="13" t="s">
        <v>686</v>
      </c>
      <c r="C404" s="14"/>
      <c r="D404" s="14" t="s">
        <v>684</v>
      </c>
      <c r="E404" s="14" t="s">
        <v>137</v>
      </c>
      <c r="F404" s="15" t="s">
        <v>22</v>
      </c>
      <c r="G404" s="14"/>
      <c r="H404" s="58">
        <v>3</v>
      </c>
      <c r="I404" s="14"/>
      <c r="J404" s="14" t="s">
        <v>23</v>
      </c>
      <c r="K404" s="14"/>
      <c r="L404" s="14"/>
      <c r="M404" s="14" t="s">
        <v>32</v>
      </c>
      <c r="N404" s="25" t="s">
        <v>37</v>
      </c>
      <c r="O404" s="14" t="s">
        <v>402</v>
      </c>
      <c r="P404" s="14"/>
      <c r="Q404" s="14"/>
      <c r="R404" s="14" t="s">
        <v>308</v>
      </c>
    </row>
    <row r="405" spans="1:18" ht="15" customHeight="1">
      <c r="A405" s="12">
        <v>169</v>
      </c>
      <c r="B405" s="13" t="s">
        <v>687</v>
      </c>
      <c r="C405" s="14"/>
      <c r="D405" s="14" t="s">
        <v>688</v>
      </c>
      <c r="E405" s="14" t="s">
        <v>115</v>
      </c>
      <c r="F405" s="15" t="s">
        <v>22</v>
      </c>
      <c r="G405" s="14"/>
      <c r="H405" s="58"/>
      <c r="I405" s="14"/>
      <c r="J405" s="14" t="s">
        <v>23</v>
      </c>
      <c r="K405" s="14"/>
      <c r="L405" s="14"/>
      <c r="M405" s="14" t="s">
        <v>689</v>
      </c>
      <c r="N405" s="25" t="s">
        <v>289</v>
      </c>
      <c r="O405" s="14" t="s">
        <v>189</v>
      </c>
      <c r="P405" s="14"/>
      <c r="Q405" s="14"/>
      <c r="R405" s="14" t="s">
        <v>654</v>
      </c>
    </row>
    <row r="406" spans="1:18" ht="15" customHeight="1">
      <c r="A406" s="12">
        <v>1735</v>
      </c>
      <c r="B406" s="13" t="s">
        <v>690</v>
      </c>
      <c r="C406" s="14"/>
      <c r="D406" s="14" t="s">
        <v>688</v>
      </c>
      <c r="E406" s="14" t="s">
        <v>115</v>
      </c>
      <c r="F406" s="15" t="s">
        <v>22</v>
      </c>
      <c r="G406" s="14"/>
      <c r="H406" s="58">
        <v>0</v>
      </c>
      <c r="I406" s="14"/>
      <c r="J406" s="14" t="s">
        <v>23</v>
      </c>
      <c r="K406" s="14"/>
      <c r="L406" s="14"/>
      <c r="M406" s="14" t="s">
        <v>32</v>
      </c>
      <c r="N406" s="25" t="s">
        <v>37</v>
      </c>
      <c r="O406" s="14" t="s">
        <v>691</v>
      </c>
      <c r="P406" s="14"/>
      <c r="Q406" s="14"/>
      <c r="R406" s="14" t="s">
        <v>308</v>
      </c>
    </row>
    <row r="407" spans="1:18" ht="15" customHeight="1">
      <c r="A407" s="12">
        <v>170</v>
      </c>
      <c r="B407" s="13" t="s">
        <v>692</v>
      </c>
      <c r="C407" s="14"/>
      <c r="D407" s="14" t="s">
        <v>693</v>
      </c>
      <c r="E407" s="14" t="s">
        <v>694</v>
      </c>
      <c r="F407" s="15" t="s">
        <v>22</v>
      </c>
      <c r="G407" s="14"/>
      <c r="H407" s="58"/>
      <c r="I407" s="14"/>
      <c r="J407" s="14" t="s">
        <v>23</v>
      </c>
      <c r="K407" s="14"/>
      <c r="L407" s="14"/>
      <c r="M407" s="14" t="s">
        <v>689</v>
      </c>
      <c r="N407" s="25" t="s">
        <v>37</v>
      </c>
      <c r="O407" s="14" t="s">
        <v>80</v>
      </c>
      <c r="P407" s="14"/>
      <c r="Q407" s="14"/>
      <c r="R407" s="14" t="s">
        <v>654</v>
      </c>
    </row>
    <row r="408" spans="1:18" ht="15" customHeight="1">
      <c r="A408" s="12">
        <v>946</v>
      </c>
      <c r="B408" s="13" t="s">
        <v>695</v>
      </c>
      <c r="C408" s="14"/>
      <c r="D408" s="14" t="s">
        <v>693</v>
      </c>
      <c r="E408" s="14" t="s">
        <v>694</v>
      </c>
      <c r="F408" s="15" t="s">
        <v>22</v>
      </c>
      <c r="G408" s="21"/>
      <c r="H408" s="58">
        <v>3</v>
      </c>
      <c r="I408" s="14"/>
      <c r="J408" s="14" t="s">
        <v>23</v>
      </c>
      <c r="K408" s="14"/>
      <c r="L408" s="14"/>
      <c r="M408" s="14" t="s">
        <v>29</v>
      </c>
      <c r="N408" s="25" t="s">
        <v>37</v>
      </c>
      <c r="O408" s="14" t="s">
        <v>696</v>
      </c>
      <c r="P408" s="14"/>
      <c r="Q408" s="14"/>
      <c r="R408" s="14" t="s">
        <v>650</v>
      </c>
    </row>
    <row r="409" spans="1:18" ht="15" customHeight="1">
      <c r="A409" s="12">
        <v>171</v>
      </c>
      <c r="B409" s="13" t="s">
        <v>697</v>
      </c>
      <c r="C409" s="14"/>
      <c r="D409" s="14" t="s">
        <v>698</v>
      </c>
      <c r="E409" s="14" t="s">
        <v>36</v>
      </c>
      <c r="F409" s="15" t="s">
        <v>22</v>
      </c>
      <c r="G409" s="14"/>
      <c r="H409" s="58"/>
      <c r="I409" s="14"/>
      <c r="J409" s="14" t="s">
        <v>23</v>
      </c>
      <c r="K409" s="14"/>
      <c r="L409" s="14"/>
      <c r="M409" s="14" t="s">
        <v>689</v>
      </c>
      <c r="N409" s="22" t="s">
        <v>25</v>
      </c>
      <c r="O409" s="14"/>
      <c r="P409" s="14"/>
      <c r="Q409" s="14"/>
      <c r="R409" s="14" t="s">
        <v>654</v>
      </c>
    </row>
    <row r="410" spans="1:18" ht="15" customHeight="1">
      <c r="A410" s="12">
        <v>947</v>
      </c>
      <c r="B410" s="13" t="s">
        <v>699</v>
      </c>
      <c r="C410" s="14"/>
      <c r="D410" s="14" t="s">
        <v>698</v>
      </c>
      <c r="E410" s="14" t="s">
        <v>36</v>
      </c>
      <c r="F410" s="15" t="s">
        <v>22</v>
      </c>
      <c r="G410" s="21"/>
      <c r="H410" s="58">
        <v>1</v>
      </c>
      <c r="I410" s="14"/>
      <c r="J410" s="14" t="s">
        <v>23</v>
      </c>
      <c r="K410" s="14"/>
      <c r="L410" s="14"/>
      <c r="M410" s="14" t="s">
        <v>29</v>
      </c>
      <c r="N410" s="14" t="s">
        <v>25</v>
      </c>
      <c r="O410" s="14"/>
      <c r="P410" s="14"/>
      <c r="Q410" s="14"/>
      <c r="R410" s="14" t="s">
        <v>650</v>
      </c>
    </row>
    <row r="411" spans="1:18" ht="15" customHeight="1">
      <c r="A411" s="12">
        <v>1736</v>
      </c>
      <c r="B411" s="13" t="s">
        <v>700</v>
      </c>
      <c r="C411" s="14"/>
      <c r="D411" s="14" t="s">
        <v>698</v>
      </c>
      <c r="E411" s="14" t="s">
        <v>36</v>
      </c>
      <c r="F411" s="15" t="s">
        <v>22</v>
      </c>
      <c r="G411" s="14"/>
      <c r="H411" s="58">
        <v>1</v>
      </c>
      <c r="I411" s="14"/>
      <c r="J411" s="14" t="s">
        <v>23</v>
      </c>
      <c r="K411" s="14"/>
      <c r="L411" s="14"/>
      <c r="M411" s="14" t="s">
        <v>32</v>
      </c>
      <c r="N411" s="14" t="s">
        <v>25</v>
      </c>
      <c r="O411" s="14"/>
      <c r="P411" s="14"/>
      <c r="Q411" s="14"/>
      <c r="R411" s="14" t="s">
        <v>308</v>
      </c>
    </row>
    <row r="412" spans="1:18" ht="15" customHeight="1">
      <c r="A412" s="12">
        <v>172</v>
      </c>
      <c r="B412" s="13" t="s">
        <v>701</v>
      </c>
      <c r="C412" s="14"/>
      <c r="D412" s="14" t="s">
        <v>702</v>
      </c>
      <c r="E412" s="14" t="s">
        <v>21</v>
      </c>
      <c r="F412" s="15" t="s">
        <v>22</v>
      </c>
      <c r="G412" s="14"/>
      <c r="H412" s="58"/>
      <c r="I412" s="14"/>
      <c r="J412" s="14" t="s">
        <v>23</v>
      </c>
      <c r="K412" s="14"/>
      <c r="L412" s="14"/>
      <c r="M412" s="14" t="s">
        <v>689</v>
      </c>
      <c r="N412" s="25" t="s">
        <v>289</v>
      </c>
      <c r="O412" s="14" t="s">
        <v>45</v>
      </c>
      <c r="P412" s="14"/>
      <c r="Q412" s="14"/>
      <c r="R412" s="14" t="s">
        <v>654</v>
      </c>
    </row>
    <row r="413" spans="1:18" ht="15" customHeight="1">
      <c r="A413" s="12">
        <v>948</v>
      </c>
      <c r="B413" s="13" t="s">
        <v>703</v>
      </c>
      <c r="C413" s="14"/>
      <c r="D413" s="14" t="s">
        <v>702</v>
      </c>
      <c r="E413" s="14" t="s">
        <v>21</v>
      </c>
      <c r="F413" s="15" t="s">
        <v>22</v>
      </c>
      <c r="G413" s="21"/>
      <c r="H413" s="58"/>
      <c r="I413" s="14"/>
      <c r="J413" s="14" t="s">
        <v>23</v>
      </c>
      <c r="K413" s="14"/>
      <c r="L413" s="14"/>
      <c r="M413" s="14" t="s">
        <v>29</v>
      </c>
      <c r="N413" s="14" t="s">
        <v>25</v>
      </c>
      <c r="O413" s="14"/>
      <c r="P413" s="14"/>
      <c r="Q413" s="14"/>
      <c r="R413" s="14" t="s">
        <v>650</v>
      </c>
    </row>
    <row r="414" spans="1:18" ht="15" customHeight="1">
      <c r="A414" s="12">
        <v>1737</v>
      </c>
      <c r="B414" s="13" t="s">
        <v>704</v>
      </c>
      <c r="C414" s="14"/>
      <c r="D414" s="14" t="s">
        <v>702</v>
      </c>
      <c r="E414" s="14" t="s">
        <v>21</v>
      </c>
      <c r="F414" s="15" t="s">
        <v>22</v>
      </c>
      <c r="G414" s="14"/>
      <c r="H414" s="58">
        <v>0</v>
      </c>
      <c r="I414" s="14"/>
      <c r="J414" s="14" t="s">
        <v>23</v>
      </c>
      <c r="K414" s="14"/>
      <c r="L414" s="14"/>
      <c r="M414" s="14" t="s">
        <v>32</v>
      </c>
      <c r="N414" s="14" t="s">
        <v>25</v>
      </c>
      <c r="O414" s="14"/>
      <c r="P414" s="14"/>
      <c r="Q414" s="14"/>
      <c r="R414" s="14" t="s">
        <v>308</v>
      </c>
    </row>
    <row r="415" spans="1:18" ht="15" customHeight="1">
      <c r="A415" s="12">
        <v>173</v>
      </c>
      <c r="B415" s="13" t="s">
        <v>705</v>
      </c>
      <c r="C415" s="14"/>
      <c r="D415" s="14" t="s">
        <v>706</v>
      </c>
      <c r="E415" s="14" t="s">
        <v>21</v>
      </c>
      <c r="F415" s="15" t="s">
        <v>22</v>
      </c>
      <c r="G415" s="14"/>
      <c r="H415" s="58"/>
      <c r="I415" s="14"/>
      <c r="J415" s="14" t="s">
        <v>23</v>
      </c>
      <c r="K415" s="14"/>
      <c r="L415" s="14"/>
      <c r="M415" s="14" t="s">
        <v>689</v>
      </c>
      <c r="N415" s="22" t="s">
        <v>25</v>
      </c>
      <c r="O415" s="14"/>
      <c r="P415" s="14"/>
      <c r="Q415" s="14"/>
      <c r="R415" s="14" t="s">
        <v>654</v>
      </c>
    </row>
    <row r="416" spans="1:18" ht="15" customHeight="1">
      <c r="A416" s="12">
        <v>949</v>
      </c>
      <c r="B416" s="13" t="s">
        <v>707</v>
      </c>
      <c r="C416" s="14"/>
      <c r="D416" s="14" t="s">
        <v>706</v>
      </c>
      <c r="E416" s="14" t="s">
        <v>21</v>
      </c>
      <c r="F416" s="15" t="s">
        <v>22</v>
      </c>
      <c r="G416" s="21"/>
      <c r="H416" s="58"/>
      <c r="I416" s="14"/>
      <c r="J416" s="14" t="s">
        <v>23</v>
      </c>
      <c r="K416" s="14"/>
      <c r="L416" s="14"/>
      <c r="M416" s="14" t="s">
        <v>29</v>
      </c>
      <c r="N416" s="14" t="s">
        <v>25</v>
      </c>
      <c r="O416" s="14"/>
      <c r="P416" s="14"/>
      <c r="Q416" s="14"/>
      <c r="R416" s="14" t="s">
        <v>650</v>
      </c>
    </row>
    <row r="417" spans="1:18" ht="15" customHeight="1">
      <c r="A417" s="12">
        <v>1738</v>
      </c>
      <c r="B417" s="13" t="s">
        <v>708</v>
      </c>
      <c r="C417" s="14"/>
      <c r="D417" s="14" t="s">
        <v>706</v>
      </c>
      <c r="E417" s="14" t="s">
        <v>21</v>
      </c>
      <c r="F417" s="15" t="s">
        <v>22</v>
      </c>
      <c r="G417" s="14"/>
      <c r="H417" s="58">
        <v>0</v>
      </c>
      <c r="I417" s="14"/>
      <c r="J417" s="14" t="s">
        <v>23</v>
      </c>
      <c r="K417" s="14"/>
      <c r="L417" s="14"/>
      <c r="M417" s="14" t="s">
        <v>32</v>
      </c>
      <c r="N417" s="14" t="s">
        <v>25</v>
      </c>
      <c r="O417" s="14"/>
      <c r="P417" s="14"/>
      <c r="Q417" s="14"/>
      <c r="R417" s="14" t="s">
        <v>308</v>
      </c>
    </row>
    <row r="418" spans="1:18" ht="15" customHeight="1">
      <c r="A418" s="12">
        <v>174</v>
      </c>
      <c r="B418" s="13" t="s">
        <v>709</v>
      </c>
      <c r="C418" s="14"/>
      <c r="D418" s="14" t="s">
        <v>710</v>
      </c>
      <c r="E418" s="14" t="s">
        <v>44</v>
      </c>
      <c r="F418" s="15" t="s">
        <v>22</v>
      </c>
      <c r="G418" s="14"/>
      <c r="H418" s="58"/>
      <c r="I418" s="14"/>
      <c r="J418" s="14" t="s">
        <v>23</v>
      </c>
      <c r="K418" s="14"/>
      <c r="L418" s="14"/>
      <c r="M418" s="14" t="s">
        <v>689</v>
      </c>
      <c r="N418" s="22" t="s">
        <v>25</v>
      </c>
      <c r="O418" s="14"/>
      <c r="P418" s="14"/>
      <c r="Q418" s="14"/>
      <c r="R418" s="14" t="s">
        <v>654</v>
      </c>
    </row>
    <row r="419" spans="1:18" ht="15" customHeight="1">
      <c r="A419" s="12">
        <v>950</v>
      </c>
      <c r="B419" s="13" t="s">
        <v>711</v>
      </c>
      <c r="C419" s="14"/>
      <c r="D419" s="14" t="s">
        <v>710</v>
      </c>
      <c r="E419" s="14" t="s">
        <v>44</v>
      </c>
      <c r="F419" s="15" t="s">
        <v>22</v>
      </c>
      <c r="G419" s="21"/>
      <c r="H419" s="58"/>
      <c r="I419" s="14"/>
      <c r="J419" s="14" t="s">
        <v>23</v>
      </c>
      <c r="K419" s="14"/>
      <c r="L419" s="14"/>
      <c r="M419" s="14" t="s">
        <v>29</v>
      </c>
      <c r="N419" s="14" t="s">
        <v>25</v>
      </c>
      <c r="O419" s="14"/>
      <c r="P419" s="14"/>
      <c r="Q419" s="14"/>
      <c r="R419" s="14" t="s">
        <v>650</v>
      </c>
    </row>
    <row r="420" spans="1:18" ht="15" customHeight="1">
      <c r="A420" s="12">
        <v>1739</v>
      </c>
      <c r="B420" s="13" t="s">
        <v>712</v>
      </c>
      <c r="C420" s="14"/>
      <c r="D420" s="14" t="s">
        <v>710</v>
      </c>
      <c r="E420" s="14" t="s">
        <v>44</v>
      </c>
      <c r="F420" s="15" t="s">
        <v>22</v>
      </c>
      <c r="G420" s="14"/>
      <c r="H420" s="58">
        <v>2</v>
      </c>
      <c r="I420" s="14"/>
      <c r="J420" s="14" t="s">
        <v>23</v>
      </c>
      <c r="K420" s="14"/>
      <c r="L420" s="14"/>
      <c r="M420" s="14" t="s">
        <v>32</v>
      </c>
      <c r="N420" s="25" t="s">
        <v>37</v>
      </c>
      <c r="O420" s="14" t="s">
        <v>713</v>
      </c>
      <c r="P420" s="14"/>
      <c r="Q420" s="14"/>
      <c r="R420" s="14" t="s">
        <v>308</v>
      </c>
    </row>
    <row r="421" spans="1:18" ht="15" customHeight="1">
      <c r="A421" s="12">
        <v>175</v>
      </c>
      <c r="B421" s="13" t="s">
        <v>714</v>
      </c>
      <c r="C421" s="14"/>
      <c r="D421" s="14" t="s">
        <v>715</v>
      </c>
      <c r="E421" s="14" t="s">
        <v>172</v>
      </c>
      <c r="F421" s="15" t="s">
        <v>22</v>
      </c>
      <c r="G421" s="14"/>
      <c r="H421" s="58"/>
      <c r="I421" s="14"/>
      <c r="J421" s="14" t="s">
        <v>23</v>
      </c>
      <c r="K421" s="14"/>
      <c r="L421" s="14"/>
      <c r="M421" s="14" t="s">
        <v>689</v>
      </c>
      <c r="N421" s="22" t="s">
        <v>25</v>
      </c>
      <c r="O421" s="14"/>
      <c r="P421" s="14"/>
      <c r="Q421" s="14"/>
      <c r="R421" s="14" t="s">
        <v>654</v>
      </c>
    </row>
    <row r="422" spans="1:18" ht="15" customHeight="1">
      <c r="A422" s="12">
        <v>951</v>
      </c>
      <c r="B422" s="13" t="s">
        <v>716</v>
      </c>
      <c r="C422" s="14"/>
      <c r="D422" s="14" t="s">
        <v>715</v>
      </c>
      <c r="E422" s="14" t="s">
        <v>172</v>
      </c>
      <c r="F422" s="15" t="s">
        <v>22</v>
      </c>
      <c r="G422" s="21"/>
      <c r="H422" s="58">
        <v>1</v>
      </c>
      <c r="I422" s="14"/>
      <c r="J422" s="14" t="s">
        <v>23</v>
      </c>
      <c r="K422" s="14"/>
      <c r="L422" s="14"/>
      <c r="M422" s="14" t="s">
        <v>29</v>
      </c>
      <c r="N422" s="14" t="s">
        <v>25</v>
      </c>
      <c r="O422" s="14"/>
      <c r="P422" s="14"/>
      <c r="Q422" s="14"/>
      <c r="R422" s="14" t="s">
        <v>650</v>
      </c>
    </row>
    <row r="423" spans="1:18" ht="15" customHeight="1">
      <c r="A423" s="12">
        <v>1740</v>
      </c>
      <c r="B423" s="13" t="s">
        <v>717</v>
      </c>
      <c r="C423" s="14"/>
      <c r="D423" s="14" t="s">
        <v>715</v>
      </c>
      <c r="E423" s="14" t="s">
        <v>172</v>
      </c>
      <c r="F423" s="15" t="s">
        <v>22</v>
      </c>
      <c r="G423" s="14"/>
      <c r="H423" s="58">
        <v>1</v>
      </c>
      <c r="I423" s="14"/>
      <c r="J423" s="14" t="s">
        <v>23</v>
      </c>
      <c r="K423" s="14"/>
      <c r="L423" s="14"/>
      <c r="M423" s="14" t="s">
        <v>32</v>
      </c>
      <c r="N423" s="14" t="s">
        <v>25</v>
      </c>
      <c r="O423" s="14"/>
      <c r="P423" s="14"/>
      <c r="Q423" s="14"/>
      <c r="R423" s="14" t="s">
        <v>308</v>
      </c>
    </row>
    <row r="424" spans="1:18" ht="15" customHeight="1">
      <c r="A424" s="12">
        <v>176</v>
      </c>
      <c r="B424" s="13" t="s">
        <v>718</v>
      </c>
      <c r="C424" s="14"/>
      <c r="D424" s="14" t="s">
        <v>719</v>
      </c>
      <c r="E424" s="14" t="s">
        <v>21</v>
      </c>
      <c r="F424" s="15" t="s">
        <v>22</v>
      </c>
      <c r="G424" s="14"/>
      <c r="H424" s="58"/>
      <c r="I424" s="14"/>
      <c r="J424" s="14" t="s">
        <v>23</v>
      </c>
      <c r="K424" s="14"/>
      <c r="L424" s="14"/>
      <c r="M424" s="14" t="s">
        <v>689</v>
      </c>
      <c r="N424" s="22" t="s">
        <v>25</v>
      </c>
      <c r="O424" s="14"/>
      <c r="P424" s="14"/>
      <c r="Q424" s="14"/>
      <c r="R424" s="14" t="s">
        <v>654</v>
      </c>
    </row>
    <row r="425" spans="1:18" ht="15" customHeight="1">
      <c r="A425" s="12">
        <v>952</v>
      </c>
      <c r="B425" s="13" t="s">
        <v>720</v>
      </c>
      <c r="C425" s="14"/>
      <c r="D425" s="14" t="s">
        <v>719</v>
      </c>
      <c r="E425" s="14" t="s">
        <v>21</v>
      </c>
      <c r="F425" s="15" t="s">
        <v>22</v>
      </c>
      <c r="G425" s="21"/>
      <c r="H425" s="58">
        <v>1</v>
      </c>
      <c r="I425" s="14"/>
      <c r="J425" s="14" t="s">
        <v>23</v>
      </c>
      <c r="K425" s="14"/>
      <c r="L425" s="14"/>
      <c r="M425" s="14" t="s">
        <v>29</v>
      </c>
      <c r="N425" s="14" t="s">
        <v>25</v>
      </c>
      <c r="O425" s="14"/>
      <c r="P425" s="14"/>
      <c r="Q425" s="14"/>
      <c r="R425" s="14" t="s">
        <v>650</v>
      </c>
    </row>
    <row r="426" spans="1:18" ht="15" customHeight="1">
      <c r="A426" s="12">
        <v>1741</v>
      </c>
      <c r="B426" s="13" t="s">
        <v>721</v>
      </c>
      <c r="C426" s="14"/>
      <c r="D426" s="14" t="s">
        <v>719</v>
      </c>
      <c r="E426" s="14" t="s">
        <v>21</v>
      </c>
      <c r="F426" s="15" t="s">
        <v>22</v>
      </c>
      <c r="G426" s="14"/>
      <c r="H426" s="58">
        <v>0</v>
      </c>
      <c r="I426" s="14"/>
      <c r="J426" s="14" t="s">
        <v>23</v>
      </c>
      <c r="K426" s="14"/>
      <c r="L426" s="14"/>
      <c r="M426" s="14" t="s">
        <v>32</v>
      </c>
      <c r="N426" s="14" t="s">
        <v>25</v>
      </c>
      <c r="O426" s="14"/>
      <c r="P426" s="14"/>
      <c r="Q426" s="14"/>
      <c r="R426" s="14" t="s">
        <v>308</v>
      </c>
    </row>
    <row r="427" spans="1:18" ht="15" customHeight="1">
      <c r="A427" s="12">
        <v>177</v>
      </c>
      <c r="B427" s="13" t="s">
        <v>722</v>
      </c>
      <c r="C427" s="14"/>
      <c r="D427" s="14" t="s">
        <v>723</v>
      </c>
      <c r="E427" s="14" t="s">
        <v>21</v>
      </c>
      <c r="F427" s="15" t="s">
        <v>22</v>
      </c>
      <c r="G427" s="14"/>
      <c r="H427" s="58"/>
      <c r="I427" s="14"/>
      <c r="J427" s="14" t="s">
        <v>23</v>
      </c>
      <c r="K427" s="14"/>
      <c r="L427" s="14"/>
      <c r="M427" s="14" t="s">
        <v>689</v>
      </c>
      <c r="N427" s="22" t="s">
        <v>25</v>
      </c>
      <c r="O427" s="14"/>
      <c r="P427" s="14"/>
      <c r="Q427" s="14"/>
      <c r="R427" s="14" t="s">
        <v>654</v>
      </c>
    </row>
    <row r="428" spans="1:18" ht="15" customHeight="1">
      <c r="A428" s="12">
        <v>953</v>
      </c>
      <c r="B428" s="13" t="s">
        <v>724</v>
      </c>
      <c r="C428" s="14"/>
      <c r="D428" s="14" t="s">
        <v>723</v>
      </c>
      <c r="E428" s="14" t="s">
        <v>21</v>
      </c>
      <c r="F428" s="15" t="s">
        <v>22</v>
      </c>
      <c r="G428" s="21"/>
      <c r="H428" s="58"/>
      <c r="I428" s="14"/>
      <c r="J428" s="14" t="s">
        <v>23</v>
      </c>
      <c r="K428" s="14"/>
      <c r="L428" s="14"/>
      <c r="M428" s="14" t="s">
        <v>29</v>
      </c>
      <c r="N428" s="14" t="s">
        <v>25</v>
      </c>
      <c r="O428" s="14"/>
      <c r="P428" s="14"/>
      <c r="Q428" s="14"/>
      <c r="R428" s="14" t="s">
        <v>650</v>
      </c>
    </row>
    <row r="429" spans="1:18" ht="15" customHeight="1">
      <c r="A429" s="12">
        <v>1742</v>
      </c>
      <c r="B429" s="13" t="s">
        <v>725</v>
      </c>
      <c r="C429" s="14"/>
      <c r="D429" s="14" t="s">
        <v>723</v>
      </c>
      <c r="E429" s="14" t="s">
        <v>21</v>
      </c>
      <c r="F429" s="15" t="s">
        <v>22</v>
      </c>
      <c r="G429" s="14"/>
      <c r="H429" s="58">
        <v>0</v>
      </c>
      <c r="I429" s="14"/>
      <c r="J429" s="14" t="s">
        <v>23</v>
      </c>
      <c r="K429" s="14"/>
      <c r="L429" s="14"/>
      <c r="M429" s="14" t="s">
        <v>32</v>
      </c>
      <c r="N429" s="14" t="s">
        <v>25</v>
      </c>
      <c r="O429" s="14"/>
      <c r="P429" s="14"/>
      <c r="Q429" s="14"/>
      <c r="R429" s="14" t="s">
        <v>308</v>
      </c>
    </row>
    <row r="430" spans="1:18" ht="15" customHeight="1">
      <c r="A430" s="12">
        <v>178</v>
      </c>
      <c r="B430" s="13" t="s">
        <v>726</v>
      </c>
      <c r="C430" s="14"/>
      <c r="D430" s="14" t="s">
        <v>727</v>
      </c>
      <c r="E430" s="14" t="s">
        <v>44</v>
      </c>
      <c r="F430" s="15" t="s">
        <v>22</v>
      </c>
      <c r="G430" s="14"/>
      <c r="H430" s="58"/>
      <c r="I430" s="14"/>
      <c r="J430" s="14" t="s">
        <v>23</v>
      </c>
      <c r="K430" s="14"/>
      <c r="L430" s="14"/>
      <c r="M430" s="14" t="s">
        <v>689</v>
      </c>
      <c r="N430" s="25" t="s">
        <v>37</v>
      </c>
      <c r="O430" s="14" t="s">
        <v>38</v>
      </c>
      <c r="P430" s="14"/>
      <c r="Q430" s="14"/>
      <c r="R430" s="14" t="s">
        <v>654</v>
      </c>
    </row>
    <row r="431" spans="1:18" ht="15" customHeight="1">
      <c r="A431" s="12">
        <v>954</v>
      </c>
      <c r="B431" s="13" t="s">
        <v>728</v>
      </c>
      <c r="C431" s="14"/>
      <c r="D431" s="14" t="s">
        <v>727</v>
      </c>
      <c r="E431" s="14" t="s">
        <v>44</v>
      </c>
      <c r="F431" s="15" t="s">
        <v>22</v>
      </c>
      <c r="G431" s="21"/>
      <c r="H431" s="58">
        <v>3</v>
      </c>
      <c r="I431" s="14"/>
      <c r="J431" s="14" t="s">
        <v>23</v>
      </c>
      <c r="K431" s="14"/>
      <c r="L431" s="14"/>
      <c r="M431" s="14" t="s">
        <v>29</v>
      </c>
      <c r="N431" s="25" t="s">
        <v>37</v>
      </c>
      <c r="O431" s="14" t="s">
        <v>729</v>
      </c>
      <c r="P431" s="14"/>
      <c r="Q431" s="14"/>
      <c r="R431" s="14" t="s">
        <v>650</v>
      </c>
    </row>
    <row r="432" spans="1:18" ht="15" customHeight="1">
      <c r="A432" s="12">
        <v>1743</v>
      </c>
      <c r="B432" s="13" t="s">
        <v>730</v>
      </c>
      <c r="C432" s="14"/>
      <c r="D432" s="14" t="s">
        <v>727</v>
      </c>
      <c r="E432" s="14" t="s">
        <v>44</v>
      </c>
      <c r="F432" s="15" t="s">
        <v>22</v>
      </c>
      <c r="G432" s="14"/>
      <c r="H432" s="58">
        <v>3</v>
      </c>
      <c r="I432" s="14"/>
      <c r="J432" s="14" t="s">
        <v>23</v>
      </c>
      <c r="K432" s="14"/>
      <c r="L432" s="14"/>
      <c r="M432" s="14" t="s">
        <v>32</v>
      </c>
      <c r="N432" s="25" t="s">
        <v>37</v>
      </c>
      <c r="O432" s="14" t="s">
        <v>731</v>
      </c>
      <c r="P432" s="14"/>
      <c r="Q432" s="14"/>
      <c r="R432" s="14" t="s">
        <v>308</v>
      </c>
    </row>
    <row r="433" spans="1:1027" ht="15" customHeight="1">
      <c r="A433" s="12">
        <v>179</v>
      </c>
      <c r="B433" s="13" t="s">
        <v>732</v>
      </c>
      <c r="C433" s="14"/>
      <c r="D433" s="14" t="s">
        <v>733</v>
      </c>
      <c r="E433" s="14" t="s">
        <v>44</v>
      </c>
      <c r="F433" s="15" t="s">
        <v>22</v>
      </c>
      <c r="G433" s="14"/>
      <c r="H433" s="58"/>
      <c r="I433" s="14"/>
      <c r="J433" s="14" t="s">
        <v>23</v>
      </c>
      <c r="K433" s="14"/>
      <c r="L433" s="14"/>
      <c r="M433" s="14" t="s">
        <v>689</v>
      </c>
      <c r="N433" s="22" t="s">
        <v>25</v>
      </c>
      <c r="O433" s="14"/>
      <c r="P433" s="14"/>
      <c r="Q433" s="14"/>
      <c r="R433" s="14" t="s">
        <v>654</v>
      </c>
    </row>
    <row r="434" spans="1:1027" ht="15" customHeight="1">
      <c r="A434" s="12">
        <v>955</v>
      </c>
      <c r="B434" s="13" t="s">
        <v>734</v>
      </c>
      <c r="C434" s="14"/>
      <c r="D434" s="14" t="s">
        <v>733</v>
      </c>
      <c r="E434" s="14" t="s">
        <v>44</v>
      </c>
      <c r="F434" s="15" t="s">
        <v>22</v>
      </c>
      <c r="G434" s="21"/>
      <c r="H434" s="58"/>
      <c r="I434" s="14"/>
      <c r="J434" s="14" t="s">
        <v>23</v>
      </c>
      <c r="K434" s="14"/>
      <c r="L434" s="14"/>
      <c r="M434" s="14" t="s">
        <v>29</v>
      </c>
      <c r="N434" s="14" t="s">
        <v>25</v>
      </c>
      <c r="O434" s="14"/>
      <c r="P434" s="14"/>
      <c r="Q434" s="14"/>
      <c r="R434" s="14" t="s">
        <v>650</v>
      </c>
    </row>
    <row r="435" spans="1:1027" ht="15" customHeight="1">
      <c r="A435" s="12">
        <v>1744</v>
      </c>
      <c r="B435" s="13" t="s">
        <v>735</v>
      </c>
      <c r="C435" s="14"/>
      <c r="D435" s="14" t="s">
        <v>733</v>
      </c>
      <c r="E435" s="14" t="s">
        <v>44</v>
      </c>
      <c r="F435" s="15" t="s">
        <v>22</v>
      </c>
      <c r="G435" s="14"/>
      <c r="H435" s="58">
        <v>0</v>
      </c>
      <c r="I435" s="14"/>
      <c r="J435" s="14" t="s">
        <v>23</v>
      </c>
      <c r="K435" s="14"/>
      <c r="L435" s="14"/>
      <c r="M435" s="14" t="s">
        <v>32</v>
      </c>
      <c r="N435" s="14" t="s">
        <v>25</v>
      </c>
      <c r="O435" s="14"/>
      <c r="P435" s="14"/>
      <c r="Q435" s="14"/>
      <c r="R435" s="14" t="s">
        <v>308</v>
      </c>
    </row>
    <row r="436" spans="1:1027" ht="15" customHeight="1">
      <c r="A436" s="12">
        <v>180</v>
      </c>
      <c r="B436" s="13" t="s">
        <v>736</v>
      </c>
      <c r="C436" s="14"/>
      <c r="D436" s="14" t="s">
        <v>737</v>
      </c>
      <c r="E436" s="14" t="s">
        <v>137</v>
      </c>
      <c r="F436" s="15" t="s">
        <v>22</v>
      </c>
      <c r="G436" s="14"/>
      <c r="H436" s="58"/>
      <c r="I436" s="14"/>
      <c r="J436" s="14" t="s">
        <v>23</v>
      </c>
      <c r="K436" s="14"/>
      <c r="L436" s="14"/>
      <c r="M436" s="14" t="s">
        <v>689</v>
      </c>
      <c r="N436" s="22" t="s">
        <v>25</v>
      </c>
      <c r="O436" s="14"/>
      <c r="P436" s="14"/>
      <c r="Q436" s="14"/>
      <c r="R436" s="14" t="s">
        <v>654</v>
      </c>
    </row>
    <row r="437" spans="1:1027" ht="15" customHeight="1">
      <c r="A437" s="12">
        <v>956</v>
      </c>
      <c r="B437" s="13" t="s">
        <v>738</v>
      </c>
      <c r="C437" s="14"/>
      <c r="D437" s="14" t="s">
        <v>737</v>
      </c>
      <c r="E437" s="14" t="s">
        <v>137</v>
      </c>
      <c r="F437" s="15" t="s">
        <v>22</v>
      </c>
      <c r="G437" s="21"/>
      <c r="H437" s="58"/>
      <c r="I437" s="14"/>
      <c r="J437" s="14" t="s">
        <v>23</v>
      </c>
      <c r="K437" s="14"/>
      <c r="L437" s="14"/>
      <c r="M437" s="14" t="s">
        <v>29</v>
      </c>
      <c r="N437" s="14" t="s">
        <v>25</v>
      </c>
      <c r="O437" s="14"/>
      <c r="P437" s="14"/>
      <c r="Q437" s="14"/>
      <c r="R437" s="14" t="s">
        <v>650</v>
      </c>
    </row>
    <row r="438" spans="1:1027" ht="15" customHeight="1">
      <c r="A438" s="12">
        <v>1745</v>
      </c>
      <c r="B438" s="13" t="s">
        <v>739</v>
      </c>
      <c r="C438" s="14"/>
      <c r="D438" s="14" t="s">
        <v>737</v>
      </c>
      <c r="E438" s="14" t="s">
        <v>137</v>
      </c>
      <c r="F438" s="15" t="s">
        <v>22</v>
      </c>
      <c r="G438" s="14"/>
      <c r="H438" s="58">
        <v>1</v>
      </c>
      <c r="I438" s="14"/>
      <c r="J438" s="14" t="s">
        <v>23</v>
      </c>
      <c r="K438" s="14"/>
      <c r="L438" s="14"/>
      <c r="M438" s="14" t="s">
        <v>32</v>
      </c>
      <c r="N438" s="14" t="s">
        <v>25</v>
      </c>
      <c r="O438" s="14"/>
      <c r="P438" s="14"/>
      <c r="Q438" s="14"/>
      <c r="R438" s="14" t="s">
        <v>308</v>
      </c>
    </row>
    <row r="439" spans="1:1027" ht="15" customHeight="1">
      <c r="A439" s="12">
        <v>13</v>
      </c>
      <c r="B439" s="13" t="s">
        <v>740</v>
      </c>
      <c r="C439" s="14"/>
      <c r="D439" s="25" t="s">
        <v>741</v>
      </c>
      <c r="E439" s="25" t="s">
        <v>172</v>
      </c>
      <c r="F439" s="15" t="s">
        <v>22</v>
      </c>
      <c r="G439" s="14"/>
      <c r="H439" s="58"/>
      <c r="I439" s="14"/>
      <c r="J439" s="14" t="s">
        <v>23</v>
      </c>
      <c r="K439" s="15"/>
      <c r="L439" s="15"/>
      <c r="M439" s="14" t="s">
        <v>24</v>
      </c>
      <c r="N439" s="14" t="s">
        <v>25</v>
      </c>
      <c r="O439" s="14"/>
      <c r="P439" s="14"/>
      <c r="Q439" s="14"/>
      <c r="R439" s="17">
        <v>43599</v>
      </c>
      <c r="S439" s="12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WR439" s="3"/>
      <c r="WS439" s="3"/>
      <c r="WT439" s="3"/>
      <c r="WU439" s="3"/>
      <c r="WV439" s="3"/>
      <c r="WW439" s="3"/>
      <c r="WX439" s="3"/>
      <c r="WY439" s="3"/>
      <c r="WZ439" s="3"/>
      <c r="XA439" s="3"/>
      <c r="XB439" s="3"/>
      <c r="XC439" s="3"/>
      <c r="XD439" s="3"/>
      <c r="XE439" s="3"/>
      <c r="XF439" s="3"/>
      <c r="XG439" s="3"/>
      <c r="XH439" s="3"/>
      <c r="XI439" s="3"/>
      <c r="XJ439" s="3"/>
      <c r="XK439" s="3"/>
      <c r="XL439" s="3"/>
      <c r="XM439" s="3"/>
      <c r="XN439" s="3"/>
      <c r="XO439" s="3"/>
      <c r="XP439" s="3"/>
      <c r="XQ439" s="3"/>
      <c r="XR439" s="3"/>
      <c r="XS439" s="3"/>
      <c r="XT439" s="3"/>
      <c r="XU439" s="3"/>
      <c r="XV439" s="3"/>
      <c r="XW439" s="3"/>
      <c r="XX439" s="3"/>
      <c r="XY439" s="3"/>
      <c r="XZ439" s="3"/>
      <c r="YA439" s="3"/>
      <c r="YB439" s="3"/>
      <c r="YC439" s="3"/>
      <c r="YD439" s="3"/>
      <c r="YE439" s="3"/>
      <c r="YF439" s="3"/>
      <c r="YG439" s="3"/>
      <c r="YH439" s="3"/>
      <c r="YI439" s="3"/>
      <c r="YJ439" s="3"/>
      <c r="YK439" s="3"/>
      <c r="YL439" s="3"/>
      <c r="YM439" s="3"/>
      <c r="YN439" s="3"/>
      <c r="YO439" s="3"/>
      <c r="YP439" s="3"/>
      <c r="YQ439" s="3"/>
      <c r="YR439" s="3"/>
      <c r="YS439" s="3"/>
      <c r="YT439" s="3"/>
      <c r="YU439" s="3"/>
      <c r="YV439" s="3"/>
      <c r="YW439" s="3"/>
      <c r="YX439" s="3"/>
      <c r="YY439" s="3"/>
      <c r="YZ439" s="3"/>
      <c r="ZA439" s="3"/>
      <c r="ZB439" s="3"/>
      <c r="ZC439" s="3"/>
      <c r="ZD439" s="3"/>
      <c r="ZE439" s="3"/>
      <c r="ZF439" s="3"/>
      <c r="ZG439" s="3"/>
      <c r="ZH439" s="3"/>
      <c r="ZI439" s="3"/>
      <c r="ZJ439" s="3"/>
      <c r="ZK439" s="3"/>
      <c r="ZL439" s="3"/>
      <c r="ZM439" s="3"/>
      <c r="ZN439" s="3"/>
      <c r="ZO439" s="3"/>
      <c r="ZP439" s="3"/>
      <c r="ZQ439" s="3"/>
      <c r="ZR439" s="3"/>
      <c r="ZS439" s="3"/>
      <c r="ZT439" s="3"/>
      <c r="ZU439" s="3"/>
      <c r="ZV439" s="3"/>
      <c r="ZW439" s="3"/>
      <c r="ZX439" s="3"/>
      <c r="ZY439" s="3"/>
      <c r="ZZ439" s="3"/>
      <c r="AAA439" s="3"/>
      <c r="AAB439" s="3"/>
      <c r="AAC439" s="3"/>
      <c r="AAD439" s="3"/>
      <c r="AAE439" s="3"/>
      <c r="AAF439" s="3"/>
      <c r="AAG439" s="3"/>
      <c r="AAH439" s="3"/>
      <c r="AAI439" s="3"/>
      <c r="AAJ439" s="3"/>
      <c r="AAK439" s="3"/>
      <c r="AAL439" s="3"/>
      <c r="AAM439" s="3"/>
      <c r="AAN439" s="3"/>
      <c r="AAO439" s="3"/>
      <c r="AAP439" s="3"/>
      <c r="AAQ439" s="3"/>
      <c r="AAR439" s="3"/>
      <c r="AAS439" s="3"/>
      <c r="AAT439" s="3"/>
      <c r="AAU439" s="3"/>
      <c r="AAV439" s="3"/>
      <c r="AAW439" s="3"/>
      <c r="AAX439" s="3"/>
      <c r="AAY439" s="3"/>
      <c r="AAZ439" s="3"/>
      <c r="ABA439" s="3"/>
      <c r="ABB439" s="3"/>
      <c r="ABC439" s="3"/>
      <c r="ABD439" s="3"/>
      <c r="ABE439" s="3"/>
      <c r="ABF439" s="3"/>
      <c r="ABG439" s="3"/>
      <c r="ABH439" s="3"/>
      <c r="ABI439" s="3"/>
      <c r="ABJ439" s="3"/>
      <c r="ABK439" s="3"/>
      <c r="ABL439" s="3"/>
      <c r="ABM439" s="3"/>
      <c r="ABN439" s="3"/>
      <c r="ABO439" s="3"/>
      <c r="ABP439" s="3"/>
      <c r="ABQ439" s="3"/>
      <c r="ABR439" s="3"/>
      <c r="ABS439" s="3"/>
      <c r="ABT439" s="3"/>
      <c r="ABU439" s="3"/>
      <c r="ABV439" s="3"/>
      <c r="ABW439" s="3"/>
      <c r="ABX439" s="3"/>
      <c r="ABY439" s="3"/>
      <c r="ABZ439" s="3"/>
      <c r="ACA439" s="3"/>
      <c r="ACB439" s="3"/>
      <c r="ACC439" s="3"/>
      <c r="ACD439" s="3"/>
      <c r="ACE439" s="3"/>
      <c r="ACF439" s="3"/>
      <c r="ACG439" s="3"/>
      <c r="ACH439" s="3"/>
      <c r="ACI439" s="3"/>
      <c r="ACJ439" s="3"/>
      <c r="ACK439" s="3"/>
      <c r="ACL439" s="3"/>
      <c r="ACM439" s="3"/>
      <c r="ACN439" s="3"/>
      <c r="ACO439" s="3"/>
      <c r="ACP439" s="3"/>
      <c r="ACQ439" s="3"/>
      <c r="ACR439" s="3"/>
      <c r="ACS439" s="3"/>
      <c r="ACT439" s="3"/>
      <c r="ACU439" s="3"/>
      <c r="ACV439" s="3"/>
      <c r="ACW439" s="3"/>
      <c r="ACX439" s="3"/>
      <c r="ACY439" s="3"/>
      <c r="ACZ439" s="3"/>
      <c r="ADA439" s="3"/>
      <c r="ADB439" s="3"/>
      <c r="ADC439" s="3"/>
      <c r="ADD439" s="3"/>
      <c r="ADE439" s="3"/>
      <c r="ADF439" s="3"/>
      <c r="ADG439" s="3"/>
      <c r="ADH439" s="3"/>
      <c r="ADI439" s="3"/>
      <c r="ADJ439" s="3"/>
      <c r="ADK439" s="3"/>
      <c r="ADL439" s="3"/>
      <c r="ADM439" s="3"/>
      <c r="ADN439" s="3"/>
      <c r="ADO439" s="3"/>
      <c r="ADP439" s="3"/>
      <c r="ADQ439" s="3"/>
      <c r="ADR439" s="3"/>
      <c r="ADS439" s="3"/>
      <c r="ADT439" s="3"/>
      <c r="ADU439" s="3"/>
      <c r="ADV439" s="3"/>
      <c r="ADW439" s="3"/>
      <c r="ADX439" s="3"/>
      <c r="ADY439" s="3"/>
      <c r="ADZ439" s="3"/>
      <c r="AEA439" s="3"/>
      <c r="AEB439" s="3"/>
      <c r="AEC439" s="3"/>
      <c r="AED439" s="3"/>
      <c r="AEE439" s="3"/>
      <c r="AEF439" s="3"/>
      <c r="AEG439" s="3"/>
      <c r="AEH439" s="3"/>
      <c r="AEI439" s="3"/>
      <c r="AEJ439" s="3"/>
      <c r="AEK439" s="3"/>
      <c r="AEL439" s="3"/>
      <c r="AEM439" s="3"/>
      <c r="AEN439" s="3"/>
      <c r="AEO439" s="3"/>
      <c r="AEP439" s="3"/>
      <c r="AEQ439" s="3"/>
      <c r="AER439" s="3"/>
      <c r="AES439" s="3"/>
      <c r="AET439" s="3"/>
      <c r="AEU439" s="3"/>
      <c r="AEV439" s="3"/>
      <c r="AEW439" s="3"/>
      <c r="AEX439" s="3"/>
      <c r="AEY439" s="3"/>
      <c r="AEZ439" s="3"/>
      <c r="AFA439" s="3"/>
      <c r="AFB439" s="3"/>
      <c r="AFC439" s="3"/>
      <c r="AFD439" s="3"/>
      <c r="AFE439" s="3"/>
      <c r="AFF439" s="3"/>
      <c r="AFG439" s="3"/>
      <c r="AFH439" s="3"/>
      <c r="AFI439" s="3"/>
      <c r="AFJ439" s="3"/>
      <c r="AFK439" s="3"/>
      <c r="AFL439" s="3"/>
      <c r="AFM439" s="3"/>
      <c r="AFN439" s="3"/>
      <c r="AFO439" s="3"/>
      <c r="AFP439" s="3"/>
      <c r="AFQ439" s="3"/>
      <c r="AFR439" s="3"/>
      <c r="AFS439" s="3"/>
      <c r="AFT439" s="3"/>
      <c r="AFU439" s="3"/>
      <c r="AFV439" s="3"/>
      <c r="AFW439" s="3"/>
      <c r="AFX439" s="3"/>
      <c r="AFY439" s="3"/>
      <c r="AFZ439" s="3"/>
      <c r="AGA439" s="3"/>
      <c r="AGB439" s="3"/>
      <c r="AGC439" s="3"/>
      <c r="AGD439" s="3"/>
      <c r="AGE439" s="3"/>
      <c r="AGF439" s="3"/>
      <c r="AGG439" s="3"/>
      <c r="AGH439" s="3"/>
      <c r="AGI439" s="3"/>
      <c r="AGJ439" s="3"/>
      <c r="AGK439" s="3"/>
      <c r="AGL439" s="3"/>
      <c r="AGM439" s="3"/>
      <c r="AGN439" s="3"/>
      <c r="AGO439" s="3"/>
      <c r="AGP439" s="3"/>
      <c r="AGQ439" s="3"/>
      <c r="AGR439" s="3"/>
      <c r="AGS439" s="3"/>
      <c r="AGT439" s="3"/>
      <c r="AGU439" s="3"/>
      <c r="AGV439" s="3"/>
      <c r="AGW439" s="3"/>
      <c r="AGX439" s="3"/>
      <c r="AGY439" s="3"/>
      <c r="AGZ439" s="3"/>
      <c r="AHA439" s="3"/>
      <c r="AHB439" s="3"/>
      <c r="AHC439" s="3"/>
      <c r="AHD439" s="3"/>
      <c r="AHE439" s="3"/>
      <c r="AHF439" s="3"/>
      <c r="AHG439" s="3"/>
      <c r="AHH439" s="3"/>
      <c r="AHI439" s="3"/>
      <c r="AHJ439" s="3"/>
      <c r="AHK439" s="3"/>
      <c r="AHL439" s="3"/>
      <c r="AHM439" s="3"/>
      <c r="AHN439" s="3"/>
      <c r="AHO439" s="3"/>
      <c r="AHP439" s="3"/>
      <c r="AHQ439" s="3"/>
      <c r="AHR439" s="3"/>
      <c r="AHS439" s="3"/>
      <c r="AHT439" s="3"/>
      <c r="AHU439" s="3"/>
      <c r="AHV439" s="3"/>
      <c r="AHW439" s="3"/>
      <c r="AHX439" s="3"/>
      <c r="AHY439" s="3"/>
      <c r="AHZ439" s="3"/>
      <c r="AIA439" s="3"/>
      <c r="AIB439" s="3"/>
      <c r="AIC439" s="3"/>
      <c r="AID439" s="3"/>
      <c r="AIE439" s="3"/>
      <c r="AIF439" s="3"/>
      <c r="AIG439" s="3"/>
      <c r="AIH439" s="3"/>
      <c r="AII439" s="3"/>
      <c r="AIJ439" s="3"/>
      <c r="AIK439" s="3"/>
      <c r="AIL439" s="3"/>
      <c r="AIM439" s="3"/>
      <c r="AIN439" s="3"/>
      <c r="AIO439" s="3"/>
      <c r="AIP439" s="3"/>
      <c r="AIQ439" s="3"/>
      <c r="AIR439" s="3"/>
      <c r="AIS439" s="3"/>
      <c r="AIT439" s="3"/>
      <c r="AIU439" s="3"/>
      <c r="AIV439" s="3"/>
      <c r="AIW439" s="3"/>
      <c r="AIX439" s="3"/>
      <c r="AIY439" s="3"/>
      <c r="AIZ439" s="3"/>
      <c r="AJA439" s="3"/>
      <c r="AJB439" s="3"/>
      <c r="AJC439" s="3"/>
      <c r="AJD439" s="3"/>
      <c r="AJE439" s="3"/>
      <c r="AJF439" s="3"/>
      <c r="AJG439" s="3"/>
      <c r="AJH439" s="3"/>
      <c r="AJI439" s="3"/>
      <c r="AJJ439" s="3"/>
      <c r="AJK439" s="3"/>
      <c r="AJL439" s="3"/>
      <c r="AJM439" s="3"/>
      <c r="AJN439" s="3"/>
      <c r="AJO439" s="3"/>
      <c r="AJP439" s="3"/>
      <c r="AJQ439" s="3"/>
      <c r="AJR439" s="3"/>
      <c r="AJS439" s="3"/>
      <c r="AJT439" s="3"/>
      <c r="AJU439" s="3"/>
      <c r="AJV439" s="3"/>
      <c r="AJW439" s="3"/>
      <c r="AJX439" s="3"/>
      <c r="AJY439" s="3"/>
      <c r="AJZ439" s="3"/>
      <c r="AKA439" s="3"/>
      <c r="AKB439" s="3"/>
      <c r="AKC439" s="3"/>
      <c r="AKD439" s="3"/>
      <c r="AKE439" s="3"/>
      <c r="AKF439" s="3"/>
      <c r="AKG439" s="3"/>
      <c r="AKH439" s="3"/>
      <c r="AKI439" s="3"/>
      <c r="AKJ439" s="3"/>
      <c r="AKK439" s="3"/>
      <c r="AKL439" s="3"/>
      <c r="AKM439" s="3"/>
      <c r="AKN439" s="3"/>
      <c r="AKO439" s="3"/>
      <c r="AKP439" s="3"/>
      <c r="AKQ439" s="3"/>
      <c r="AKR439" s="3"/>
      <c r="AKS439" s="3"/>
      <c r="AKT439" s="3"/>
      <c r="AKU439" s="3"/>
      <c r="AKV439" s="3"/>
      <c r="AKW439" s="3"/>
      <c r="AKX439" s="3"/>
      <c r="AKY439" s="3"/>
      <c r="AKZ439" s="3"/>
      <c r="ALA439" s="3"/>
      <c r="ALB439" s="3"/>
      <c r="ALC439" s="3"/>
      <c r="ALD439" s="3"/>
      <c r="ALE439" s="3"/>
      <c r="ALF439" s="3"/>
      <c r="ALG439" s="3"/>
      <c r="ALH439" s="3"/>
      <c r="ALI439" s="3"/>
      <c r="ALJ439" s="3"/>
      <c r="ALK439" s="3"/>
      <c r="ALL439" s="3"/>
      <c r="ALM439" s="3"/>
      <c r="ALN439" s="3"/>
      <c r="ALO439" s="3"/>
      <c r="ALP439" s="3"/>
      <c r="ALQ439" s="3"/>
      <c r="ALR439" s="3"/>
      <c r="ALS439" s="3"/>
      <c r="ALT439" s="3"/>
      <c r="ALU439" s="3"/>
      <c r="ALV439" s="3"/>
      <c r="ALW439" s="3"/>
      <c r="ALX439" s="3"/>
      <c r="ALY439" s="3"/>
      <c r="ALZ439" s="3"/>
      <c r="AMA439" s="3"/>
      <c r="AMB439" s="3"/>
      <c r="AMC439" s="3"/>
      <c r="AMD439" s="3"/>
      <c r="AME439" s="3"/>
      <c r="AMF439" s="3"/>
      <c r="AMG439" s="3"/>
      <c r="AMH439" s="3"/>
      <c r="AMI439" s="3"/>
      <c r="AMJ439" s="3"/>
      <c r="AMK439" s="3"/>
      <c r="AML439" s="3"/>
      <c r="AMM439" s="3"/>
    </row>
    <row r="440" spans="1:1027" ht="15" customHeight="1">
      <c r="A440" s="12">
        <v>181</v>
      </c>
      <c r="B440" s="13" t="s">
        <v>742</v>
      </c>
      <c r="C440" s="14"/>
      <c r="D440" s="14" t="s">
        <v>741</v>
      </c>
      <c r="E440" s="14" t="s">
        <v>172</v>
      </c>
      <c r="F440" s="15" t="s">
        <v>22</v>
      </c>
      <c r="G440" s="14"/>
      <c r="H440" s="58"/>
      <c r="I440" s="14"/>
      <c r="J440" s="14" t="s">
        <v>23</v>
      </c>
      <c r="K440" s="14"/>
      <c r="L440" s="14"/>
      <c r="M440" s="14" t="s">
        <v>689</v>
      </c>
      <c r="N440" s="22" t="s">
        <v>25</v>
      </c>
      <c r="O440" s="14"/>
      <c r="P440" s="14"/>
      <c r="Q440" s="14"/>
      <c r="R440" s="14" t="s">
        <v>654</v>
      </c>
    </row>
    <row r="441" spans="1:1027" ht="15" customHeight="1">
      <c r="A441" s="12">
        <v>957</v>
      </c>
      <c r="B441" s="13" t="s">
        <v>743</v>
      </c>
      <c r="C441" s="14"/>
      <c r="D441" s="14" t="s">
        <v>741</v>
      </c>
      <c r="E441" s="14" t="s">
        <v>172</v>
      </c>
      <c r="F441" s="15" t="s">
        <v>22</v>
      </c>
      <c r="G441" s="21"/>
      <c r="H441" s="58"/>
      <c r="I441" s="14"/>
      <c r="J441" s="14" t="s">
        <v>23</v>
      </c>
      <c r="K441" s="14"/>
      <c r="L441" s="14"/>
      <c r="M441" s="14" t="s">
        <v>29</v>
      </c>
      <c r="N441" s="25" t="s">
        <v>289</v>
      </c>
      <c r="O441" s="14" t="s">
        <v>189</v>
      </c>
      <c r="P441" s="14"/>
      <c r="Q441" s="14"/>
      <c r="R441" s="14" t="s">
        <v>650</v>
      </c>
    </row>
    <row r="442" spans="1:1027" ht="15" customHeight="1">
      <c r="A442" s="12">
        <v>1746</v>
      </c>
      <c r="B442" s="13" t="s">
        <v>744</v>
      </c>
      <c r="C442" s="14"/>
      <c r="D442" s="14" t="s">
        <v>741</v>
      </c>
      <c r="E442" s="14" t="s">
        <v>172</v>
      </c>
      <c r="F442" s="15" t="s">
        <v>22</v>
      </c>
      <c r="G442" s="14"/>
      <c r="H442" s="58">
        <v>3</v>
      </c>
      <c r="I442" s="14"/>
      <c r="J442" s="14" t="s">
        <v>23</v>
      </c>
      <c r="K442" s="14"/>
      <c r="L442" s="14"/>
      <c r="M442" s="14" t="s">
        <v>32</v>
      </c>
      <c r="N442" s="25" t="s">
        <v>37</v>
      </c>
      <c r="O442" s="14" t="s">
        <v>745</v>
      </c>
      <c r="P442" s="14"/>
      <c r="Q442" s="14"/>
      <c r="R442" s="14" t="s">
        <v>308</v>
      </c>
    </row>
    <row r="443" spans="1:1027" ht="15" customHeight="1">
      <c r="A443" s="12">
        <v>182</v>
      </c>
      <c r="B443" s="13" t="s">
        <v>746</v>
      </c>
      <c r="C443" s="14"/>
      <c r="D443" s="14" t="s">
        <v>747</v>
      </c>
      <c r="E443" s="14" t="s">
        <v>137</v>
      </c>
      <c r="F443" s="15" t="s">
        <v>22</v>
      </c>
      <c r="G443" s="14"/>
      <c r="H443" s="58"/>
      <c r="I443" s="14"/>
      <c r="J443" s="14" t="s">
        <v>23</v>
      </c>
      <c r="K443" s="14"/>
      <c r="L443" s="14"/>
      <c r="M443" s="14" t="s">
        <v>689</v>
      </c>
      <c r="N443" s="22" t="s">
        <v>25</v>
      </c>
      <c r="O443" s="14"/>
      <c r="P443" s="14"/>
      <c r="Q443" s="14"/>
      <c r="R443" s="14" t="s">
        <v>654</v>
      </c>
    </row>
    <row r="444" spans="1:1027" ht="15" customHeight="1">
      <c r="A444" s="12">
        <v>958</v>
      </c>
      <c r="B444" s="13" t="s">
        <v>748</v>
      </c>
      <c r="C444" s="14"/>
      <c r="D444" s="14" t="s">
        <v>747</v>
      </c>
      <c r="E444" s="14" t="s">
        <v>137</v>
      </c>
      <c r="F444" s="15" t="s">
        <v>22</v>
      </c>
      <c r="G444" s="21"/>
      <c r="H444" s="58"/>
      <c r="I444" s="14"/>
      <c r="J444" s="14" t="s">
        <v>23</v>
      </c>
      <c r="K444" s="14"/>
      <c r="L444" s="14"/>
      <c r="M444" s="14" t="s">
        <v>29</v>
      </c>
      <c r="N444" s="14" t="s">
        <v>25</v>
      </c>
      <c r="O444" s="14"/>
      <c r="P444" s="14"/>
      <c r="Q444" s="14"/>
      <c r="R444" s="14" t="s">
        <v>650</v>
      </c>
    </row>
    <row r="445" spans="1:1027" ht="15" customHeight="1">
      <c r="A445" s="12">
        <v>1747</v>
      </c>
      <c r="B445" s="13" t="s">
        <v>749</v>
      </c>
      <c r="C445" s="14"/>
      <c r="D445" s="14" t="s">
        <v>747</v>
      </c>
      <c r="E445" s="14" t="s">
        <v>137</v>
      </c>
      <c r="F445" s="15" t="s">
        <v>22</v>
      </c>
      <c r="G445" s="14"/>
      <c r="H445" s="58">
        <v>1</v>
      </c>
      <c r="I445" s="14"/>
      <c r="J445" s="14" t="s">
        <v>23</v>
      </c>
      <c r="K445" s="14"/>
      <c r="L445" s="14"/>
      <c r="M445" s="14" t="s">
        <v>32</v>
      </c>
      <c r="N445" s="14" t="s">
        <v>25</v>
      </c>
      <c r="O445" s="14"/>
      <c r="P445" s="14"/>
      <c r="Q445" s="14"/>
      <c r="R445" s="14" t="s">
        <v>308</v>
      </c>
    </row>
    <row r="446" spans="1:1027" ht="15" customHeight="1">
      <c r="A446" s="12">
        <v>183</v>
      </c>
      <c r="B446" s="13" t="s">
        <v>750</v>
      </c>
      <c r="C446" s="14"/>
      <c r="D446" s="14" t="s">
        <v>751</v>
      </c>
      <c r="E446" s="14" t="s">
        <v>36</v>
      </c>
      <c r="F446" s="15" t="s">
        <v>22</v>
      </c>
      <c r="G446" s="14"/>
      <c r="H446" s="58"/>
      <c r="I446" s="14"/>
      <c r="J446" s="14" t="s">
        <v>23</v>
      </c>
      <c r="K446" s="14"/>
      <c r="L446" s="14"/>
      <c r="M446" s="14" t="s">
        <v>689</v>
      </c>
      <c r="N446" s="22" t="s">
        <v>25</v>
      </c>
      <c r="O446" s="14"/>
      <c r="P446" s="14"/>
      <c r="Q446" s="14"/>
      <c r="R446" s="14" t="s">
        <v>654</v>
      </c>
    </row>
    <row r="447" spans="1:1027" ht="15" customHeight="1">
      <c r="A447" s="12">
        <v>959</v>
      </c>
      <c r="B447" s="13" t="s">
        <v>752</v>
      </c>
      <c r="C447" s="14"/>
      <c r="D447" s="14" t="s">
        <v>751</v>
      </c>
      <c r="E447" s="14" t="s">
        <v>36</v>
      </c>
      <c r="F447" s="15" t="s">
        <v>22</v>
      </c>
      <c r="G447" s="21"/>
      <c r="H447" s="58">
        <v>1</v>
      </c>
      <c r="I447" s="14"/>
      <c r="J447" s="14" t="s">
        <v>23</v>
      </c>
      <c r="K447" s="14"/>
      <c r="L447" s="14"/>
      <c r="M447" s="14" t="s">
        <v>29</v>
      </c>
      <c r="N447" s="25" t="s">
        <v>37</v>
      </c>
      <c r="O447" s="14" t="s">
        <v>753</v>
      </c>
      <c r="P447" s="14"/>
      <c r="Q447" s="14"/>
      <c r="R447" s="14" t="s">
        <v>650</v>
      </c>
    </row>
    <row r="448" spans="1:1027" ht="15" customHeight="1">
      <c r="A448" s="12">
        <v>1748</v>
      </c>
      <c r="B448" s="13" t="s">
        <v>754</v>
      </c>
      <c r="C448" s="14"/>
      <c r="D448" s="14" t="s">
        <v>751</v>
      </c>
      <c r="E448" s="14" t="s">
        <v>36</v>
      </c>
      <c r="F448" s="15" t="s">
        <v>22</v>
      </c>
      <c r="G448" s="14"/>
      <c r="H448" s="58">
        <v>2</v>
      </c>
      <c r="I448" s="14"/>
      <c r="J448" s="14" t="s">
        <v>23</v>
      </c>
      <c r="K448" s="14"/>
      <c r="L448" s="14"/>
      <c r="M448" s="14" t="s">
        <v>32</v>
      </c>
      <c r="N448" s="25" t="s">
        <v>37</v>
      </c>
      <c r="O448" s="14" t="s">
        <v>755</v>
      </c>
      <c r="P448" s="14"/>
      <c r="Q448" s="14"/>
      <c r="R448" s="14" t="s">
        <v>308</v>
      </c>
    </row>
    <row r="449" spans="1:18" ht="15" customHeight="1">
      <c r="A449" s="12">
        <v>184</v>
      </c>
      <c r="B449" s="13" t="s">
        <v>756</v>
      </c>
      <c r="C449" s="14"/>
      <c r="D449" s="14" t="s">
        <v>757</v>
      </c>
      <c r="E449" s="14" t="s">
        <v>44</v>
      </c>
      <c r="F449" s="15" t="s">
        <v>22</v>
      </c>
      <c r="G449" s="14"/>
      <c r="H449" s="58"/>
      <c r="I449" s="14"/>
      <c r="J449" s="14" t="s">
        <v>23</v>
      </c>
      <c r="K449" s="14"/>
      <c r="L449" s="14"/>
      <c r="M449" s="14" t="s">
        <v>689</v>
      </c>
      <c r="N449" s="22" t="s">
        <v>25</v>
      </c>
      <c r="O449" s="14"/>
      <c r="P449" s="14"/>
      <c r="Q449" s="14"/>
      <c r="R449" s="14" t="s">
        <v>654</v>
      </c>
    </row>
    <row r="450" spans="1:18" ht="15" customHeight="1">
      <c r="A450" s="12">
        <v>960</v>
      </c>
      <c r="B450" s="13" t="s">
        <v>758</v>
      </c>
      <c r="C450" s="14"/>
      <c r="D450" s="14" t="s">
        <v>757</v>
      </c>
      <c r="E450" s="14" t="s">
        <v>44</v>
      </c>
      <c r="F450" s="15" t="s">
        <v>22</v>
      </c>
      <c r="G450" s="21"/>
      <c r="H450" s="58">
        <v>3</v>
      </c>
      <c r="I450" s="14"/>
      <c r="J450" s="14" t="s">
        <v>23</v>
      </c>
      <c r="K450" s="14"/>
      <c r="L450" s="14"/>
      <c r="M450" s="14" t="s">
        <v>29</v>
      </c>
      <c r="N450" s="14" t="s">
        <v>25</v>
      </c>
      <c r="O450" s="14"/>
      <c r="P450" s="14"/>
      <c r="Q450" s="14"/>
      <c r="R450" s="14" t="s">
        <v>650</v>
      </c>
    </row>
    <row r="451" spans="1:18" ht="15" customHeight="1">
      <c r="A451" s="12">
        <v>1749</v>
      </c>
      <c r="B451" s="13" t="s">
        <v>759</v>
      </c>
      <c r="C451" s="14"/>
      <c r="D451" s="14" t="s">
        <v>757</v>
      </c>
      <c r="E451" s="14" t="s">
        <v>44</v>
      </c>
      <c r="F451" s="15" t="s">
        <v>22</v>
      </c>
      <c r="G451" s="14"/>
      <c r="H451" s="58">
        <v>3</v>
      </c>
      <c r="I451" s="14"/>
      <c r="J451" s="14" t="s">
        <v>23</v>
      </c>
      <c r="K451" s="14"/>
      <c r="L451" s="14"/>
      <c r="M451" s="14" t="s">
        <v>32</v>
      </c>
      <c r="N451" s="25" t="s">
        <v>37</v>
      </c>
      <c r="O451" s="14" t="s">
        <v>760</v>
      </c>
      <c r="P451" s="14"/>
      <c r="Q451" s="14"/>
      <c r="R451" s="14" t="s">
        <v>308</v>
      </c>
    </row>
    <row r="452" spans="1:18" ht="15" customHeight="1">
      <c r="A452" s="12">
        <v>185</v>
      </c>
      <c r="B452" s="13" t="s">
        <v>761</v>
      </c>
      <c r="C452" s="14"/>
      <c r="D452" s="14" t="s">
        <v>762</v>
      </c>
      <c r="E452" s="14" t="s">
        <v>21</v>
      </c>
      <c r="F452" s="15" t="s">
        <v>22</v>
      </c>
      <c r="G452" s="14"/>
      <c r="H452" s="58"/>
      <c r="I452" s="14"/>
      <c r="J452" s="14" t="s">
        <v>23</v>
      </c>
      <c r="K452" s="14"/>
      <c r="L452" s="14"/>
      <c r="M452" s="14" t="s">
        <v>689</v>
      </c>
      <c r="N452" s="22" t="s">
        <v>25</v>
      </c>
      <c r="O452" s="14"/>
      <c r="P452" s="14"/>
      <c r="Q452" s="14"/>
      <c r="R452" s="14" t="s">
        <v>654</v>
      </c>
    </row>
    <row r="453" spans="1:18" ht="15" customHeight="1">
      <c r="A453" s="12">
        <v>961</v>
      </c>
      <c r="B453" s="13" t="s">
        <v>763</v>
      </c>
      <c r="C453" s="14"/>
      <c r="D453" s="14" t="s">
        <v>762</v>
      </c>
      <c r="E453" s="14" t="s">
        <v>21</v>
      </c>
      <c r="F453" s="15" t="s">
        <v>22</v>
      </c>
      <c r="G453" s="21"/>
      <c r="H453" s="58"/>
      <c r="I453" s="14"/>
      <c r="J453" s="14" t="s">
        <v>23</v>
      </c>
      <c r="K453" s="14"/>
      <c r="L453" s="14"/>
      <c r="M453" s="14" t="s">
        <v>29</v>
      </c>
      <c r="N453" s="25" t="s">
        <v>37</v>
      </c>
      <c r="O453" s="14" t="s">
        <v>764</v>
      </c>
      <c r="P453" s="14"/>
      <c r="Q453" s="14"/>
      <c r="R453" s="14" t="s">
        <v>650</v>
      </c>
    </row>
    <row r="454" spans="1:18" ht="15" customHeight="1">
      <c r="A454" s="12">
        <v>1750</v>
      </c>
      <c r="B454" s="13" t="s">
        <v>765</v>
      </c>
      <c r="C454" s="14"/>
      <c r="D454" s="14" t="s">
        <v>762</v>
      </c>
      <c r="E454" s="14" t="s">
        <v>21</v>
      </c>
      <c r="F454" s="15" t="s">
        <v>22</v>
      </c>
      <c r="G454" s="14"/>
      <c r="H454" s="58">
        <v>0</v>
      </c>
      <c r="I454" s="14"/>
      <c r="J454" s="14" t="s">
        <v>23</v>
      </c>
      <c r="K454" s="14"/>
      <c r="L454" s="14"/>
      <c r="M454" s="14" t="s">
        <v>32</v>
      </c>
      <c r="N454" s="14" t="s">
        <v>25</v>
      </c>
      <c r="O454" s="14"/>
      <c r="P454" s="14"/>
      <c r="Q454" s="14"/>
      <c r="R454" s="14" t="s">
        <v>308</v>
      </c>
    </row>
    <row r="455" spans="1:18" ht="15" customHeight="1">
      <c r="A455" s="12">
        <v>186</v>
      </c>
      <c r="B455" s="13" t="s">
        <v>766</v>
      </c>
      <c r="C455" s="14"/>
      <c r="D455" s="14" t="s">
        <v>767</v>
      </c>
      <c r="E455" s="14" t="s">
        <v>768</v>
      </c>
      <c r="F455" s="15" t="s">
        <v>22</v>
      </c>
      <c r="G455" s="14"/>
      <c r="H455" s="58"/>
      <c r="I455" s="14"/>
      <c r="J455" s="14" t="s">
        <v>23</v>
      </c>
      <c r="K455" s="14"/>
      <c r="L455" s="14"/>
      <c r="M455" s="14" t="s">
        <v>689</v>
      </c>
      <c r="N455" s="22" t="s">
        <v>25</v>
      </c>
      <c r="O455" s="14"/>
      <c r="P455" s="14"/>
      <c r="Q455" s="14"/>
      <c r="R455" s="14" t="s">
        <v>654</v>
      </c>
    </row>
    <row r="456" spans="1:18" ht="15" customHeight="1">
      <c r="A456" s="12">
        <v>962</v>
      </c>
      <c r="B456" s="13" t="s">
        <v>769</v>
      </c>
      <c r="C456" s="14"/>
      <c r="D456" s="14" t="s">
        <v>767</v>
      </c>
      <c r="E456" s="14" t="s">
        <v>768</v>
      </c>
      <c r="F456" s="15" t="s">
        <v>22</v>
      </c>
      <c r="G456" s="21"/>
      <c r="H456" s="58"/>
      <c r="I456" s="14"/>
      <c r="J456" s="14" t="s">
        <v>23</v>
      </c>
      <c r="K456" s="14"/>
      <c r="L456" s="14"/>
      <c r="M456" s="14" t="s">
        <v>29</v>
      </c>
      <c r="N456" s="14" t="s">
        <v>25</v>
      </c>
      <c r="O456" s="14"/>
      <c r="P456" s="14"/>
      <c r="Q456" s="14"/>
      <c r="R456" s="14" t="s">
        <v>650</v>
      </c>
    </row>
    <row r="457" spans="1:18" ht="15" customHeight="1">
      <c r="A457" s="12">
        <v>1751</v>
      </c>
      <c r="B457" s="13" t="s">
        <v>770</v>
      </c>
      <c r="C457" s="14"/>
      <c r="D457" s="14" t="s">
        <v>767</v>
      </c>
      <c r="E457" s="14" t="s">
        <v>768</v>
      </c>
      <c r="F457" s="15" t="s">
        <v>22</v>
      </c>
      <c r="G457" s="14"/>
      <c r="H457" s="58">
        <v>0</v>
      </c>
      <c r="I457" s="14"/>
      <c r="J457" s="14" t="s">
        <v>23</v>
      </c>
      <c r="K457" s="14"/>
      <c r="L457" s="14"/>
      <c r="M457" s="14" t="s">
        <v>32</v>
      </c>
      <c r="N457" s="14" t="s">
        <v>25</v>
      </c>
      <c r="O457" s="14"/>
      <c r="P457" s="14"/>
      <c r="Q457" s="14"/>
      <c r="R457" s="14" t="s">
        <v>308</v>
      </c>
    </row>
    <row r="458" spans="1:18" ht="15" customHeight="1">
      <c r="A458" s="12">
        <v>187</v>
      </c>
      <c r="B458" s="13" t="s">
        <v>771</v>
      </c>
      <c r="C458" s="14"/>
      <c r="D458" s="14" t="s">
        <v>772</v>
      </c>
      <c r="E458" s="14" t="s">
        <v>21</v>
      </c>
      <c r="F458" s="15" t="s">
        <v>22</v>
      </c>
      <c r="G458" s="14"/>
      <c r="H458" s="58"/>
      <c r="I458" s="14"/>
      <c r="J458" s="14" t="s">
        <v>23</v>
      </c>
      <c r="K458" s="14"/>
      <c r="L458" s="14"/>
      <c r="M458" s="14" t="s">
        <v>689</v>
      </c>
      <c r="N458" s="22" t="s">
        <v>25</v>
      </c>
      <c r="O458" s="14"/>
      <c r="P458" s="14"/>
      <c r="Q458" s="14"/>
      <c r="R458" s="14" t="s">
        <v>654</v>
      </c>
    </row>
    <row r="459" spans="1:18" ht="15" customHeight="1">
      <c r="A459" s="12">
        <v>963</v>
      </c>
      <c r="B459" s="13" t="s">
        <v>773</v>
      </c>
      <c r="C459" s="14"/>
      <c r="D459" s="14" t="s">
        <v>772</v>
      </c>
      <c r="E459" s="14" t="s">
        <v>21</v>
      </c>
      <c r="F459" s="15" t="s">
        <v>22</v>
      </c>
      <c r="G459" s="21"/>
      <c r="H459" s="58">
        <v>1</v>
      </c>
      <c r="I459" s="14"/>
      <c r="J459" s="14" t="s">
        <v>23</v>
      </c>
      <c r="K459" s="14"/>
      <c r="L459" s="14"/>
      <c r="M459" s="14" t="s">
        <v>29</v>
      </c>
      <c r="N459" s="14" t="s">
        <v>25</v>
      </c>
      <c r="O459" s="14"/>
      <c r="P459" s="14"/>
      <c r="Q459" s="14"/>
      <c r="R459" s="14" t="s">
        <v>650</v>
      </c>
    </row>
    <row r="460" spans="1:18" ht="15" customHeight="1">
      <c r="A460" s="12">
        <v>1752</v>
      </c>
      <c r="B460" s="13" t="s">
        <v>774</v>
      </c>
      <c r="C460" s="14"/>
      <c r="D460" s="14" t="s">
        <v>772</v>
      </c>
      <c r="E460" s="14" t="s">
        <v>21</v>
      </c>
      <c r="F460" s="15" t="s">
        <v>22</v>
      </c>
      <c r="G460" s="14"/>
      <c r="H460" s="58">
        <v>0</v>
      </c>
      <c r="I460" s="14"/>
      <c r="J460" s="14" t="s">
        <v>23</v>
      </c>
      <c r="K460" s="14"/>
      <c r="L460" s="14"/>
      <c r="M460" s="14" t="s">
        <v>32</v>
      </c>
      <c r="N460" s="14" t="s">
        <v>25</v>
      </c>
      <c r="O460" s="14"/>
      <c r="P460" s="14"/>
      <c r="Q460" s="14"/>
      <c r="R460" s="14" t="s">
        <v>308</v>
      </c>
    </row>
    <row r="461" spans="1:18" ht="15" customHeight="1">
      <c r="A461" s="12">
        <v>188</v>
      </c>
      <c r="B461" s="13" t="s">
        <v>775</v>
      </c>
      <c r="C461" s="14"/>
      <c r="D461" s="14" t="s">
        <v>776</v>
      </c>
      <c r="E461" s="14" t="s">
        <v>21</v>
      </c>
      <c r="F461" s="15" t="s">
        <v>22</v>
      </c>
      <c r="G461" s="14"/>
      <c r="H461" s="58"/>
      <c r="I461" s="14"/>
      <c r="J461" s="14" t="s">
        <v>23</v>
      </c>
      <c r="K461" s="14"/>
      <c r="L461" s="14"/>
      <c r="M461" s="14" t="s">
        <v>689</v>
      </c>
      <c r="N461" s="22" t="s">
        <v>25</v>
      </c>
      <c r="O461" s="14"/>
      <c r="P461" s="14"/>
      <c r="Q461" s="14"/>
      <c r="R461" s="14" t="s">
        <v>654</v>
      </c>
    </row>
    <row r="462" spans="1:18" ht="15" customHeight="1">
      <c r="A462" s="12">
        <v>964</v>
      </c>
      <c r="B462" s="13" t="s">
        <v>777</v>
      </c>
      <c r="C462" s="14"/>
      <c r="D462" s="14" t="s">
        <v>776</v>
      </c>
      <c r="E462" s="14" t="s">
        <v>21</v>
      </c>
      <c r="F462" s="15" t="s">
        <v>22</v>
      </c>
      <c r="G462" s="21"/>
      <c r="H462" s="58"/>
      <c r="I462" s="14"/>
      <c r="J462" s="14" t="s">
        <v>23</v>
      </c>
      <c r="K462" s="14"/>
      <c r="L462" s="14"/>
      <c r="M462" s="14" t="s">
        <v>29</v>
      </c>
      <c r="N462" s="14" t="s">
        <v>25</v>
      </c>
      <c r="O462" s="14"/>
      <c r="P462" s="14"/>
      <c r="Q462" s="14"/>
      <c r="R462" s="14" t="s">
        <v>650</v>
      </c>
    </row>
    <row r="463" spans="1:18" ht="15" customHeight="1">
      <c r="A463" s="12">
        <v>1753</v>
      </c>
      <c r="B463" s="13" t="s">
        <v>778</v>
      </c>
      <c r="C463" s="14"/>
      <c r="D463" s="14" t="s">
        <v>776</v>
      </c>
      <c r="E463" s="14" t="s">
        <v>21</v>
      </c>
      <c r="F463" s="15" t="s">
        <v>22</v>
      </c>
      <c r="G463" s="14"/>
      <c r="H463" s="58">
        <v>0</v>
      </c>
      <c r="I463" s="14"/>
      <c r="J463" s="14" t="s">
        <v>23</v>
      </c>
      <c r="K463" s="14"/>
      <c r="L463" s="14"/>
      <c r="M463" s="14" t="s">
        <v>32</v>
      </c>
      <c r="N463" s="14" t="s">
        <v>25</v>
      </c>
      <c r="O463" s="14"/>
      <c r="P463" s="14"/>
      <c r="Q463" s="14"/>
      <c r="R463" s="14" t="s">
        <v>308</v>
      </c>
    </row>
    <row r="464" spans="1:18" ht="15" customHeight="1">
      <c r="A464" s="12">
        <v>189</v>
      </c>
      <c r="B464" s="13" t="s">
        <v>779</v>
      </c>
      <c r="C464" s="14"/>
      <c r="D464" s="14" t="s">
        <v>780</v>
      </c>
      <c r="E464" s="14" t="s">
        <v>44</v>
      </c>
      <c r="F464" s="15" t="s">
        <v>22</v>
      </c>
      <c r="G464" s="14"/>
      <c r="H464" s="58"/>
      <c r="I464" s="14"/>
      <c r="J464" s="14" t="s">
        <v>23</v>
      </c>
      <c r="K464" s="14"/>
      <c r="L464" s="14"/>
      <c r="M464" s="14" t="s">
        <v>689</v>
      </c>
      <c r="N464" s="25" t="s">
        <v>37</v>
      </c>
      <c r="O464" s="14" t="s">
        <v>179</v>
      </c>
      <c r="P464" s="14"/>
      <c r="Q464" s="14"/>
      <c r="R464" s="14" t="s">
        <v>654</v>
      </c>
    </row>
    <row r="465" spans="1:1027" ht="15" customHeight="1">
      <c r="A465" s="12">
        <v>965</v>
      </c>
      <c r="B465" s="13" t="s">
        <v>781</v>
      </c>
      <c r="C465" s="14"/>
      <c r="D465" s="14" t="s">
        <v>780</v>
      </c>
      <c r="E465" s="14" t="s">
        <v>44</v>
      </c>
      <c r="F465" s="15" t="s">
        <v>22</v>
      </c>
      <c r="G465" s="21"/>
      <c r="H465" s="58">
        <v>4</v>
      </c>
      <c r="I465" s="14"/>
      <c r="J465" s="14" t="s">
        <v>23</v>
      </c>
      <c r="K465" s="14"/>
      <c r="L465" s="14"/>
      <c r="M465" s="14" t="s">
        <v>29</v>
      </c>
      <c r="N465" s="25" t="s">
        <v>37</v>
      </c>
      <c r="O465" s="14" t="s">
        <v>782</v>
      </c>
      <c r="P465" s="14"/>
      <c r="Q465" s="14"/>
      <c r="R465" s="14" t="s">
        <v>650</v>
      </c>
    </row>
    <row r="466" spans="1:1027" ht="15" customHeight="1">
      <c r="A466" s="12">
        <v>1754</v>
      </c>
      <c r="B466" s="13" t="s">
        <v>783</v>
      </c>
      <c r="C466" s="14"/>
      <c r="D466" s="14" t="s">
        <v>780</v>
      </c>
      <c r="E466" s="14" t="s">
        <v>44</v>
      </c>
      <c r="F466" s="15" t="s">
        <v>22</v>
      </c>
      <c r="G466" s="14"/>
      <c r="H466" s="58">
        <v>4</v>
      </c>
      <c r="I466" s="14"/>
      <c r="J466" s="14" t="s">
        <v>23</v>
      </c>
      <c r="K466" s="14"/>
      <c r="L466" s="14"/>
      <c r="M466" s="14" t="s">
        <v>32</v>
      </c>
      <c r="N466" s="25" t="s">
        <v>37</v>
      </c>
      <c r="O466" s="14" t="s">
        <v>784</v>
      </c>
      <c r="P466" s="14"/>
      <c r="Q466" s="14"/>
      <c r="R466" s="14" t="s">
        <v>308</v>
      </c>
    </row>
    <row r="467" spans="1:1027" ht="15" customHeight="1">
      <c r="A467" s="12">
        <v>38</v>
      </c>
      <c r="B467" s="13" t="s">
        <v>785</v>
      </c>
      <c r="C467" s="14"/>
      <c r="D467" s="14" t="s">
        <v>786</v>
      </c>
      <c r="E467" s="14" t="s">
        <v>44</v>
      </c>
      <c r="F467" s="15" t="s">
        <v>22</v>
      </c>
      <c r="G467" s="14"/>
      <c r="H467" s="58"/>
      <c r="I467" s="14"/>
      <c r="J467" s="14" t="s">
        <v>23</v>
      </c>
      <c r="K467" s="15"/>
      <c r="L467" s="15"/>
      <c r="M467" s="14" t="s">
        <v>24</v>
      </c>
      <c r="N467" s="25" t="s">
        <v>194</v>
      </c>
      <c r="O467" s="14" t="s">
        <v>138</v>
      </c>
      <c r="P467" s="14"/>
      <c r="Q467" s="14"/>
      <c r="R467" s="17">
        <v>43599</v>
      </c>
      <c r="S467" s="12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WR467" s="3"/>
      <c r="WS467" s="3"/>
      <c r="WT467" s="3"/>
      <c r="WU467" s="3"/>
      <c r="WV467" s="3"/>
      <c r="WW467" s="3"/>
      <c r="WX467" s="3"/>
      <c r="WY467" s="3"/>
      <c r="WZ467" s="3"/>
      <c r="XA467" s="3"/>
      <c r="XB467" s="3"/>
      <c r="XC467" s="3"/>
      <c r="XD467" s="3"/>
      <c r="XE467" s="3"/>
      <c r="XF467" s="3"/>
      <c r="XG467" s="3"/>
      <c r="XH467" s="3"/>
      <c r="XI467" s="3"/>
      <c r="XJ467" s="3"/>
      <c r="XK467" s="3"/>
      <c r="XL467" s="3"/>
      <c r="XM467" s="3"/>
      <c r="XN467" s="3"/>
      <c r="XO467" s="3"/>
      <c r="XP467" s="3"/>
      <c r="XQ467" s="3"/>
      <c r="XR467" s="3"/>
      <c r="XS467" s="3"/>
      <c r="XT467" s="3"/>
      <c r="XU467" s="3"/>
      <c r="XV467" s="3"/>
      <c r="XW467" s="3"/>
      <c r="XX467" s="3"/>
      <c r="XY467" s="3"/>
      <c r="XZ467" s="3"/>
      <c r="YA467" s="3"/>
      <c r="YB467" s="3"/>
      <c r="YC467" s="3"/>
      <c r="YD467" s="3"/>
      <c r="YE467" s="3"/>
      <c r="YF467" s="3"/>
      <c r="YG467" s="3"/>
      <c r="YH467" s="3"/>
      <c r="YI467" s="3"/>
      <c r="YJ467" s="3"/>
      <c r="YK467" s="3"/>
      <c r="YL467" s="3"/>
      <c r="YM467" s="3"/>
      <c r="YN467" s="3"/>
      <c r="YO467" s="3"/>
      <c r="YP467" s="3"/>
      <c r="YQ467" s="3"/>
      <c r="YR467" s="3"/>
      <c r="YS467" s="3"/>
      <c r="YT467" s="3"/>
      <c r="YU467" s="3"/>
      <c r="YV467" s="3"/>
      <c r="YW467" s="3"/>
      <c r="YX467" s="3"/>
      <c r="YY467" s="3"/>
      <c r="YZ467" s="3"/>
      <c r="ZA467" s="3"/>
      <c r="ZB467" s="3"/>
      <c r="ZC467" s="3"/>
      <c r="ZD467" s="3"/>
      <c r="ZE467" s="3"/>
      <c r="ZF467" s="3"/>
      <c r="ZG467" s="3"/>
      <c r="ZH467" s="3"/>
      <c r="ZI467" s="3"/>
      <c r="ZJ467" s="3"/>
      <c r="ZK467" s="3"/>
      <c r="ZL467" s="3"/>
      <c r="ZM467" s="3"/>
      <c r="ZN467" s="3"/>
      <c r="ZO467" s="3"/>
      <c r="ZP467" s="3"/>
      <c r="ZQ467" s="3"/>
      <c r="ZR467" s="3"/>
      <c r="ZS467" s="3"/>
      <c r="ZT467" s="3"/>
      <c r="ZU467" s="3"/>
      <c r="ZV467" s="3"/>
      <c r="ZW467" s="3"/>
      <c r="ZX467" s="3"/>
      <c r="ZY467" s="3"/>
      <c r="ZZ467" s="3"/>
      <c r="AAA467" s="3"/>
      <c r="AAB467" s="3"/>
      <c r="AAC467" s="3"/>
      <c r="AAD467" s="3"/>
      <c r="AAE467" s="3"/>
      <c r="AAF467" s="3"/>
      <c r="AAG467" s="3"/>
      <c r="AAH467" s="3"/>
      <c r="AAI467" s="3"/>
      <c r="AAJ467" s="3"/>
      <c r="AAK467" s="3"/>
      <c r="AAL467" s="3"/>
      <c r="AAM467" s="3"/>
      <c r="AAN467" s="3"/>
      <c r="AAO467" s="3"/>
      <c r="AAP467" s="3"/>
      <c r="AAQ467" s="3"/>
      <c r="AAR467" s="3"/>
      <c r="AAS467" s="3"/>
      <c r="AAT467" s="3"/>
      <c r="AAU467" s="3"/>
      <c r="AAV467" s="3"/>
      <c r="AAW467" s="3"/>
      <c r="AAX467" s="3"/>
      <c r="AAY467" s="3"/>
      <c r="AAZ467" s="3"/>
      <c r="ABA467" s="3"/>
      <c r="ABB467" s="3"/>
      <c r="ABC467" s="3"/>
      <c r="ABD467" s="3"/>
      <c r="ABE467" s="3"/>
      <c r="ABF467" s="3"/>
      <c r="ABG467" s="3"/>
      <c r="ABH467" s="3"/>
      <c r="ABI467" s="3"/>
      <c r="ABJ467" s="3"/>
      <c r="ABK467" s="3"/>
      <c r="ABL467" s="3"/>
      <c r="ABM467" s="3"/>
      <c r="ABN467" s="3"/>
      <c r="ABO467" s="3"/>
      <c r="ABP467" s="3"/>
      <c r="ABQ467" s="3"/>
      <c r="ABR467" s="3"/>
      <c r="ABS467" s="3"/>
      <c r="ABT467" s="3"/>
      <c r="ABU467" s="3"/>
      <c r="ABV467" s="3"/>
      <c r="ABW467" s="3"/>
      <c r="ABX467" s="3"/>
      <c r="ABY467" s="3"/>
      <c r="ABZ467" s="3"/>
      <c r="ACA467" s="3"/>
      <c r="ACB467" s="3"/>
      <c r="ACC467" s="3"/>
      <c r="ACD467" s="3"/>
      <c r="ACE467" s="3"/>
      <c r="ACF467" s="3"/>
      <c r="ACG467" s="3"/>
      <c r="ACH467" s="3"/>
      <c r="ACI467" s="3"/>
      <c r="ACJ467" s="3"/>
      <c r="ACK467" s="3"/>
      <c r="ACL467" s="3"/>
      <c r="ACM467" s="3"/>
      <c r="ACN467" s="3"/>
      <c r="ACO467" s="3"/>
      <c r="ACP467" s="3"/>
      <c r="ACQ467" s="3"/>
      <c r="ACR467" s="3"/>
      <c r="ACS467" s="3"/>
      <c r="ACT467" s="3"/>
      <c r="ACU467" s="3"/>
      <c r="ACV467" s="3"/>
      <c r="ACW467" s="3"/>
      <c r="ACX467" s="3"/>
      <c r="ACY467" s="3"/>
      <c r="ACZ467" s="3"/>
      <c r="ADA467" s="3"/>
      <c r="ADB467" s="3"/>
      <c r="ADC467" s="3"/>
      <c r="ADD467" s="3"/>
      <c r="ADE467" s="3"/>
      <c r="ADF467" s="3"/>
      <c r="ADG467" s="3"/>
      <c r="ADH467" s="3"/>
      <c r="ADI467" s="3"/>
      <c r="ADJ467" s="3"/>
      <c r="ADK467" s="3"/>
      <c r="ADL467" s="3"/>
      <c r="ADM467" s="3"/>
      <c r="ADN467" s="3"/>
      <c r="ADO467" s="3"/>
      <c r="ADP467" s="3"/>
      <c r="ADQ467" s="3"/>
      <c r="ADR467" s="3"/>
      <c r="ADS467" s="3"/>
      <c r="ADT467" s="3"/>
      <c r="ADU467" s="3"/>
      <c r="ADV467" s="3"/>
      <c r="ADW467" s="3"/>
      <c r="ADX467" s="3"/>
      <c r="ADY467" s="3"/>
      <c r="ADZ467" s="3"/>
      <c r="AEA467" s="3"/>
      <c r="AEB467" s="3"/>
      <c r="AEC467" s="3"/>
      <c r="AED467" s="3"/>
      <c r="AEE467" s="3"/>
      <c r="AEF467" s="3"/>
      <c r="AEG467" s="3"/>
      <c r="AEH467" s="3"/>
      <c r="AEI467" s="3"/>
      <c r="AEJ467" s="3"/>
      <c r="AEK467" s="3"/>
      <c r="AEL467" s="3"/>
      <c r="AEM467" s="3"/>
      <c r="AEN467" s="3"/>
      <c r="AEO467" s="3"/>
      <c r="AEP467" s="3"/>
      <c r="AEQ467" s="3"/>
      <c r="AER467" s="3"/>
      <c r="AES467" s="3"/>
      <c r="AET467" s="3"/>
      <c r="AEU467" s="3"/>
      <c r="AEV467" s="3"/>
      <c r="AEW467" s="3"/>
      <c r="AEX467" s="3"/>
      <c r="AEY467" s="3"/>
      <c r="AEZ467" s="3"/>
      <c r="AFA467" s="3"/>
      <c r="AFB467" s="3"/>
      <c r="AFC467" s="3"/>
      <c r="AFD467" s="3"/>
      <c r="AFE467" s="3"/>
      <c r="AFF467" s="3"/>
      <c r="AFG467" s="3"/>
      <c r="AFH467" s="3"/>
      <c r="AFI467" s="3"/>
      <c r="AFJ467" s="3"/>
      <c r="AFK467" s="3"/>
      <c r="AFL467" s="3"/>
      <c r="AFM467" s="3"/>
      <c r="AFN467" s="3"/>
      <c r="AFO467" s="3"/>
      <c r="AFP467" s="3"/>
      <c r="AFQ467" s="3"/>
      <c r="AFR467" s="3"/>
      <c r="AFS467" s="3"/>
      <c r="AFT467" s="3"/>
      <c r="AFU467" s="3"/>
      <c r="AFV467" s="3"/>
      <c r="AFW467" s="3"/>
      <c r="AFX467" s="3"/>
      <c r="AFY467" s="3"/>
      <c r="AFZ467" s="3"/>
      <c r="AGA467" s="3"/>
      <c r="AGB467" s="3"/>
      <c r="AGC467" s="3"/>
      <c r="AGD467" s="3"/>
      <c r="AGE467" s="3"/>
      <c r="AGF467" s="3"/>
      <c r="AGG467" s="3"/>
      <c r="AGH467" s="3"/>
      <c r="AGI467" s="3"/>
      <c r="AGJ467" s="3"/>
      <c r="AGK467" s="3"/>
      <c r="AGL467" s="3"/>
      <c r="AGM467" s="3"/>
      <c r="AGN467" s="3"/>
      <c r="AGO467" s="3"/>
      <c r="AGP467" s="3"/>
      <c r="AGQ467" s="3"/>
      <c r="AGR467" s="3"/>
      <c r="AGS467" s="3"/>
      <c r="AGT467" s="3"/>
      <c r="AGU467" s="3"/>
      <c r="AGV467" s="3"/>
      <c r="AGW467" s="3"/>
      <c r="AGX467" s="3"/>
      <c r="AGY467" s="3"/>
      <c r="AGZ467" s="3"/>
      <c r="AHA467" s="3"/>
      <c r="AHB467" s="3"/>
      <c r="AHC467" s="3"/>
      <c r="AHD467" s="3"/>
      <c r="AHE467" s="3"/>
      <c r="AHF467" s="3"/>
      <c r="AHG467" s="3"/>
      <c r="AHH467" s="3"/>
      <c r="AHI467" s="3"/>
      <c r="AHJ467" s="3"/>
      <c r="AHK467" s="3"/>
      <c r="AHL467" s="3"/>
      <c r="AHM467" s="3"/>
      <c r="AHN467" s="3"/>
      <c r="AHO467" s="3"/>
      <c r="AHP467" s="3"/>
      <c r="AHQ467" s="3"/>
      <c r="AHR467" s="3"/>
      <c r="AHS467" s="3"/>
      <c r="AHT467" s="3"/>
      <c r="AHU467" s="3"/>
      <c r="AHV467" s="3"/>
      <c r="AHW467" s="3"/>
      <c r="AHX467" s="3"/>
      <c r="AHY467" s="3"/>
      <c r="AHZ467" s="3"/>
      <c r="AIA467" s="3"/>
      <c r="AIB467" s="3"/>
      <c r="AIC467" s="3"/>
      <c r="AID467" s="3"/>
      <c r="AIE467" s="3"/>
      <c r="AIF467" s="3"/>
      <c r="AIG467" s="3"/>
      <c r="AIH467" s="3"/>
      <c r="AII467" s="3"/>
      <c r="AIJ467" s="3"/>
      <c r="AIK467" s="3"/>
      <c r="AIL467" s="3"/>
      <c r="AIM467" s="3"/>
      <c r="AIN467" s="3"/>
      <c r="AIO467" s="3"/>
      <c r="AIP467" s="3"/>
      <c r="AIQ467" s="3"/>
      <c r="AIR467" s="3"/>
      <c r="AIS467" s="3"/>
      <c r="AIT467" s="3"/>
      <c r="AIU467" s="3"/>
      <c r="AIV467" s="3"/>
      <c r="AIW467" s="3"/>
      <c r="AIX467" s="3"/>
      <c r="AIY467" s="3"/>
      <c r="AIZ467" s="3"/>
      <c r="AJA467" s="3"/>
      <c r="AJB467" s="3"/>
      <c r="AJC467" s="3"/>
      <c r="AJD467" s="3"/>
      <c r="AJE467" s="3"/>
      <c r="AJF467" s="3"/>
      <c r="AJG467" s="3"/>
      <c r="AJH467" s="3"/>
      <c r="AJI467" s="3"/>
      <c r="AJJ467" s="3"/>
      <c r="AJK467" s="3"/>
      <c r="AJL467" s="3"/>
      <c r="AJM467" s="3"/>
      <c r="AJN467" s="3"/>
      <c r="AJO467" s="3"/>
      <c r="AJP467" s="3"/>
      <c r="AJQ467" s="3"/>
      <c r="AJR467" s="3"/>
      <c r="AJS467" s="3"/>
      <c r="AJT467" s="3"/>
      <c r="AJU467" s="3"/>
      <c r="AJV467" s="3"/>
      <c r="AJW467" s="3"/>
      <c r="AJX467" s="3"/>
      <c r="AJY467" s="3"/>
      <c r="AJZ467" s="3"/>
      <c r="AKA467" s="3"/>
      <c r="AKB467" s="3"/>
      <c r="AKC467" s="3"/>
      <c r="AKD467" s="3"/>
      <c r="AKE467" s="3"/>
      <c r="AKF467" s="3"/>
      <c r="AKG467" s="3"/>
      <c r="AKH467" s="3"/>
      <c r="AKI467" s="3"/>
      <c r="AKJ467" s="3"/>
      <c r="AKK467" s="3"/>
      <c r="AKL467" s="3"/>
      <c r="AKM467" s="3"/>
      <c r="AKN467" s="3"/>
      <c r="AKO467" s="3"/>
      <c r="AKP467" s="3"/>
      <c r="AKQ467" s="3"/>
      <c r="AKR467" s="3"/>
      <c r="AKS467" s="3"/>
      <c r="AKT467" s="3"/>
      <c r="AKU467" s="3"/>
      <c r="AKV467" s="3"/>
      <c r="AKW467" s="3"/>
      <c r="AKX467" s="3"/>
      <c r="AKY467" s="3"/>
      <c r="AKZ467" s="3"/>
      <c r="ALA467" s="3"/>
      <c r="ALB467" s="3"/>
      <c r="ALC467" s="3"/>
      <c r="ALD467" s="3"/>
      <c r="ALE467" s="3"/>
      <c r="ALF467" s="3"/>
      <c r="ALG467" s="3"/>
      <c r="ALH467" s="3"/>
      <c r="ALI467" s="3"/>
      <c r="ALJ467" s="3"/>
      <c r="ALK467" s="3"/>
      <c r="ALL467" s="3"/>
      <c r="ALM467" s="3"/>
      <c r="ALN467" s="3"/>
      <c r="ALO467" s="3"/>
      <c r="ALP467" s="3"/>
      <c r="ALQ467" s="3"/>
      <c r="ALR467" s="3"/>
      <c r="ALS467" s="3"/>
      <c r="ALT467" s="3"/>
      <c r="ALU467" s="3"/>
      <c r="ALV467" s="3"/>
      <c r="ALW467" s="3"/>
      <c r="ALX467" s="3"/>
      <c r="ALY467" s="3"/>
      <c r="ALZ467" s="3"/>
      <c r="AMA467" s="3"/>
      <c r="AMB467" s="3"/>
      <c r="AMC467" s="3"/>
      <c r="AMD467" s="3"/>
      <c r="AME467" s="3"/>
      <c r="AMF467" s="3"/>
      <c r="AMG467" s="3"/>
      <c r="AMH467" s="3"/>
      <c r="AMI467" s="3"/>
      <c r="AMJ467" s="3"/>
      <c r="AMK467" s="3"/>
      <c r="AML467" s="3"/>
      <c r="AMM467" s="3"/>
    </row>
    <row r="468" spans="1:1027" ht="15" customHeight="1">
      <c r="A468" s="12">
        <v>190</v>
      </c>
      <c r="B468" s="13" t="s">
        <v>787</v>
      </c>
      <c r="C468" s="14"/>
      <c r="D468" s="14" t="s">
        <v>786</v>
      </c>
      <c r="E468" s="14" t="s">
        <v>44</v>
      </c>
      <c r="F468" s="15" t="s">
        <v>22</v>
      </c>
      <c r="G468" s="14"/>
      <c r="H468" s="58"/>
      <c r="I468" s="14"/>
      <c r="J468" s="14" t="s">
        <v>23</v>
      </c>
      <c r="K468" s="14"/>
      <c r="L468" s="14"/>
      <c r="M468" s="14" t="s">
        <v>689</v>
      </c>
      <c r="N468" s="25" t="s">
        <v>37</v>
      </c>
      <c r="O468" s="14" t="s">
        <v>185</v>
      </c>
      <c r="P468" s="14"/>
      <c r="Q468" s="14"/>
      <c r="R468" s="14" t="s">
        <v>654</v>
      </c>
    </row>
    <row r="469" spans="1:1027" ht="15" customHeight="1">
      <c r="A469" s="12">
        <v>966</v>
      </c>
      <c r="B469" s="13" t="s">
        <v>788</v>
      </c>
      <c r="C469" s="14"/>
      <c r="D469" s="14" t="s">
        <v>786</v>
      </c>
      <c r="E469" s="14" t="s">
        <v>44</v>
      </c>
      <c r="F469" s="15" t="s">
        <v>22</v>
      </c>
      <c r="G469" s="21"/>
      <c r="H469" s="58">
        <v>2</v>
      </c>
      <c r="I469" s="14"/>
      <c r="J469" s="14" t="s">
        <v>23</v>
      </c>
      <c r="K469" s="14"/>
      <c r="L469" s="14"/>
      <c r="M469" s="14" t="s">
        <v>29</v>
      </c>
      <c r="N469" s="25" t="s">
        <v>37</v>
      </c>
      <c r="O469" s="14" t="s">
        <v>789</v>
      </c>
      <c r="P469" s="14"/>
      <c r="Q469" s="14"/>
      <c r="R469" s="14" t="s">
        <v>650</v>
      </c>
    </row>
    <row r="470" spans="1:1027" ht="15" customHeight="1">
      <c r="A470" s="12">
        <v>1755</v>
      </c>
      <c r="B470" s="13" t="s">
        <v>790</v>
      </c>
      <c r="C470" s="14"/>
      <c r="D470" s="14" t="s">
        <v>786</v>
      </c>
      <c r="E470" s="14" t="s">
        <v>44</v>
      </c>
      <c r="F470" s="15" t="s">
        <v>22</v>
      </c>
      <c r="G470" s="14"/>
      <c r="H470" s="58">
        <v>4</v>
      </c>
      <c r="I470" s="14"/>
      <c r="J470" s="14" t="s">
        <v>23</v>
      </c>
      <c r="K470" s="14"/>
      <c r="L470" s="14"/>
      <c r="M470" s="14" t="s">
        <v>32</v>
      </c>
      <c r="N470" s="25" t="s">
        <v>37</v>
      </c>
      <c r="O470" s="14" t="s">
        <v>791</v>
      </c>
      <c r="P470" s="14"/>
      <c r="Q470" s="14"/>
      <c r="R470" s="14" t="s">
        <v>308</v>
      </c>
    </row>
    <row r="471" spans="1:1027" ht="15" customHeight="1">
      <c r="A471" s="12">
        <v>191</v>
      </c>
      <c r="B471" s="13" t="s">
        <v>792</v>
      </c>
      <c r="C471" s="14"/>
      <c r="D471" s="14" t="s">
        <v>793</v>
      </c>
      <c r="E471" s="14" t="s">
        <v>36</v>
      </c>
      <c r="F471" s="15" t="s">
        <v>22</v>
      </c>
      <c r="G471" s="14"/>
      <c r="H471" s="58"/>
      <c r="I471" s="14"/>
      <c r="J471" s="14" t="s">
        <v>23</v>
      </c>
      <c r="K471" s="14"/>
      <c r="L471" s="14"/>
      <c r="M471" s="14" t="s">
        <v>689</v>
      </c>
      <c r="N471" s="25" t="s">
        <v>37</v>
      </c>
      <c r="O471" s="14" t="s">
        <v>179</v>
      </c>
      <c r="P471" s="14"/>
      <c r="Q471" s="14"/>
      <c r="R471" s="14" t="s">
        <v>654</v>
      </c>
    </row>
    <row r="472" spans="1:1027" ht="15" customHeight="1">
      <c r="A472" s="12">
        <v>967</v>
      </c>
      <c r="B472" s="13" t="s">
        <v>794</v>
      </c>
      <c r="C472" s="14"/>
      <c r="D472" s="14" t="s">
        <v>793</v>
      </c>
      <c r="E472" s="14" t="s">
        <v>36</v>
      </c>
      <c r="F472" s="15" t="s">
        <v>22</v>
      </c>
      <c r="G472" s="21"/>
      <c r="H472" s="58">
        <v>2</v>
      </c>
      <c r="I472" s="14"/>
      <c r="J472" s="14" t="s">
        <v>23</v>
      </c>
      <c r="K472" s="14"/>
      <c r="L472" s="14"/>
      <c r="M472" s="14" t="s">
        <v>29</v>
      </c>
      <c r="N472" s="25" t="s">
        <v>37</v>
      </c>
      <c r="O472" s="14" t="s">
        <v>795</v>
      </c>
      <c r="P472" s="14"/>
      <c r="Q472" s="14"/>
      <c r="R472" s="14" t="s">
        <v>650</v>
      </c>
    </row>
    <row r="473" spans="1:1027" ht="15" customHeight="1">
      <c r="A473" s="12">
        <v>1756</v>
      </c>
      <c r="B473" s="13" t="s">
        <v>796</v>
      </c>
      <c r="C473" s="14"/>
      <c r="D473" s="14" t="s">
        <v>793</v>
      </c>
      <c r="E473" s="14" t="s">
        <v>36</v>
      </c>
      <c r="F473" s="15" t="s">
        <v>22</v>
      </c>
      <c r="G473" s="14"/>
      <c r="H473" s="58">
        <v>2</v>
      </c>
      <c r="I473" s="14"/>
      <c r="J473" s="14" t="s">
        <v>23</v>
      </c>
      <c r="K473" s="14"/>
      <c r="L473" s="14"/>
      <c r="M473" s="14" t="s">
        <v>32</v>
      </c>
      <c r="N473" s="25" t="s">
        <v>37</v>
      </c>
      <c r="O473" s="14" t="s">
        <v>797</v>
      </c>
      <c r="P473" s="14"/>
      <c r="Q473" s="14"/>
      <c r="R473" s="14" t="s">
        <v>308</v>
      </c>
    </row>
    <row r="474" spans="1:1027" ht="15" customHeight="1">
      <c r="A474" s="12">
        <v>192</v>
      </c>
      <c r="B474" s="13" t="s">
        <v>798</v>
      </c>
      <c r="C474" s="14"/>
      <c r="D474" s="14" t="s">
        <v>799</v>
      </c>
      <c r="E474" s="14" t="s">
        <v>44</v>
      </c>
      <c r="F474" s="15" t="s">
        <v>22</v>
      </c>
      <c r="G474" s="14"/>
      <c r="H474" s="58"/>
      <c r="I474" s="14"/>
      <c r="J474" s="14" t="s">
        <v>23</v>
      </c>
      <c r="K474" s="14"/>
      <c r="L474" s="14"/>
      <c r="M474" s="14" t="s">
        <v>689</v>
      </c>
      <c r="N474" s="22" t="s">
        <v>25</v>
      </c>
      <c r="O474" s="14"/>
      <c r="P474" s="14"/>
      <c r="Q474" s="14"/>
      <c r="R474" s="14" t="s">
        <v>654</v>
      </c>
    </row>
    <row r="475" spans="1:1027" ht="15" customHeight="1">
      <c r="A475" s="12">
        <v>968</v>
      </c>
      <c r="B475" s="13" t="s">
        <v>800</v>
      </c>
      <c r="C475" s="14"/>
      <c r="D475" s="14" t="s">
        <v>799</v>
      </c>
      <c r="E475" s="14" t="s">
        <v>44</v>
      </c>
      <c r="F475" s="15" t="s">
        <v>22</v>
      </c>
      <c r="G475" s="21"/>
      <c r="H475" s="58"/>
      <c r="I475" s="14"/>
      <c r="J475" s="14" t="s">
        <v>23</v>
      </c>
      <c r="K475" s="14"/>
      <c r="L475" s="14"/>
      <c r="M475" s="14" t="s">
        <v>29</v>
      </c>
      <c r="N475" s="14" t="s">
        <v>25</v>
      </c>
      <c r="O475" s="14"/>
      <c r="P475" s="14"/>
      <c r="Q475" s="14"/>
      <c r="R475" s="14" t="s">
        <v>650</v>
      </c>
    </row>
    <row r="476" spans="1:1027" ht="15" customHeight="1">
      <c r="A476" s="12">
        <v>1757</v>
      </c>
      <c r="B476" s="13" t="s">
        <v>801</v>
      </c>
      <c r="C476" s="14"/>
      <c r="D476" s="14" t="s">
        <v>799</v>
      </c>
      <c r="E476" s="14" t="s">
        <v>44</v>
      </c>
      <c r="F476" s="15" t="s">
        <v>22</v>
      </c>
      <c r="G476" s="14"/>
      <c r="H476" s="58">
        <v>0</v>
      </c>
      <c r="I476" s="14"/>
      <c r="J476" s="14" t="s">
        <v>23</v>
      </c>
      <c r="K476" s="14"/>
      <c r="L476" s="14"/>
      <c r="M476" s="14" t="s">
        <v>32</v>
      </c>
      <c r="N476" s="14" t="s">
        <v>25</v>
      </c>
      <c r="O476" s="14"/>
      <c r="P476" s="14"/>
      <c r="Q476" s="14"/>
      <c r="R476" s="14" t="s">
        <v>308</v>
      </c>
    </row>
    <row r="477" spans="1:1027" ht="15" customHeight="1">
      <c r="A477" s="12">
        <v>193</v>
      </c>
      <c r="B477" s="13" t="s">
        <v>802</v>
      </c>
      <c r="C477" s="14"/>
      <c r="D477" s="14" t="s">
        <v>803</v>
      </c>
      <c r="E477" s="14" t="s">
        <v>21</v>
      </c>
      <c r="F477" s="15" t="s">
        <v>22</v>
      </c>
      <c r="G477" s="14"/>
      <c r="H477" s="58"/>
      <c r="I477" s="14"/>
      <c r="J477" s="14" t="s">
        <v>23</v>
      </c>
      <c r="K477" s="14"/>
      <c r="L477" s="14"/>
      <c r="M477" s="14" t="s">
        <v>689</v>
      </c>
      <c r="N477" s="22" t="s">
        <v>25</v>
      </c>
      <c r="O477" s="14"/>
      <c r="P477" s="14"/>
      <c r="Q477" s="14"/>
      <c r="R477" s="14" t="s">
        <v>654</v>
      </c>
    </row>
    <row r="478" spans="1:1027" ht="15" customHeight="1">
      <c r="A478" s="12">
        <v>969</v>
      </c>
      <c r="B478" s="13" t="s">
        <v>804</v>
      </c>
      <c r="C478" s="14"/>
      <c r="D478" s="14" t="s">
        <v>803</v>
      </c>
      <c r="E478" s="14" t="s">
        <v>21</v>
      </c>
      <c r="F478" s="15" t="s">
        <v>22</v>
      </c>
      <c r="G478" s="21"/>
      <c r="H478" s="58"/>
      <c r="I478" s="14"/>
      <c r="J478" s="14" t="s">
        <v>23</v>
      </c>
      <c r="K478" s="14"/>
      <c r="L478" s="14"/>
      <c r="M478" s="14" t="s">
        <v>29</v>
      </c>
      <c r="N478" s="14" t="s">
        <v>25</v>
      </c>
      <c r="O478" s="14"/>
      <c r="P478" s="14"/>
      <c r="Q478" s="14"/>
      <c r="R478" s="14" t="s">
        <v>650</v>
      </c>
    </row>
    <row r="479" spans="1:1027" ht="15" customHeight="1">
      <c r="A479" s="12">
        <v>1758</v>
      </c>
      <c r="B479" s="13" t="s">
        <v>805</v>
      </c>
      <c r="C479" s="14"/>
      <c r="D479" s="14" t="s">
        <v>803</v>
      </c>
      <c r="E479" s="14" t="s">
        <v>21</v>
      </c>
      <c r="F479" s="15" t="s">
        <v>22</v>
      </c>
      <c r="G479" s="14"/>
      <c r="H479" s="58">
        <v>0</v>
      </c>
      <c r="I479" s="14"/>
      <c r="J479" s="14" t="s">
        <v>23</v>
      </c>
      <c r="K479" s="14"/>
      <c r="L479" s="14"/>
      <c r="M479" s="14" t="s">
        <v>32</v>
      </c>
      <c r="N479" s="14" t="s">
        <v>25</v>
      </c>
      <c r="O479" s="14"/>
      <c r="P479" s="14"/>
      <c r="Q479" s="14"/>
      <c r="R479" s="14" t="s">
        <v>308</v>
      </c>
    </row>
    <row r="480" spans="1:1027" ht="15" customHeight="1">
      <c r="A480" s="12">
        <v>194</v>
      </c>
      <c r="B480" s="13" t="s">
        <v>806</v>
      </c>
      <c r="C480" s="14"/>
      <c r="D480" s="14" t="s">
        <v>807</v>
      </c>
      <c r="E480" s="14" t="s">
        <v>21</v>
      </c>
      <c r="F480" s="15" t="s">
        <v>22</v>
      </c>
      <c r="G480" s="14"/>
      <c r="H480" s="58"/>
      <c r="I480" s="14"/>
      <c r="J480" s="14" t="s">
        <v>23</v>
      </c>
      <c r="K480" s="14"/>
      <c r="L480" s="14"/>
      <c r="M480" s="14" t="s">
        <v>689</v>
      </c>
      <c r="N480" s="22" t="s">
        <v>25</v>
      </c>
      <c r="O480" s="14"/>
      <c r="P480" s="14"/>
      <c r="Q480" s="14"/>
      <c r="R480" s="14" t="s">
        <v>654</v>
      </c>
    </row>
    <row r="481" spans="1:18" ht="24" customHeight="1">
      <c r="A481" s="12">
        <v>970</v>
      </c>
      <c r="B481" s="13" t="s">
        <v>808</v>
      </c>
      <c r="C481" s="14"/>
      <c r="D481" s="14" t="s">
        <v>807</v>
      </c>
      <c r="E481" s="14" t="s">
        <v>21</v>
      </c>
      <c r="F481" s="15" t="s">
        <v>22</v>
      </c>
      <c r="G481" s="21"/>
      <c r="H481" s="58"/>
      <c r="I481" s="14"/>
      <c r="J481" s="14" t="s">
        <v>23</v>
      </c>
      <c r="K481" s="14"/>
      <c r="L481" s="14"/>
      <c r="M481" s="14" t="s">
        <v>29</v>
      </c>
      <c r="N481" s="14" t="s">
        <v>25</v>
      </c>
      <c r="O481" s="14"/>
      <c r="P481" s="14"/>
      <c r="Q481" s="14"/>
      <c r="R481" s="14" t="s">
        <v>650</v>
      </c>
    </row>
    <row r="482" spans="1:18" ht="17.25" customHeight="1">
      <c r="A482" s="12">
        <v>1759</v>
      </c>
      <c r="B482" s="13" t="s">
        <v>809</v>
      </c>
      <c r="C482" s="14"/>
      <c r="D482" s="14" t="s">
        <v>807</v>
      </c>
      <c r="E482" s="14" t="s">
        <v>21</v>
      </c>
      <c r="F482" s="15" t="s">
        <v>22</v>
      </c>
      <c r="G482" s="14"/>
      <c r="H482" s="58">
        <v>0</v>
      </c>
      <c r="I482" s="14"/>
      <c r="J482" s="14" t="s">
        <v>23</v>
      </c>
      <c r="K482" s="14"/>
      <c r="L482" s="14"/>
      <c r="M482" s="14" t="s">
        <v>32</v>
      </c>
      <c r="N482" s="14" t="s">
        <v>25</v>
      </c>
      <c r="O482" s="14"/>
      <c r="P482" s="14"/>
      <c r="Q482" s="14"/>
      <c r="R482" s="14" t="s">
        <v>308</v>
      </c>
    </row>
    <row r="483" spans="1:18" ht="15" customHeight="1">
      <c r="A483" s="12">
        <v>195</v>
      </c>
      <c r="B483" s="13" t="s">
        <v>810</v>
      </c>
      <c r="C483" s="14"/>
      <c r="D483" s="14" t="s">
        <v>811</v>
      </c>
      <c r="E483" s="14" t="s">
        <v>44</v>
      </c>
      <c r="F483" s="15" t="s">
        <v>22</v>
      </c>
      <c r="G483" s="14"/>
      <c r="H483" s="58"/>
      <c r="I483" s="14"/>
      <c r="J483" s="14" t="s">
        <v>23</v>
      </c>
      <c r="K483" s="14"/>
      <c r="L483" s="14"/>
      <c r="M483" s="14" t="s">
        <v>689</v>
      </c>
      <c r="N483" s="25" t="s">
        <v>37</v>
      </c>
      <c r="O483" s="14" t="s">
        <v>38</v>
      </c>
      <c r="P483" s="14"/>
      <c r="Q483" s="14"/>
      <c r="R483" s="14" t="s">
        <v>654</v>
      </c>
    </row>
    <row r="484" spans="1:18" ht="15" customHeight="1">
      <c r="A484" s="12">
        <v>971</v>
      </c>
      <c r="B484" s="13" t="s">
        <v>812</v>
      </c>
      <c r="C484" s="14"/>
      <c r="D484" s="14" t="s">
        <v>811</v>
      </c>
      <c r="E484" s="14" t="s">
        <v>44</v>
      </c>
      <c r="F484" s="15" t="s">
        <v>22</v>
      </c>
      <c r="G484" s="21"/>
      <c r="H484" s="58">
        <v>1</v>
      </c>
      <c r="I484" s="14"/>
      <c r="J484" s="14" t="s">
        <v>23</v>
      </c>
      <c r="K484" s="14"/>
      <c r="L484" s="14"/>
      <c r="M484" s="14" t="s">
        <v>29</v>
      </c>
      <c r="N484" s="25" t="s">
        <v>37</v>
      </c>
      <c r="O484" s="14" t="s">
        <v>813</v>
      </c>
      <c r="P484" s="14"/>
      <c r="Q484" s="14"/>
      <c r="R484" s="14" t="s">
        <v>650</v>
      </c>
    </row>
    <row r="485" spans="1:18" ht="15" customHeight="1">
      <c r="A485" s="12">
        <v>1760</v>
      </c>
      <c r="B485" s="13" t="s">
        <v>814</v>
      </c>
      <c r="C485" s="14"/>
      <c r="D485" s="14" t="s">
        <v>811</v>
      </c>
      <c r="E485" s="14" t="s">
        <v>44</v>
      </c>
      <c r="F485" s="15" t="s">
        <v>22</v>
      </c>
      <c r="G485" s="14"/>
      <c r="H485" s="58">
        <v>2</v>
      </c>
      <c r="I485" s="14"/>
      <c r="J485" s="14" t="s">
        <v>23</v>
      </c>
      <c r="K485" s="14"/>
      <c r="L485" s="14"/>
      <c r="M485" s="14" t="s">
        <v>32</v>
      </c>
      <c r="N485" s="25" t="s">
        <v>37</v>
      </c>
      <c r="O485" s="14" t="s">
        <v>815</v>
      </c>
      <c r="P485" s="14"/>
      <c r="Q485" s="14"/>
      <c r="R485" s="14" t="s">
        <v>308</v>
      </c>
    </row>
    <row r="486" spans="1:18" ht="15" customHeight="1">
      <c r="A486" s="12">
        <v>196</v>
      </c>
      <c r="B486" s="13" t="s">
        <v>816</v>
      </c>
      <c r="C486" s="14"/>
      <c r="D486" s="14" t="s">
        <v>817</v>
      </c>
      <c r="E486" s="14" t="s">
        <v>172</v>
      </c>
      <c r="F486" s="15" t="s">
        <v>22</v>
      </c>
      <c r="G486" s="14"/>
      <c r="H486" s="58"/>
      <c r="I486" s="14"/>
      <c r="J486" s="14" t="s">
        <v>23</v>
      </c>
      <c r="K486" s="14"/>
      <c r="L486" s="14"/>
      <c r="M486" s="14" t="s">
        <v>689</v>
      </c>
      <c r="N486" s="22" t="s">
        <v>25</v>
      </c>
      <c r="O486" s="14"/>
      <c r="P486" s="14"/>
      <c r="Q486" s="14"/>
      <c r="R486" s="14" t="s">
        <v>654</v>
      </c>
    </row>
    <row r="487" spans="1:18" ht="15" customHeight="1">
      <c r="A487" s="12">
        <v>972</v>
      </c>
      <c r="B487" s="13" t="s">
        <v>818</v>
      </c>
      <c r="C487" s="14"/>
      <c r="D487" s="14" t="s">
        <v>817</v>
      </c>
      <c r="E487" s="14" t="s">
        <v>172</v>
      </c>
      <c r="F487" s="15" t="s">
        <v>22</v>
      </c>
      <c r="G487" s="21"/>
      <c r="H487" s="58"/>
      <c r="I487" s="14"/>
      <c r="J487" s="14" t="s">
        <v>23</v>
      </c>
      <c r="K487" s="14"/>
      <c r="L487" s="14"/>
      <c r="M487" s="14" t="s">
        <v>29</v>
      </c>
      <c r="N487" s="14" t="s">
        <v>25</v>
      </c>
      <c r="O487" s="14"/>
      <c r="P487" s="14"/>
      <c r="Q487" s="14"/>
      <c r="R487" s="14" t="s">
        <v>650</v>
      </c>
    </row>
    <row r="488" spans="1:18" ht="15" customHeight="1">
      <c r="A488" s="12">
        <v>1761</v>
      </c>
      <c r="B488" s="13" t="s">
        <v>819</v>
      </c>
      <c r="C488" s="14"/>
      <c r="D488" s="14" t="s">
        <v>817</v>
      </c>
      <c r="E488" s="14" t="s">
        <v>172</v>
      </c>
      <c r="F488" s="15" t="s">
        <v>22</v>
      </c>
      <c r="G488" s="14"/>
      <c r="H488" s="58">
        <v>0</v>
      </c>
      <c r="I488" s="14"/>
      <c r="J488" s="14" t="s">
        <v>23</v>
      </c>
      <c r="K488" s="14"/>
      <c r="L488" s="14"/>
      <c r="M488" s="14" t="s">
        <v>32</v>
      </c>
      <c r="N488" s="14" t="s">
        <v>25</v>
      </c>
      <c r="O488" s="14"/>
      <c r="P488" s="14"/>
      <c r="Q488" s="14"/>
      <c r="R488" s="14" t="s">
        <v>308</v>
      </c>
    </row>
    <row r="489" spans="1:18" ht="15" customHeight="1">
      <c r="A489" s="12">
        <v>197</v>
      </c>
      <c r="B489" s="13" t="s">
        <v>820</v>
      </c>
      <c r="C489" s="14"/>
      <c r="D489" s="14" t="s">
        <v>821</v>
      </c>
      <c r="E489" s="14" t="s">
        <v>21</v>
      </c>
      <c r="F489" s="15" t="s">
        <v>22</v>
      </c>
      <c r="G489" s="14"/>
      <c r="H489" s="58"/>
      <c r="I489" s="14"/>
      <c r="J489" s="14" t="s">
        <v>23</v>
      </c>
      <c r="K489" s="14"/>
      <c r="L489" s="14"/>
      <c r="M489" s="14" t="s">
        <v>689</v>
      </c>
      <c r="N489" s="22" t="s">
        <v>25</v>
      </c>
      <c r="O489" s="14"/>
      <c r="P489" s="14"/>
      <c r="Q489" s="14"/>
      <c r="R489" s="14" t="s">
        <v>654</v>
      </c>
    </row>
    <row r="490" spans="1:18" ht="15" customHeight="1">
      <c r="A490" s="12">
        <v>973</v>
      </c>
      <c r="B490" s="13" t="s">
        <v>822</v>
      </c>
      <c r="C490" s="14"/>
      <c r="D490" s="14" t="s">
        <v>821</v>
      </c>
      <c r="E490" s="14" t="s">
        <v>21</v>
      </c>
      <c r="F490" s="15" t="s">
        <v>22</v>
      </c>
      <c r="G490" s="21"/>
      <c r="H490" s="58"/>
      <c r="I490" s="14"/>
      <c r="J490" s="14" t="s">
        <v>23</v>
      </c>
      <c r="K490" s="14"/>
      <c r="L490" s="14"/>
      <c r="M490" s="14" t="s">
        <v>29</v>
      </c>
      <c r="N490" s="14" t="s">
        <v>25</v>
      </c>
      <c r="O490" s="14"/>
      <c r="P490" s="14"/>
      <c r="Q490" s="14"/>
      <c r="R490" s="14" t="s">
        <v>650</v>
      </c>
    </row>
    <row r="491" spans="1:18" ht="15" customHeight="1">
      <c r="A491" s="12">
        <v>1762</v>
      </c>
      <c r="B491" s="13" t="s">
        <v>823</v>
      </c>
      <c r="C491" s="14"/>
      <c r="D491" s="14" t="s">
        <v>821</v>
      </c>
      <c r="E491" s="14" t="s">
        <v>21</v>
      </c>
      <c r="F491" s="15" t="s">
        <v>22</v>
      </c>
      <c r="G491" s="14"/>
      <c r="H491" s="58">
        <v>0</v>
      </c>
      <c r="I491" s="14"/>
      <c r="J491" s="14" t="s">
        <v>23</v>
      </c>
      <c r="K491" s="14"/>
      <c r="L491" s="14"/>
      <c r="M491" s="14" t="s">
        <v>32</v>
      </c>
      <c r="N491" s="14" t="s">
        <v>25</v>
      </c>
      <c r="O491" s="14"/>
      <c r="P491" s="14"/>
      <c r="Q491" s="14"/>
      <c r="R491" s="14" t="s">
        <v>308</v>
      </c>
    </row>
    <row r="492" spans="1:18" ht="15" customHeight="1">
      <c r="A492" s="12">
        <v>198</v>
      </c>
      <c r="B492" s="13" t="s">
        <v>824</v>
      </c>
      <c r="C492" s="14"/>
      <c r="D492" s="14" t="s">
        <v>825</v>
      </c>
      <c r="E492" s="14" t="s">
        <v>21</v>
      </c>
      <c r="F492" s="15" t="s">
        <v>22</v>
      </c>
      <c r="G492" s="14"/>
      <c r="H492" s="58"/>
      <c r="I492" s="14"/>
      <c r="J492" s="14" t="s">
        <v>23</v>
      </c>
      <c r="K492" s="14"/>
      <c r="L492" s="14"/>
      <c r="M492" s="14" t="s">
        <v>689</v>
      </c>
      <c r="N492" s="22" t="s">
        <v>25</v>
      </c>
      <c r="O492" s="14"/>
      <c r="P492" s="14"/>
      <c r="Q492" s="14"/>
      <c r="R492" s="14" t="s">
        <v>654</v>
      </c>
    </row>
    <row r="493" spans="1:18" ht="15" customHeight="1">
      <c r="A493" s="12">
        <v>974</v>
      </c>
      <c r="B493" s="13" t="s">
        <v>826</v>
      </c>
      <c r="C493" s="14"/>
      <c r="D493" s="14" t="s">
        <v>825</v>
      </c>
      <c r="E493" s="14" t="s">
        <v>36</v>
      </c>
      <c r="F493" s="15" t="s">
        <v>22</v>
      </c>
      <c r="G493" s="21"/>
      <c r="H493" s="58">
        <v>1</v>
      </c>
      <c r="I493" s="14"/>
      <c r="J493" s="14" t="s">
        <v>23</v>
      </c>
      <c r="K493" s="14"/>
      <c r="L493" s="14"/>
      <c r="M493" s="14" t="s">
        <v>29</v>
      </c>
      <c r="N493" s="25" t="s">
        <v>37</v>
      </c>
      <c r="O493" s="14" t="s">
        <v>827</v>
      </c>
      <c r="P493" s="14"/>
      <c r="Q493" s="14"/>
      <c r="R493" s="14" t="s">
        <v>650</v>
      </c>
    </row>
    <row r="494" spans="1:18" ht="15" customHeight="1">
      <c r="A494" s="12">
        <v>1763</v>
      </c>
      <c r="B494" s="13" t="s">
        <v>828</v>
      </c>
      <c r="C494" s="14"/>
      <c r="D494" s="14" t="s">
        <v>825</v>
      </c>
      <c r="E494" s="14" t="s">
        <v>36</v>
      </c>
      <c r="F494" s="15" t="s">
        <v>22</v>
      </c>
      <c r="G494" s="14"/>
      <c r="H494" s="58">
        <v>3</v>
      </c>
      <c r="I494" s="14"/>
      <c r="J494" s="14" t="s">
        <v>23</v>
      </c>
      <c r="K494" s="14"/>
      <c r="L494" s="14"/>
      <c r="M494" s="14" t="s">
        <v>32</v>
      </c>
      <c r="N494" s="25" t="s">
        <v>37</v>
      </c>
      <c r="O494" s="14" t="s">
        <v>829</v>
      </c>
      <c r="P494" s="14"/>
      <c r="Q494" s="14"/>
      <c r="R494" s="14" t="s">
        <v>308</v>
      </c>
    </row>
    <row r="495" spans="1:18" ht="15" customHeight="1">
      <c r="A495" s="12">
        <v>199</v>
      </c>
      <c r="B495" s="13" t="s">
        <v>830</v>
      </c>
      <c r="C495" s="14"/>
      <c r="D495" s="14" t="s">
        <v>831</v>
      </c>
      <c r="E495" s="14" t="s">
        <v>36</v>
      </c>
      <c r="F495" s="15" t="s">
        <v>22</v>
      </c>
      <c r="G495" s="14"/>
      <c r="H495" s="58"/>
      <c r="I495" s="14"/>
      <c r="J495" s="14" t="s">
        <v>23</v>
      </c>
      <c r="K495" s="14"/>
      <c r="L495" s="14"/>
      <c r="M495" s="14" t="s">
        <v>689</v>
      </c>
      <c r="N495" s="25" t="s">
        <v>37</v>
      </c>
      <c r="O495" s="14" t="s">
        <v>38</v>
      </c>
      <c r="P495" s="14"/>
      <c r="Q495" s="14"/>
      <c r="R495" s="14" t="s">
        <v>654</v>
      </c>
    </row>
    <row r="496" spans="1:18" ht="15" customHeight="1">
      <c r="A496" s="12">
        <v>975</v>
      </c>
      <c r="B496" s="13" t="s">
        <v>832</v>
      </c>
      <c r="C496" s="14"/>
      <c r="D496" s="14" t="s">
        <v>831</v>
      </c>
      <c r="E496" s="14" t="s">
        <v>36</v>
      </c>
      <c r="F496" s="15" t="s">
        <v>22</v>
      </c>
      <c r="G496" s="21"/>
      <c r="H496" s="58">
        <v>1</v>
      </c>
      <c r="I496" s="14"/>
      <c r="J496" s="14" t="s">
        <v>23</v>
      </c>
      <c r="K496" s="14"/>
      <c r="L496" s="14"/>
      <c r="M496" s="14" t="s">
        <v>29</v>
      </c>
      <c r="N496" s="25" t="s">
        <v>37</v>
      </c>
      <c r="O496" s="14" t="s">
        <v>52</v>
      </c>
      <c r="P496" s="14"/>
      <c r="Q496" s="14"/>
      <c r="R496" s="14" t="s">
        <v>650</v>
      </c>
    </row>
    <row r="497" spans="1:18" ht="15" customHeight="1">
      <c r="A497" s="12">
        <v>1764</v>
      </c>
      <c r="B497" s="13" t="s">
        <v>833</v>
      </c>
      <c r="C497" s="14"/>
      <c r="D497" s="14" t="s">
        <v>831</v>
      </c>
      <c r="E497" s="14" t="s">
        <v>36</v>
      </c>
      <c r="F497" s="15" t="s">
        <v>22</v>
      </c>
      <c r="G497" s="14"/>
      <c r="H497" s="58">
        <v>3</v>
      </c>
      <c r="I497" s="14"/>
      <c r="J497" s="14" t="s">
        <v>23</v>
      </c>
      <c r="K497" s="14"/>
      <c r="L497" s="14"/>
      <c r="M497" s="14" t="s">
        <v>32</v>
      </c>
      <c r="N497" s="25" t="s">
        <v>37</v>
      </c>
      <c r="O497" s="14" t="s">
        <v>834</v>
      </c>
      <c r="P497" s="14"/>
      <c r="Q497" s="14"/>
      <c r="R497" s="14" t="s">
        <v>308</v>
      </c>
    </row>
    <row r="498" spans="1:18" ht="15" customHeight="1">
      <c r="A498" s="12">
        <v>200</v>
      </c>
      <c r="B498" s="13" t="s">
        <v>835</v>
      </c>
      <c r="C498" s="14"/>
      <c r="D498" s="14" t="s">
        <v>836</v>
      </c>
      <c r="E498" s="14" t="s">
        <v>44</v>
      </c>
      <c r="F498" s="15" t="s">
        <v>22</v>
      </c>
      <c r="G498" s="14"/>
      <c r="H498" s="58"/>
      <c r="I498" s="14"/>
      <c r="J498" s="14" t="s">
        <v>23</v>
      </c>
      <c r="K498" s="14"/>
      <c r="L498" s="14"/>
      <c r="M498" s="14" t="s">
        <v>689</v>
      </c>
      <c r="N498" s="25" t="s">
        <v>37</v>
      </c>
      <c r="O498" s="14" t="s">
        <v>179</v>
      </c>
      <c r="P498" s="14"/>
      <c r="Q498" s="14"/>
      <c r="R498" s="14" t="s">
        <v>654</v>
      </c>
    </row>
    <row r="499" spans="1:18" ht="15" customHeight="1">
      <c r="A499" s="12">
        <v>976</v>
      </c>
      <c r="B499" s="13" t="s">
        <v>837</v>
      </c>
      <c r="C499" s="14"/>
      <c r="D499" s="14" t="s">
        <v>836</v>
      </c>
      <c r="E499" s="14" t="s">
        <v>44</v>
      </c>
      <c r="F499" s="15" t="s">
        <v>22</v>
      </c>
      <c r="G499" s="21"/>
      <c r="H499" s="58">
        <v>3</v>
      </c>
      <c r="I499" s="14"/>
      <c r="J499" s="14" t="s">
        <v>23</v>
      </c>
      <c r="K499" s="14"/>
      <c r="L499" s="14"/>
      <c r="M499" s="14" t="s">
        <v>29</v>
      </c>
      <c r="N499" s="25" t="s">
        <v>37</v>
      </c>
      <c r="O499" s="14" t="s">
        <v>838</v>
      </c>
      <c r="P499" s="14"/>
      <c r="Q499" s="14"/>
      <c r="R499" s="14" t="s">
        <v>650</v>
      </c>
    </row>
    <row r="500" spans="1:18" ht="15" customHeight="1">
      <c r="A500" s="12">
        <v>1765</v>
      </c>
      <c r="B500" s="13" t="s">
        <v>839</v>
      </c>
      <c r="C500" s="14"/>
      <c r="D500" s="14" t="s">
        <v>836</v>
      </c>
      <c r="E500" s="14" t="s">
        <v>44</v>
      </c>
      <c r="F500" s="15" t="s">
        <v>22</v>
      </c>
      <c r="G500" s="14"/>
      <c r="H500" s="58">
        <v>4</v>
      </c>
      <c r="I500" s="14"/>
      <c r="J500" s="14" t="s">
        <v>23</v>
      </c>
      <c r="K500" s="14"/>
      <c r="L500" s="14"/>
      <c r="M500" s="14" t="s">
        <v>32</v>
      </c>
      <c r="N500" s="25" t="s">
        <v>37</v>
      </c>
      <c r="O500" s="14" t="s">
        <v>840</v>
      </c>
      <c r="P500" s="14"/>
      <c r="Q500" s="14"/>
      <c r="R500" s="14" t="s">
        <v>308</v>
      </c>
    </row>
    <row r="501" spans="1:18" ht="15" customHeight="1">
      <c r="A501" s="12">
        <v>201</v>
      </c>
      <c r="B501" s="13" t="s">
        <v>841</v>
      </c>
      <c r="C501" s="14"/>
      <c r="D501" s="14" t="s">
        <v>842</v>
      </c>
      <c r="E501" s="14" t="s">
        <v>44</v>
      </c>
      <c r="F501" s="15" t="s">
        <v>22</v>
      </c>
      <c r="G501" s="14"/>
      <c r="H501" s="58"/>
      <c r="I501" s="14"/>
      <c r="J501" s="14" t="s">
        <v>23</v>
      </c>
      <c r="K501" s="14"/>
      <c r="L501" s="14"/>
      <c r="M501" s="14" t="s">
        <v>689</v>
      </c>
      <c r="N501" s="25" t="s">
        <v>289</v>
      </c>
      <c r="O501" s="14" t="s">
        <v>45</v>
      </c>
      <c r="P501" s="14"/>
      <c r="Q501" s="14"/>
      <c r="R501" s="14" t="s">
        <v>654</v>
      </c>
    </row>
    <row r="502" spans="1:18" ht="15" customHeight="1">
      <c r="A502" s="12">
        <v>977</v>
      </c>
      <c r="B502" s="13" t="s">
        <v>843</v>
      </c>
      <c r="C502" s="14"/>
      <c r="D502" s="14" t="s">
        <v>842</v>
      </c>
      <c r="E502" s="14" t="s">
        <v>44</v>
      </c>
      <c r="F502" s="15" t="s">
        <v>22</v>
      </c>
      <c r="G502" s="21"/>
      <c r="H502" s="58">
        <v>2</v>
      </c>
      <c r="I502" s="14"/>
      <c r="J502" s="14" t="s">
        <v>23</v>
      </c>
      <c r="K502" s="14"/>
      <c r="L502" s="14"/>
      <c r="M502" s="14" t="s">
        <v>29</v>
      </c>
      <c r="N502" s="25" t="s">
        <v>37</v>
      </c>
      <c r="O502" s="14" t="s">
        <v>844</v>
      </c>
      <c r="P502" s="14"/>
      <c r="Q502" s="14"/>
      <c r="R502" s="14" t="s">
        <v>650</v>
      </c>
    </row>
    <row r="503" spans="1:18" ht="15" customHeight="1">
      <c r="A503" s="12">
        <v>1766</v>
      </c>
      <c r="B503" s="13" t="s">
        <v>845</v>
      </c>
      <c r="C503" s="14"/>
      <c r="D503" s="14" t="s">
        <v>842</v>
      </c>
      <c r="E503" s="14" t="s">
        <v>44</v>
      </c>
      <c r="F503" s="15" t="s">
        <v>22</v>
      </c>
      <c r="G503" s="14"/>
      <c r="H503" s="58">
        <v>3</v>
      </c>
      <c r="I503" s="14"/>
      <c r="J503" s="14" t="s">
        <v>23</v>
      </c>
      <c r="K503" s="14"/>
      <c r="L503" s="14"/>
      <c r="M503" s="14" t="s">
        <v>32</v>
      </c>
      <c r="N503" s="25" t="s">
        <v>37</v>
      </c>
      <c r="O503" s="14" t="s">
        <v>846</v>
      </c>
      <c r="P503" s="14"/>
      <c r="Q503" s="14"/>
      <c r="R503" s="14" t="s">
        <v>308</v>
      </c>
    </row>
    <row r="504" spans="1:18" ht="15" customHeight="1">
      <c r="A504" s="12">
        <v>202</v>
      </c>
      <c r="B504" s="13" t="s">
        <v>847</v>
      </c>
      <c r="C504" s="14"/>
      <c r="D504" s="14" t="s">
        <v>848</v>
      </c>
      <c r="E504" s="14" t="s">
        <v>137</v>
      </c>
      <c r="F504" s="15" t="s">
        <v>22</v>
      </c>
      <c r="G504" s="14"/>
      <c r="H504" s="58"/>
      <c r="I504" s="14"/>
      <c r="J504" s="14" t="s">
        <v>23</v>
      </c>
      <c r="K504" s="14"/>
      <c r="L504" s="14"/>
      <c r="M504" s="14" t="s">
        <v>689</v>
      </c>
      <c r="N504" s="22" t="s">
        <v>25</v>
      </c>
      <c r="O504" s="14"/>
      <c r="P504" s="14"/>
      <c r="Q504" s="14"/>
      <c r="R504" s="14" t="s">
        <v>654</v>
      </c>
    </row>
    <row r="505" spans="1:18" ht="15" customHeight="1">
      <c r="A505" s="12">
        <v>978</v>
      </c>
      <c r="B505" s="13" t="s">
        <v>849</v>
      </c>
      <c r="C505" s="14"/>
      <c r="D505" s="14" t="s">
        <v>848</v>
      </c>
      <c r="E505" s="14" t="s">
        <v>137</v>
      </c>
      <c r="F505" s="15" t="s">
        <v>22</v>
      </c>
      <c r="G505" s="21"/>
      <c r="H505" s="58"/>
      <c r="I505" s="14"/>
      <c r="J505" s="14" t="s">
        <v>23</v>
      </c>
      <c r="K505" s="14"/>
      <c r="L505" s="14"/>
      <c r="M505" s="14" t="s">
        <v>29</v>
      </c>
      <c r="N505" s="25" t="s">
        <v>37</v>
      </c>
      <c r="O505" s="14" t="s">
        <v>850</v>
      </c>
      <c r="P505" s="14"/>
      <c r="Q505" s="14"/>
      <c r="R505" s="14" t="s">
        <v>851</v>
      </c>
    </row>
    <row r="506" spans="1:18" ht="15" customHeight="1">
      <c r="A506" s="12">
        <v>1767</v>
      </c>
      <c r="B506" s="13" t="s">
        <v>852</v>
      </c>
      <c r="C506" s="14"/>
      <c r="D506" s="14" t="s">
        <v>848</v>
      </c>
      <c r="E506" s="14" t="s">
        <v>137</v>
      </c>
      <c r="F506" s="15" t="s">
        <v>22</v>
      </c>
      <c r="G506" s="14"/>
      <c r="H506" s="58">
        <v>3</v>
      </c>
      <c r="I506" s="14"/>
      <c r="J506" s="14" t="s">
        <v>23</v>
      </c>
      <c r="K506" s="14"/>
      <c r="L506" s="14"/>
      <c r="M506" s="14" t="s">
        <v>32</v>
      </c>
      <c r="N506" s="14" t="s">
        <v>25</v>
      </c>
      <c r="O506" s="14"/>
      <c r="P506" s="14"/>
      <c r="Q506" s="14"/>
      <c r="R506" s="14" t="s">
        <v>308</v>
      </c>
    </row>
    <row r="507" spans="1:18" ht="15" customHeight="1">
      <c r="A507" s="12">
        <v>203</v>
      </c>
      <c r="B507" s="13" t="s">
        <v>853</v>
      </c>
      <c r="C507" s="14"/>
      <c r="D507" s="14" t="s">
        <v>854</v>
      </c>
      <c r="E507" s="14" t="s">
        <v>36</v>
      </c>
      <c r="F507" s="15" t="s">
        <v>22</v>
      </c>
      <c r="G507" s="14"/>
      <c r="H507" s="58"/>
      <c r="I507" s="14"/>
      <c r="J507" s="14" t="s">
        <v>23</v>
      </c>
      <c r="K507" s="14"/>
      <c r="L507" s="14"/>
      <c r="M507" s="14" t="s">
        <v>689</v>
      </c>
      <c r="N507" s="22" t="s">
        <v>25</v>
      </c>
      <c r="O507" s="14"/>
      <c r="P507" s="14"/>
      <c r="Q507" s="14"/>
      <c r="R507" s="14" t="s">
        <v>654</v>
      </c>
    </row>
    <row r="508" spans="1:18" ht="15" customHeight="1">
      <c r="A508" s="12">
        <v>979</v>
      </c>
      <c r="B508" s="13" t="s">
        <v>855</v>
      </c>
      <c r="C508" s="14"/>
      <c r="D508" s="14" t="s">
        <v>854</v>
      </c>
      <c r="E508" s="14" t="s">
        <v>36</v>
      </c>
      <c r="F508" s="15" t="s">
        <v>22</v>
      </c>
      <c r="G508" s="21"/>
      <c r="H508" s="58"/>
      <c r="I508" s="14"/>
      <c r="J508" s="14" t="s">
        <v>23</v>
      </c>
      <c r="K508" s="14"/>
      <c r="L508" s="14"/>
      <c r="M508" s="14" t="s">
        <v>29</v>
      </c>
      <c r="N508" s="14" t="s">
        <v>25</v>
      </c>
      <c r="O508" s="14"/>
      <c r="P508" s="14"/>
      <c r="Q508" s="14"/>
      <c r="R508" s="14" t="s">
        <v>851</v>
      </c>
    </row>
    <row r="509" spans="1:18" ht="15" customHeight="1">
      <c r="A509" s="12">
        <v>1768</v>
      </c>
      <c r="B509" s="13" t="s">
        <v>856</v>
      </c>
      <c r="C509" s="14"/>
      <c r="D509" s="14" t="s">
        <v>854</v>
      </c>
      <c r="E509" s="14" t="s">
        <v>36</v>
      </c>
      <c r="F509" s="15" t="s">
        <v>22</v>
      </c>
      <c r="G509" s="14"/>
      <c r="H509" s="58">
        <v>1</v>
      </c>
      <c r="I509" s="14"/>
      <c r="J509" s="14" t="s">
        <v>23</v>
      </c>
      <c r="K509" s="14"/>
      <c r="L509" s="14"/>
      <c r="M509" s="14" t="s">
        <v>32</v>
      </c>
      <c r="N509" s="14" t="s">
        <v>25</v>
      </c>
      <c r="O509" s="14"/>
      <c r="P509" s="14"/>
      <c r="Q509" s="14"/>
      <c r="R509" s="14" t="s">
        <v>308</v>
      </c>
    </row>
    <row r="510" spans="1:18" ht="15" customHeight="1">
      <c r="A510" s="12">
        <v>204</v>
      </c>
      <c r="B510" s="13" t="s">
        <v>857</v>
      </c>
      <c r="C510" s="14"/>
      <c r="D510" s="14" t="s">
        <v>858</v>
      </c>
      <c r="E510" s="14" t="s">
        <v>36</v>
      </c>
      <c r="F510" s="15" t="s">
        <v>22</v>
      </c>
      <c r="G510" s="14"/>
      <c r="H510" s="58"/>
      <c r="I510" s="14"/>
      <c r="J510" s="14" t="s">
        <v>23</v>
      </c>
      <c r="K510" s="14"/>
      <c r="L510" s="14"/>
      <c r="M510" s="14" t="s">
        <v>689</v>
      </c>
      <c r="N510" s="25" t="s">
        <v>37</v>
      </c>
      <c r="O510" s="14" t="s">
        <v>189</v>
      </c>
      <c r="P510" s="14"/>
      <c r="Q510" s="14"/>
      <c r="R510" s="14" t="s">
        <v>654</v>
      </c>
    </row>
    <row r="511" spans="1:18" ht="15" customHeight="1">
      <c r="A511" s="12">
        <v>980</v>
      </c>
      <c r="B511" s="13" t="s">
        <v>859</v>
      </c>
      <c r="C511" s="14"/>
      <c r="D511" s="14" t="s">
        <v>858</v>
      </c>
      <c r="E511" s="14" t="s">
        <v>36</v>
      </c>
      <c r="F511" s="15" t="s">
        <v>22</v>
      </c>
      <c r="G511" s="21"/>
      <c r="H511" s="58">
        <v>2</v>
      </c>
      <c r="I511" s="14"/>
      <c r="J511" s="14" t="s">
        <v>23</v>
      </c>
      <c r="K511" s="14"/>
      <c r="L511" s="14"/>
      <c r="M511" s="14" t="s">
        <v>29</v>
      </c>
      <c r="N511" s="25" t="s">
        <v>37</v>
      </c>
      <c r="O511" s="14" t="s">
        <v>860</v>
      </c>
      <c r="P511" s="14"/>
      <c r="Q511" s="14"/>
      <c r="R511" s="14" t="s">
        <v>851</v>
      </c>
    </row>
    <row r="512" spans="1:18" ht="15" customHeight="1">
      <c r="A512" s="12">
        <v>1769</v>
      </c>
      <c r="B512" s="13" t="s">
        <v>861</v>
      </c>
      <c r="C512" s="14"/>
      <c r="D512" s="14" t="s">
        <v>858</v>
      </c>
      <c r="E512" s="14" t="s">
        <v>36</v>
      </c>
      <c r="F512" s="15" t="s">
        <v>22</v>
      </c>
      <c r="G512" s="14"/>
      <c r="H512" s="58">
        <v>4</v>
      </c>
      <c r="I512" s="14"/>
      <c r="J512" s="14" t="s">
        <v>23</v>
      </c>
      <c r="K512" s="14"/>
      <c r="L512" s="14"/>
      <c r="M512" s="14" t="s">
        <v>32</v>
      </c>
      <c r="N512" s="25" t="s">
        <v>37</v>
      </c>
      <c r="O512" s="14" t="s">
        <v>369</v>
      </c>
      <c r="P512" s="14"/>
      <c r="Q512" s="14"/>
      <c r="R512" s="14" t="s">
        <v>308</v>
      </c>
    </row>
    <row r="513" spans="1:18" ht="15" customHeight="1">
      <c r="A513" s="12">
        <v>205</v>
      </c>
      <c r="B513" s="13" t="s">
        <v>862</v>
      </c>
      <c r="C513" s="14"/>
      <c r="D513" s="14" t="s">
        <v>863</v>
      </c>
      <c r="E513" s="14" t="s">
        <v>172</v>
      </c>
      <c r="F513" s="15" t="s">
        <v>22</v>
      </c>
      <c r="G513" s="14"/>
      <c r="H513" s="58"/>
      <c r="I513" s="14"/>
      <c r="J513" s="14" t="s">
        <v>23</v>
      </c>
      <c r="K513" s="14"/>
      <c r="L513" s="14"/>
      <c r="M513" s="14" t="s">
        <v>689</v>
      </c>
      <c r="N513" s="22" t="s">
        <v>25</v>
      </c>
      <c r="O513" s="14"/>
      <c r="P513" s="14"/>
      <c r="Q513" s="14"/>
      <c r="R513" s="14" t="s">
        <v>654</v>
      </c>
    </row>
    <row r="514" spans="1:18" ht="15" customHeight="1">
      <c r="A514" s="12">
        <v>981</v>
      </c>
      <c r="B514" s="13" t="s">
        <v>864</v>
      </c>
      <c r="C514" s="14"/>
      <c r="D514" s="14" t="s">
        <v>863</v>
      </c>
      <c r="E514" s="14" t="s">
        <v>172</v>
      </c>
      <c r="F514" s="15" t="s">
        <v>22</v>
      </c>
      <c r="G514" s="21"/>
      <c r="H514" s="58"/>
      <c r="I514" s="14"/>
      <c r="J514" s="14" t="s">
        <v>23</v>
      </c>
      <c r="K514" s="14"/>
      <c r="L514" s="14"/>
      <c r="M514" s="14" t="s">
        <v>29</v>
      </c>
      <c r="N514" s="14" t="s">
        <v>25</v>
      </c>
      <c r="O514" s="14"/>
      <c r="P514" s="14"/>
      <c r="Q514" s="14"/>
      <c r="R514" s="14" t="s">
        <v>851</v>
      </c>
    </row>
    <row r="515" spans="1:18" ht="15" customHeight="1">
      <c r="A515" s="12">
        <v>1770</v>
      </c>
      <c r="B515" s="13" t="s">
        <v>865</v>
      </c>
      <c r="C515" s="14"/>
      <c r="D515" s="14" t="s">
        <v>863</v>
      </c>
      <c r="E515" s="14" t="s">
        <v>172</v>
      </c>
      <c r="F515" s="15" t="s">
        <v>22</v>
      </c>
      <c r="G515" s="14"/>
      <c r="H515" s="58">
        <v>1</v>
      </c>
      <c r="I515" s="14"/>
      <c r="J515" s="14" t="s">
        <v>23</v>
      </c>
      <c r="K515" s="14"/>
      <c r="L515" s="14"/>
      <c r="M515" s="14" t="s">
        <v>32</v>
      </c>
      <c r="N515" s="14" t="s">
        <v>25</v>
      </c>
      <c r="O515" s="14"/>
      <c r="P515" s="14"/>
      <c r="Q515" s="14"/>
      <c r="R515" s="14" t="s">
        <v>308</v>
      </c>
    </row>
    <row r="516" spans="1:18" ht="15" customHeight="1">
      <c r="A516" s="12">
        <v>206</v>
      </c>
      <c r="B516" s="13" t="s">
        <v>866</v>
      </c>
      <c r="C516" s="14"/>
      <c r="D516" s="14" t="s">
        <v>867</v>
      </c>
      <c r="E516" s="14" t="s">
        <v>21</v>
      </c>
      <c r="F516" s="15" t="s">
        <v>22</v>
      </c>
      <c r="G516" s="14"/>
      <c r="H516" s="58"/>
      <c r="I516" s="14"/>
      <c r="J516" s="14" t="s">
        <v>23</v>
      </c>
      <c r="K516" s="14"/>
      <c r="L516" s="14"/>
      <c r="M516" s="14" t="s">
        <v>689</v>
      </c>
      <c r="N516" s="22" t="s">
        <v>25</v>
      </c>
      <c r="O516" s="14"/>
      <c r="P516" s="14"/>
      <c r="Q516" s="14"/>
      <c r="R516" s="14" t="s">
        <v>654</v>
      </c>
    </row>
    <row r="517" spans="1:18" ht="15" customHeight="1">
      <c r="A517" s="12">
        <v>982</v>
      </c>
      <c r="B517" s="13" t="s">
        <v>868</v>
      </c>
      <c r="C517" s="14"/>
      <c r="D517" s="14" t="s">
        <v>867</v>
      </c>
      <c r="E517" s="14" t="s">
        <v>21</v>
      </c>
      <c r="F517" s="15" t="s">
        <v>22</v>
      </c>
      <c r="G517" s="21"/>
      <c r="H517" s="58">
        <v>1</v>
      </c>
      <c r="I517" s="14"/>
      <c r="J517" s="14" t="s">
        <v>23</v>
      </c>
      <c r="K517" s="14"/>
      <c r="L517" s="14"/>
      <c r="M517" s="14" t="s">
        <v>29</v>
      </c>
      <c r="N517" s="14" t="s">
        <v>25</v>
      </c>
      <c r="O517" s="14"/>
      <c r="P517" s="14"/>
      <c r="Q517" s="14"/>
      <c r="R517" s="14" t="s">
        <v>851</v>
      </c>
    </row>
    <row r="518" spans="1:18" ht="15" customHeight="1">
      <c r="A518" s="12">
        <v>1771</v>
      </c>
      <c r="B518" s="13" t="s">
        <v>869</v>
      </c>
      <c r="C518" s="14"/>
      <c r="D518" s="14" t="s">
        <v>867</v>
      </c>
      <c r="E518" s="14" t="s">
        <v>21</v>
      </c>
      <c r="F518" s="15" t="s">
        <v>22</v>
      </c>
      <c r="G518" s="14"/>
      <c r="H518" s="58">
        <v>0</v>
      </c>
      <c r="I518" s="14"/>
      <c r="J518" s="14" t="s">
        <v>23</v>
      </c>
      <c r="K518" s="14"/>
      <c r="L518" s="14"/>
      <c r="M518" s="14" t="s">
        <v>32</v>
      </c>
      <c r="N518" s="14" t="s">
        <v>25</v>
      </c>
      <c r="O518" s="14"/>
      <c r="P518" s="14"/>
      <c r="Q518" s="14"/>
      <c r="R518" s="14" t="s">
        <v>308</v>
      </c>
    </row>
    <row r="519" spans="1:18" ht="15" customHeight="1">
      <c r="A519" s="12">
        <v>207</v>
      </c>
      <c r="B519" s="13" t="s">
        <v>870</v>
      </c>
      <c r="C519" s="14"/>
      <c r="D519" s="14" t="s">
        <v>871</v>
      </c>
      <c r="E519" s="14" t="s">
        <v>21</v>
      </c>
      <c r="F519" s="15" t="s">
        <v>22</v>
      </c>
      <c r="G519" s="14"/>
      <c r="H519" s="58"/>
      <c r="I519" s="14"/>
      <c r="J519" s="14" t="s">
        <v>23</v>
      </c>
      <c r="K519" s="14"/>
      <c r="L519" s="14"/>
      <c r="M519" s="14" t="s">
        <v>689</v>
      </c>
      <c r="N519" s="22" t="s">
        <v>25</v>
      </c>
      <c r="O519" s="14"/>
      <c r="P519" s="14"/>
      <c r="Q519" s="14"/>
      <c r="R519" s="14" t="s">
        <v>654</v>
      </c>
    </row>
    <row r="520" spans="1:18" ht="15" customHeight="1">
      <c r="A520" s="12">
        <v>983</v>
      </c>
      <c r="B520" s="13" t="s">
        <v>872</v>
      </c>
      <c r="C520" s="14"/>
      <c r="D520" s="14" t="s">
        <v>871</v>
      </c>
      <c r="E520" s="14" t="s">
        <v>21</v>
      </c>
      <c r="F520" s="15" t="s">
        <v>22</v>
      </c>
      <c r="G520" s="21"/>
      <c r="H520" s="58"/>
      <c r="I520" s="14"/>
      <c r="J520" s="14" t="s">
        <v>23</v>
      </c>
      <c r="K520" s="14"/>
      <c r="L520" s="14"/>
      <c r="M520" s="14" t="s">
        <v>29</v>
      </c>
      <c r="N520" s="14" t="s">
        <v>25</v>
      </c>
      <c r="O520" s="14"/>
      <c r="P520" s="14"/>
      <c r="Q520" s="14"/>
      <c r="R520" s="14" t="s">
        <v>851</v>
      </c>
    </row>
    <row r="521" spans="1:18" ht="15" customHeight="1">
      <c r="A521" s="12">
        <v>1772</v>
      </c>
      <c r="B521" s="13" t="s">
        <v>873</v>
      </c>
      <c r="C521" s="14"/>
      <c r="D521" s="14" t="s">
        <v>871</v>
      </c>
      <c r="E521" s="14" t="s">
        <v>21</v>
      </c>
      <c r="F521" s="15" t="s">
        <v>22</v>
      </c>
      <c r="G521" s="14"/>
      <c r="H521" s="58">
        <v>0</v>
      </c>
      <c r="I521" s="14"/>
      <c r="J521" s="14" t="s">
        <v>23</v>
      </c>
      <c r="K521" s="14"/>
      <c r="L521" s="14"/>
      <c r="M521" s="14" t="s">
        <v>32</v>
      </c>
      <c r="N521" s="14" t="s">
        <v>25</v>
      </c>
      <c r="O521" s="14"/>
      <c r="P521" s="14"/>
      <c r="Q521" s="14"/>
      <c r="R521" s="14" t="s">
        <v>308</v>
      </c>
    </row>
    <row r="522" spans="1:18" ht="15" customHeight="1">
      <c r="A522" s="12">
        <v>208</v>
      </c>
      <c r="B522" s="13" t="s">
        <v>874</v>
      </c>
      <c r="C522" s="14"/>
      <c r="D522" s="14" t="s">
        <v>875</v>
      </c>
      <c r="E522" s="14" t="s">
        <v>580</v>
      </c>
      <c r="F522" s="15" t="s">
        <v>22</v>
      </c>
      <c r="G522" s="14"/>
      <c r="H522" s="58"/>
      <c r="I522" s="14"/>
      <c r="J522" s="14" t="s">
        <v>23</v>
      </c>
      <c r="K522" s="14"/>
      <c r="L522" s="14"/>
      <c r="M522" s="14" t="s">
        <v>689</v>
      </c>
      <c r="N522" s="25" t="s">
        <v>37</v>
      </c>
      <c r="O522" s="14" t="s">
        <v>189</v>
      </c>
      <c r="P522" s="14"/>
      <c r="Q522" s="14"/>
      <c r="R522" s="14" t="s">
        <v>654</v>
      </c>
    </row>
    <row r="523" spans="1:18" ht="15" customHeight="1">
      <c r="A523" s="12">
        <v>984</v>
      </c>
      <c r="B523" s="13" t="s">
        <v>876</v>
      </c>
      <c r="C523" s="14"/>
      <c r="D523" s="14" t="s">
        <v>875</v>
      </c>
      <c r="E523" s="14" t="s">
        <v>580</v>
      </c>
      <c r="F523" s="15" t="s">
        <v>22</v>
      </c>
      <c r="G523" s="21"/>
      <c r="H523" s="58">
        <v>1</v>
      </c>
      <c r="I523" s="14"/>
      <c r="J523" s="14" t="s">
        <v>23</v>
      </c>
      <c r="K523" s="14"/>
      <c r="L523" s="14"/>
      <c r="M523" s="14" t="s">
        <v>29</v>
      </c>
      <c r="N523" s="25" t="s">
        <v>37</v>
      </c>
      <c r="O523" s="14" t="s">
        <v>877</v>
      </c>
      <c r="P523" s="14"/>
      <c r="Q523" s="14"/>
      <c r="R523" s="14" t="s">
        <v>851</v>
      </c>
    </row>
    <row r="524" spans="1:18" ht="15" customHeight="1">
      <c r="A524" s="12">
        <v>1773</v>
      </c>
      <c r="B524" s="13" t="s">
        <v>878</v>
      </c>
      <c r="C524" s="14"/>
      <c r="D524" s="14" t="s">
        <v>875</v>
      </c>
      <c r="E524" s="14" t="s">
        <v>580</v>
      </c>
      <c r="F524" s="15" t="s">
        <v>22</v>
      </c>
      <c r="G524" s="14"/>
      <c r="H524" s="58">
        <v>2</v>
      </c>
      <c r="I524" s="14"/>
      <c r="J524" s="14" t="s">
        <v>23</v>
      </c>
      <c r="K524" s="14"/>
      <c r="L524" s="14"/>
      <c r="M524" s="14" t="s">
        <v>32</v>
      </c>
      <c r="N524" s="25" t="s">
        <v>37</v>
      </c>
      <c r="O524" s="14" t="s">
        <v>879</v>
      </c>
      <c r="P524" s="14"/>
      <c r="Q524" s="14"/>
      <c r="R524" s="14" t="s">
        <v>308</v>
      </c>
    </row>
    <row r="525" spans="1:18" ht="15" customHeight="1">
      <c r="A525" s="12">
        <v>209</v>
      </c>
      <c r="B525" s="13" t="s">
        <v>880</v>
      </c>
      <c r="C525" s="14"/>
      <c r="D525" s="14" t="s">
        <v>881</v>
      </c>
      <c r="E525" s="14"/>
      <c r="F525" s="15" t="s">
        <v>22</v>
      </c>
      <c r="G525" s="14"/>
      <c r="H525" s="58"/>
      <c r="I525" s="14"/>
      <c r="J525" s="14" t="s">
        <v>23</v>
      </c>
      <c r="K525" s="14"/>
      <c r="L525" s="14"/>
      <c r="M525" s="14" t="s">
        <v>689</v>
      </c>
      <c r="N525" s="22" t="s">
        <v>25</v>
      </c>
      <c r="O525" s="14"/>
      <c r="P525" s="14"/>
      <c r="Q525" s="14"/>
      <c r="R525" s="14" t="s">
        <v>654</v>
      </c>
    </row>
    <row r="526" spans="1:18" ht="15" customHeight="1">
      <c r="A526" s="12">
        <v>985</v>
      </c>
      <c r="B526" s="13" t="s">
        <v>882</v>
      </c>
      <c r="C526" s="14"/>
      <c r="D526" s="14" t="s">
        <v>881</v>
      </c>
      <c r="E526" s="14"/>
      <c r="F526" s="15" t="s">
        <v>22</v>
      </c>
      <c r="G526" s="21"/>
      <c r="H526" s="58">
        <v>1</v>
      </c>
      <c r="I526" s="14"/>
      <c r="J526" s="14" t="s">
        <v>23</v>
      </c>
      <c r="K526" s="14"/>
      <c r="L526" s="14"/>
      <c r="M526" s="14" t="s">
        <v>29</v>
      </c>
      <c r="N526" s="25" t="s">
        <v>37</v>
      </c>
      <c r="O526" s="14" t="s">
        <v>883</v>
      </c>
      <c r="P526" s="14"/>
      <c r="Q526" s="14"/>
      <c r="R526" s="14" t="s">
        <v>851</v>
      </c>
    </row>
    <row r="527" spans="1:18" ht="15" customHeight="1">
      <c r="A527" s="12">
        <v>1774</v>
      </c>
      <c r="B527" s="13" t="s">
        <v>884</v>
      </c>
      <c r="C527" s="14"/>
      <c r="D527" s="14" t="s">
        <v>881</v>
      </c>
      <c r="E527" s="14" t="s">
        <v>172</v>
      </c>
      <c r="F527" s="15" t="s">
        <v>22</v>
      </c>
      <c r="G527" s="14"/>
      <c r="H527" s="58">
        <v>3</v>
      </c>
      <c r="I527" s="14"/>
      <c r="J527" s="14" t="s">
        <v>23</v>
      </c>
      <c r="K527" s="14"/>
      <c r="L527" s="14"/>
      <c r="M527" s="14" t="s">
        <v>32</v>
      </c>
      <c r="N527" s="25" t="s">
        <v>37</v>
      </c>
      <c r="O527" s="14" t="s">
        <v>838</v>
      </c>
      <c r="P527" s="14"/>
      <c r="Q527" s="14"/>
      <c r="R527" s="14" t="s">
        <v>308</v>
      </c>
    </row>
    <row r="528" spans="1:18" ht="15" customHeight="1">
      <c r="A528" s="12">
        <v>210</v>
      </c>
      <c r="B528" s="13" t="s">
        <v>885</v>
      </c>
      <c r="C528" s="14"/>
      <c r="D528" s="14" t="s">
        <v>886</v>
      </c>
      <c r="E528" s="14" t="s">
        <v>36</v>
      </c>
      <c r="F528" s="15" t="s">
        <v>22</v>
      </c>
      <c r="G528" s="14"/>
      <c r="H528" s="58"/>
      <c r="I528" s="14"/>
      <c r="J528" s="14" t="s">
        <v>23</v>
      </c>
      <c r="K528" s="14"/>
      <c r="L528" s="14"/>
      <c r="M528" s="14" t="s">
        <v>689</v>
      </c>
      <c r="N528" s="22" t="s">
        <v>25</v>
      </c>
      <c r="O528" s="14"/>
      <c r="P528" s="14"/>
      <c r="Q528" s="14"/>
      <c r="R528" s="14" t="s">
        <v>654</v>
      </c>
    </row>
    <row r="529" spans="1:18" ht="15" customHeight="1">
      <c r="A529" s="12">
        <v>986</v>
      </c>
      <c r="B529" s="13" t="s">
        <v>887</v>
      </c>
      <c r="C529" s="14"/>
      <c r="D529" s="14" t="s">
        <v>886</v>
      </c>
      <c r="E529" s="14" t="s">
        <v>36</v>
      </c>
      <c r="F529" s="15" t="s">
        <v>22</v>
      </c>
      <c r="G529" s="21"/>
      <c r="H529" s="58">
        <v>1</v>
      </c>
      <c r="I529" s="14"/>
      <c r="J529" s="14" t="s">
        <v>23</v>
      </c>
      <c r="K529" s="14"/>
      <c r="L529" s="14"/>
      <c r="M529" s="14" t="s">
        <v>29</v>
      </c>
      <c r="N529" s="25" t="s">
        <v>37</v>
      </c>
      <c r="O529" s="14" t="s">
        <v>888</v>
      </c>
      <c r="P529" s="14"/>
      <c r="Q529" s="14"/>
      <c r="R529" s="14" t="s">
        <v>851</v>
      </c>
    </row>
    <row r="530" spans="1:18" ht="15" customHeight="1">
      <c r="A530" s="12">
        <v>1775</v>
      </c>
      <c r="B530" s="13" t="s">
        <v>889</v>
      </c>
      <c r="C530" s="14"/>
      <c r="D530" s="14" t="s">
        <v>886</v>
      </c>
      <c r="E530" s="14" t="s">
        <v>36</v>
      </c>
      <c r="F530" s="15" t="s">
        <v>22</v>
      </c>
      <c r="G530" s="14"/>
      <c r="H530" s="58">
        <v>2</v>
      </c>
      <c r="I530" s="14"/>
      <c r="J530" s="14" t="s">
        <v>23</v>
      </c>
      <c r="K530" s="14"/>
      <c r="L530" s="14"/>
      <c r="M530" s="14" t="s">
        <v>32</v>
      </c>
      <c r="N530" s="25" t="s">
        <v>37</v>
      </c>
      <c r="O530" s="14" t="s">
        <v>890</v>
      </c>
      <c r="P530" s="14"/>
      <c r="Q530" s="14"/>
      <c r="R530" s="14" t="s">
        <v>308</v>
      </c>
    </row>
    <row r="531" spans="1:18" ht="15" customHeight="1">
      <c r="A531" s="12">
        <v>211</v>
      </c>
      <c r="B531" s="13" t="s">
        <v>891</v>
      </c>
      <c r="C531" s="14"/>
      <c r="D531" s="14" t="s">
        <v>892</v>
      </c>
      <c r="E531" s="14" t="s">
        <v>215</v>
      </c>
      <c r="F531" s="15" t="s">
        <v>22</v>
      </c>
      <c r="G531" s="14"/>
      <c r="H531" s="58"/>
      <c r="I531" s="14"/>
      <c r="J531" s="14" t="s">
        <v>23</v>
      </c>
      <c r="K531" s="14"/>
      <c r="L531" s="14"/>
      <c r="M531" s="14" t="s">
        <v>689</v>
      </c>
      <c r="N531" s="22" t="s">
        <v>25</v>
      </c>
      <c r="O531" s="14"/>
      <c r="P531" s="14"/>
      <c r="Q531" s="14"/>
      <c r="R531" s="14" t="s">
        <v>654</v>
      </c>
    </row>
    <row r="532" spans="1:18" ht="15" customHeight="1">
      <c r="A532" s="12">
        <v>987</v>
      </c>
      <c r="B532" s="13" t="s">
        <v>893</v>
      </c>
      <c r="C532" s="14"/>
      <c r="D532" s="14" t="s">
        <v>892</v>
      </c>
      <c r="E532" s="14" t="s">
        <v>215</v>
      </c>
      <c r="F532" s="15" t="s">
        <v>22</v>
      </c>
      <c r="G532" s="21"/>
      <c r="H532" s="58">
        <v>1</v>
      </c>
      <c r="I532" s="14"/>
      <c r="J532" s="14" t="s">
        <v>23</v>
      </c>
      <c r="K532" s="14"/>
      <c r="L532" s="14"/>
      <c r="M532" s="14" t="s">
        <v>29</v>
      </c>
      <c r="N532" s="25" t="s">
        <v>37</v>
      </c>
      <c r="O532" s="14" t="s">
        <v>894</v>
      </c>
      <c r="P532" s="14"/>
      <c r="Q532" s="14"/>
      <c r="R532" s="14" t="s">
        <v>851</v>
      </c>
    </row>
    <row r="533" spans="1:18" ht="15" customHeight="1">
      <c r="A533" s="12">
        <v>1776</v>
      </c>
      <c r="B533" s="13" t="s">
        <v>895</v>
      </c>
      <c r="C533" s="14"/>
      <c r="D533" s="14" t="s">
        <v>892</v>
      </c>
      <c r="E533" s="14" t="s">
        <v>215</v>
      </c>
      <c r="F533" s="15" t="s">
        <v>22</v>
      </c>
      <c r="G533" s="14"/>
      <c r="H533" s="58">
        <v>1</v>
      </c>
      <c r="I533" s="14"/>
      <c r="J533" s="14" t="s">
        <v>23</v>
      </c>
      <c r="K533" s="14"/>
      <c r="L533" s="14"/>
      <c r="M533" s="14" t="s">
        <v>32</v>
      </c>
      <c r="N533" s="25" t="s">
        <v>37</v>
      </c>
      <c r="O533" s="14" t="s">
        <v>896</v>
      </c>
      <c r="P533" s="14"/>
      <c r="Q533" s="14"/>
      <c r="R533" s="14" t="s">
        <v>308</v>
      </c>
    </row>
    <row r="534" spans="1:18" ht="15" customHeight="1">
      <c r="A534" s="12">
        <v>212</v>
      </c>
      <c r="B534" s="13" t="s">
        <v>897</v>
      </c>
      <c r="C534" s="14"/>
      <c r="D534" s="14" t="s">
        <v>898</v>
      </c>
      <c r="E534" s="14" t="s">
        <v>21</v>
      </c>
      <c r="F534" s="15" t="s">
        <v>22</v>
      </c>
      <c r="G534" s="14"/>
      <c r="H534" s="58"/>
      <c r="I534" s="14"/>
      <c r="J534" s="14" t="s">
        <v>23</v>
      </c>
      <c r="K534" s="14"/>
      <c r="L534" s="14"/>
      <c r="M534" s="14" t="s">
        <v>689</v>
      </c>
      <c r="N534" s="22" t="s">
        <v>25</v>
      </c>
      <c r="O534" s="14"/>
      <c r="P534" s="14"/>
      <c r="Q534" s="14"/>
      <c r="R534" s="14" t="s">
        <v>654</v>
      </c>
    </row>
    <row r="535" spans="1:18" ht="15" customHeight="1">
      <c r="A535" s="12">
        <v>988</v>
      </c>
      <c r="B535" s="13" t="s">
        <v>899</v>
      </c>
      <c r="C535" s="14"/>
      <c r="D535" s="14" t="s">
        <v>898</v>
      </c>
      <c r="E535" s="14" t="s">
        <v>21</v>
      </c>
      <c r="F535" s="15" t="s">
        <v>22</v>
      </c>
      <c r="G535" s="21"/>
      <c r="H535" s="58"/>
      <c r="I535" s="14"/>
      <c r="J535" s="14" t="s">
        <v>23</v>
      </c>
      <c r="K535" s="14"/>
      <c r="L535" s="14"/>
      <c r="M535" s="14" t="s">
        <v>29</v>
      </c>
      <c r="N535" s="14" t="s">
        <v>25</v>
      </c>
      <c r="O535" s="14"/>
      <c r="P535" s="14"/>
      <c r="Q535" s="14"/>
      <c r="R535" s="14" t="s">
        <v>851</v>
      </c>
    </row>
    <row r="536" spans="1:18" ht="15" customHeight="1">
      <c r="A536" s="12">
        <v>1777</v>
      </c>
      <c r="B536" s="13" t="s">
        <v>900</v>
      </c>
      <c r="C536" s="14"/>
      <c r="D536" s="14" t="s">
        <v>898</v>
      </c>
      <c r="E536" s="14" t="s">
        <v>21</v>
      </c>
      <c r="F536" s="15" t="s">
        <v>22</v>
      </c>
      <c r="G536" s="14"/>
      <c r="H536" s="58">
        <v>1</v>
      </c>
      <c r="I536" s="14"/>
      <c r="J536" s="14" t="s">
        <v>23</v>
      </c>
      <c r="K536" s="14"/>
      <c r="L536" s="14"/>
      <c r="M536" s="14" t="s">
        <v>32</v>
      </c>
      <c r="N536" s="14" t="s">
        <v>25</v>
      </c>
      <c r="O536" s="14"/>
      <c r="P536" s="14"/>
      <c r="Q536" s="14"/>
      <c r="R536" s="14" t="s">
        <v>308</v>
      </c>
    </row>
    <row r="537" spans="1:18" ht="15" customHeight="1">
      <c r="A537" s="12">
        <v>213</v>
      </c>
      <c r="B537" s="13" t="s">
        <v>901</v>
      </c>
      <c r="C537" s="14"/>
      <c r="D537" s="14" t="s">
        <v>902</v>
      </c>
      <c r="E537" s="14" t="s">
        <v>215</v>
      </c>
      <c r="F537" s="15" t="s">
        <v>22</v>
      </c>
      <c r="G537" s="14"/>
      <c r="H537" s="58"/>
      <c r="I537" s="14"/>
      <c r="J537" s="14" t="s">
        <v>23</v>
      </c>
      <c r="K537" s="14"/>
      <c r="L537" s="14"/>
      <c r="M537" s="14" t="s">
        <v>689</v>
      </c>
      <c r="N537" s="22" t="s">
        <v>25</v>
      </c>
      <c r="O537" s="14"/>
      <c r="P537" s="14"/>
      <c r="Q537" s="14"/>
      <c r="R537" s="14" t="s">
        <v>654</v>
      </c>
    </row>
    <row r="538" spans="1:18" ht="15" customHeight="1">
      <c r="A538" s="12">
        <v>989</v>
      </c>
      <c r="B538" s="13" t="s">
        <v>903</v>
      </c>
      <c r="C538" s="14"/>
      <c r="D538" s="14" t="s">
        <v>902</v>
      </c>
      <c r="E538" s="14" t="s">
        <v>215</v>
      </c>
      <c r="F538" s="15" t="s">
        <v>22</v>
      </c>
      <c r="G538" s="21"/>
      <c r="H538" s="58">
        <v>1</v>
      </c>
      <c r="I538" s="14"/>
      <c r="J538" s="14" t="s">
        <v>23</v>
      </c>
      <c r="K538" s="14"/>
      <c r="L538" s="14"/>
      <c r="M538" s="14" t="s">
        <v>29</v>
      </c>
      <c r="N538" s="25" t="s">
        <v>37</v>
      </c>
      <c r="O538" s="14" t="s">
        <v>904</v>
      </c>
      <c r="P538" s="14"/>
      <c r="Q538" s="14"/>
      <c r="R538" s="14" t="s">
        <v>851</v>
      </c>
    </row>
    <row r="539" spans="1:18" ht="15" customHeight="1">
      <c r="A539" s="12">
        <v>1778</v>
      </c>
      <c r="B539" s="13" t="s">
        <v>905</v>
      </c>
      <c r="C539" s="14"/>
      <c r="D539" s="14" t="s">
        <v>902</v>
      </c>
      <c r="E539" s="14" t="s">
        <v>215</v>
      </c>
      <c r="F539" s="15" t="s">
        <v>22</v>
      </c>
      <c r="G539" s="14"/>
      <c r="H539" s="58">
        <v>3</v>
      </c>
      <c r="I539" s="14"/>
      <c r="J539" s="14" t="s">
        <v>23</v>
      </c>
      <c r="K539" s="14"/>
      <c r="L539" s="14"/>
      <c r="M539" s="14" t="s">
        <v>32</v>
      </c>
      <c r="N539" s="25" t="s">
        <v>37</v>
      </c>
      <c r="O539" s="14" t="s">
        <v>906</v>
      </c>
      <c r="P539" s="14"/>
      <c r="Q539" s="14"/>
      <c r="R539" s="14" t="s">
        <v>308</v>
      </c>
    </row>
    <row r="540" spans="1:18" ht="15" customHeight="1">
      <c r="A540" s="12">
        <v>214</v>
      </c>
      <c r="B540" s="13" t="s">
        <v>907</v>
      </c>
      <c r="C540" s="14"/>
      <c r="D540" s="14" t="s">
        <v>908</v>
      </c>
      <c r="E540" s="14" t="s">
        <v>215</v>
      </c>
      <c r="F540" s="15" t="s">
        <v>22</v>
      </c>
      <c r="G540" s="14"/>
      <c r="H540" s="58"/>
      <c r="I540" s="14"/>
      <c r="J540" s="14" t="s">
        <v>23</v>
      </c>
      <c r="K540" s="14"/>
      <c r="L540" s="14"/>
      <c r="M540" s="14" t="s">
        <v>689</v>
      </c>
      <c r="N540" s="22" t="s">
        <v>25</v>
      </c>
      <c r="O540" s="14"/>
      <c r="P540" s="14"/>
      <c r="Q540" s="14"/>
      <c r="R540" s="14" t="s">
        <v>654</v>
      </c>
    </row>
    <row r="541" spans="1:18" ht="15" customHeight="1">
      <c r="A541" s="12">
        <v>990</v>
      </c>
      <c r="B541" s="13" t="s">
        <v>909</v>
      </c>
      <c r="C541" s="14"/>
      <c r="D541" s="14" t="s">
        <v>908</v>
      </c>
      <c r="E541" s="14" t="s">
        <v>215</v>
      </c>
      <c r="F541" s="15" t="s">
        <v>22</v>
      </c>
      <c r="G541" s="21"/>
      <c r="H541" s="58">
        <v>1</v>
      </c>
      <c r="I541" s="14"/>
      <c r="J541" s="14" t="s">
        <v>23</v>
      </c>
      <c r="K541" s="14"/>
      <c r="L541" s="14"/>
      <c r="M541" s="14" t="s">
        <v>29</v>
      </c>
      <c r="N541" s="14" t="s">
        <v>25</v>
      </c>
      <c r="O541" s="14"/>
      <c r="P541" s="14"/>
      <c r="Q541" s="14"/>
      <c r="R541" s="14" t="s">
        <v>851</v>
      </c>
    </row>
    <row r="542" spans="1:18" ht="15" customHeight="1">
      <c r="A542" s="12">
        <v>1779</v>
      </c>
      <c r="B542" s="13" t="s">
        <v>910</v>
      </c>
      <c r="C542" s="14"/>
      <c r="D542" s="14" t="s">
        <v>908</v>
      </c>
      <c r="E542" s="14" t="s">
        <v>215</v>
      </c>
      <c r="F542" s="15" t="s">
        <v>22</v>
      </c>
      <c r="G542" s="14"/>
      <c r="H542" s="58">
        <v>1</v>
      </c>
      <c r="I542" s="14"/>
      <c r="J542" s="14" t="s">
        <v>23</v>
      </c>
      <c r="K542" s="14"/>
      <c r="L542" s="14"/>
      <c r="M542" s="14" t="s">
        <v>32</v>
      </c>
      <c r="N542" s="14" t="s">
        <v>25</v>
      </c>
      <c r="O542" s="14"/>
      <c r="P542" s="14"/>
      <c r="Q542" s="14"/>
      <c r="R542" s="14" t="s">
        <v>308</v>
      </c>
    </row>
    <row r="543" spans="1:18" ht="15" customHeight="1">
      <c r="A543" s="12">
        <v>215</v>
      </c>
      <c r="B543" s="13" t="s">
        <v>911</v>
      </c>
      <c r="C543" s="14"/>
      <c r="D543" s="14" t="s">
        <v>912</v>
      </c>
      <c r="E543" s="14" t="s">
        <v>215</v>
      </c>
      <c r="F543" s="15" t="s">
        <v>22</v>
      </c>
      <c r="G543" s="14"/>
      <c r="H543" s="58"/>
      <c r="I543" s="14"/>
      <c r="J543" s="14" t="s">
        <v>23</v>
      </c>
      <c r="K543" s="14"/>
      <c r="L543" s="14"/>
      <c r="M543" s="14" t="s">
        <v>689</v>
      </c>
      <c r="N543" s="25" t="s">
        <v>289</v>
      </c>
      <c r="O543" s="14" t="s">
        <v>138</v>
      </c>
      <c r="P543" s="14"/>
      <c r="Q543" s="14"/>
      <c r="R543" s="14" t="s">
        <v>654</v>
      </c>
    </row>
    <row r="544" spans="1:18" ht="15" customHeight="1">
      <c r="A544" s="12">
        <v>991</v>
      </c>
      <c r="B544" s="13" t="s">
        <v>913</v>
      </c>
      <c r="C544" s="14"/>
      <c r="D544" s="14" t="s">
        <v>912</v>
      </c>
      <c r="E544" s="14" t="s">
        <v>215</v>
      </c>
      <c r="F544" s="15" t="s">
        <v>22</v>
      </c>
      <c r="G544" s="21"/>
      <c r="H544" s="58">
        <v>1</v>
      </c>
      <c r="I544" s="14"/>
      <c r="J544" s="14" t="s">
        <v>23</v>
      </c>
      <c r="K544" s="14"/>
      <c r="L544" s="14"/>
      <c r="M544" s="14" t="s">
        <v>29</v>
      </c>
      <c r="N544" s="25" t="s">
        <v>37</v>
      </c>
      <c r="O544" s="14" t="s">
        <v>914</v>
      </c>
      <c r="P544" s="14"/>
      <c r="Q544" s="14"/>
      <c r="R544" s="14" t="s">
        <v>851</v>
      </c>
    </row>
    <row r="545" spans="1:18" ht="15" customHeight="1">
      <c r="A545" s="12">
        <v>1780</v>
      </c>
      <c r="B545" s="13" t="s">
        <v>915</v>
      </c>
      <c r="C545" s="14"/>
      <c r="D545" s="14" t="s">
        <v>912</v>
      </c>
      <c r="E545" s="14" t="s">
        <v>215</v>
      </c>
      <c r="F545" s="15" t="s">
        <v>22</v>
      </c>
      <c r="G545" s="14"/>
      <c r="H545" s="58">
        <v>2</v>
      </c>
      <c r="I545" s="14"/>
      <c r="J545" s="14" t="s">
        <v>23</v>
      </c>
      <c r="K545" s="14"/>
      <c r="L545" s="14"/>
      <c r="M545" s="14" t="s">
        <v>32</v>
      </c>
      <c r="N545" s="25" t="s">
        <v>37</v>
      </c>
      <c r="O545" s="14" t="s">
        <v>616</v>
      </c>
      <c r="P545" s="14"/>
      <c r="Q545" s="14"/>
      <c r="R545" s="14" t="s">
        <v>308</v>
      </c>
    </row>
    <row r="546" spans="1:18" ht="15" customHeight="1">
      <c r="A546" s="12">
        <v>216</v>
      </c>
      <c r="B546" s="13" t="s">
        <v>916</v>
      </c>
      <c r="C546" s="14"/>
      <c r="D546" s="14" t="s">
        <v>917</v>
      </c>
      <c r="E546" s="14" t="s">
        <v>36</v>
      </c>
      <c r="F546" s="15" t="s">
        <v>22</v>
      </c>
      <c r="G546" s="14"/>
      <c r="H546" s="58"/>
      <c r="I546" s="14"/>
      <c r="J546" s="14" t="s">
        <v>23</v>
      </c>
      <c r="K546" s="14"/>
      <c r="L546" s="14"/>
      <c r="M546" s="14" t="s">
        <v>689</v>
      </c>
      <c r="N546" s="25" t="s">
        <v>289</v>
      </c>
      <c r="O546" s="14" t="s">
        <v>138</v>
      </c>
      <c r="P546" s="14"/>
      <c r="Q546" s="14"/>
      <c r="R546" s="14" t="s">
        <v>654</v>
      </c>
    </row>
    <row r="547" spans="1:18" ht="15" customHeight="1">
      <c r="A547" s="12">
        <v>992</v>
      </c>
      <c r="B547" s="13" t="s">
        <v>918</v>
      </c>
      <c r="C547" s="14"/>
      <c r="D547" s="14" t="s">
        <v>917</v>
      </c>
      <c r="E547" s="14" t="s">
        <v>36</v>
      </c>
      <c r="F547" s="15" t="s">
        <v>22</v>
      </c>
      <c r="G547" s="21"/>
      <c r="H547" s="58">
        <v>2</v>
      </c>
      <c r="I547" s="14"/>
      <c r="J547" s="14" t="s">
        <v>23</v>
      </c>
      <c r="K547" s="14"/>
      <c r="L547" s="14"/>
      <c r="M547" s="14" t="s">
        <v>29</v>
      </c>
      <c r="N547" s="25" t="s">
        <v>37</v>
      </c>
      <c r="O547" s="14" t="s">
        <v>477</v>
      </c>
      <c r="P547" s="14"/>
      <c r="Q547" s="14"/>
      <c r="R547" s="14" t="s">
        <v>851</v>
      </c>
    </row>
    <row r="548" spans="1:18" ht="15" customHeight="1">
      <c r="A548" s="12">
        <v>1781</v>
      </c>
      <c r="B548" s="13" t="s">
        <v>919</v>
      </c>
      <c r="C548" s="14"/>
      <c r="D548" s="14" t="s">
        <v>917</v>
      </c>
      <c r="E548" s="14" t="s">
        <v>36</v>
      </c>
      <c r="F548" s="15" t="s">
        <v>22</v>
      </c>
      <c r="G548" s="14"/>
      <c r="H548" s="58">
        <v>3</v>
      </c>
      <c r="I548" s="14"/>
      <c r="J548" s="14" t="s">
        <v>23</v>
      </c>
      <c r="K548" s="14"/>
      <c r="L548" s="14"/>
      <c r="M548" s="14" t="s">
        <v>32</v>
      </c>
      <c r="N548" s="25" t="s">
        <v>37</v>
      </c>
      <c r="O548" s="14" t="s">
        <v>920</v>
      </c>
      <c r="P548" s="14"/>
      <c r="Q548" s="14"/>
      <c r="R548" s="14" t="s">
        <v>308</v>
      </c>
    </row>
    <row r="549" spans="1:18" ht="15" customHeight="1">
      <c r="A549" s="12">
        <v>217</v>
      </c>
      <c r="B549" s="13" t="s">
        <v>921</v>
      </c>
      <c r="C549" s="14"/>
      <c r="D549" s="14" t="s">
        <v>922</v>
      </c>
      <c r="E549" s="14" t="s">
        <v>137</v>
      </c>
      <c r="F549" s="15" t="s">
        <v>22</v>
      </c>
      <c r="G549" s="14"/>
      <c r="H549" s="58"/>
      <c r="I549" s="14"/>
      <c r="J549" s="14" t="s">
        <v>23</v>
      </c>
      <c r="K549" s="14"/>
      <c r="L549" s="14"/>
      <c r="M549" s="14" t="s">
        <v>689</v>
      </c>
      <c r="N549" s="25" t="s">
        <v>289</v>
      </c>
      <c r="O549" s="14" t="s">
        <v>189</v>
      </c>
      <c r="P549" s="14"/>
      <c r="Q549" s="14"/>
      <c r="R549" s="14" t="s">
        <v>654</v>
      </c>
    </row>
    <row r="550" spans="1:18" ht="15" customHeight="1">
      <c r="A550" s="12">
        <v>993</v>
      </c>
      <c r="B550" s="13" t="s">
        <v>923</v>
      </c>
      <c r="C550" s="14"/>
      <c r="D550" s="14" t="s">
        <v>922</v>
      </c>
      <c r="E550" s="14" t="s">
        <v>137</v>
      </c>
      <c r="F550" s="15" t="s">
        <v>22</v>
      </c>
      <c r="G550" s="21"/>
      <c r="H550" s="58">
        <v>1</v>
      </c>
      <c r="I550" s="14"/>
      <c r="J550" s="14" t="s">
        <v>23</v>
      </c>
      <c r="K550" s="14"/>
      <c r="L550" s="14"/>
      <c r="M550" s="14" t="s">
        <v>29</v>
      </c>
      <c r="N550" s="25" t="s">
        <v>37</v>
      </c>
      <c r="O550" s="14" t="s">
        <v>924</v>
      </c>
      <c r="P550" s="14"/>
      <c r="Q550" s="14"/>
      <c r="R550" s="14" t="s">
        <v>851</v>
      </c>
    </row>
    <row r="551" spans="1:18" ht="15" customHeight="1">
      <c r="A551" s="12">
        <v>1782</v>
      </c>
      <c r="B551" s="13" t="s">
        <v>925</v>
      </c>
      <c r="C551" s="14"/>
      <c r="D551" s="14" t="s">
        <v>922</v>
      </c>
      <c r="E551" s="14" t="s">
        <v>137</v>
      </c>
      <c r="F551" s="15" t="s">
        <v>22</v>
      </c>
      <c r="G551" s="14"/>
      <c r="H551" s="58">
        <v>3</v>
      </c>
      <c r="I551" s="14"/>
      <c r="J551" s="14" t="s">
        <v>23</v>
      </c>
      <c r="K551" s="14"/>
      <c r="L551" s="14"/>
      <c r="M551" s="14" t="s">
        <v>32</v>
      </c>
      <c r="N551" s="25" t="s">
        <v>37</v>
      </c>
      <c r="O551" s="14" t="s">
        <v>926</v>
      </c>
      <c r="P551" s="14"/>
      <c r="Q551" s="14"/>
      <c r="R551" s="14" t="s">
        <v>308</v>
      </c>
    </row>
    <row r="552" spans="1:18" ht="15" customHeight="1">
      <c r="A552" s="12">
        <v>218</v>
      </c>
      <c r="B552" s="13" t="s">
        <v>927</v>
      </c>
      <c r="C552" s="14"/>
      <c r="D552" s="14" t="s">
        <v>928</v>
      </c>
      <c r="E552" s="14" t="s">
        <v>172</v>
      </c>
      <c r="F552" s="15" t="s">
        <v>22</v>
      </c>
      <c r="G552" s="14"/>
      <c r="H552" s="58"/>
      <c r="I552" s="14"/>
      <c r="J552" s="14" t="s">
        <v>23</v>
      </c>
      <c r="K552" s="14"/>
      <c r="L552" s="14"/>
      <c r="M552" s="14" t="s">
        <v>689</v>
      </c>
      <c r="N552" s="22" t="s">
        <v>25</v>
      </c>
      <c r="O552" s="14"/>
      <c r="P552" s="14"/>
      <c r="Q552" s="14"/>
      <c r="R552" s="14" t="s">
        <v>654</v>
      </c>
    </row>
    <row r="553" spans="1:18" ht="15" customHeight="1">
      <c r="A553" s="12">
        <v>994</v>
      </c>
      <c r="B553" s="13" t="s">
        <v>929</v>
      </c>
      <c r="C553" s="14"/>
      <c r="D553" s="14" t="s">
        <v>928</v>
      </c>
      <c r="E553" s="14" t="s">
        <v>172</v>
      </c>
      <c r="F553" s="15" t="s">
        <v>22</v>
      </c>
      <c r="G553" s="21"/>
      <c r="H553" s="58">
        <v>1</v>
      </c>
      <c r="I553" s="14"/>
      <c r="J553" s="14" t="s">
        <v>23</v>
      </c>
      <c r="K553" s="14"/>
      <c r="L553" s="14"/>
      <c r="M553" s="14" t="s">
        <v>29</v>
      </c>
      <c r="N553" s="14" t="s">
        <v>25</v>
      </c>
      <c r="O553" s="14"/>
      <c r="P553" s="14"/>
      <c r="Q553" s="14"/>
      <c r="R553" s="14" t="s">
        <v>851</v>
      </c>
    </row>
    <row r="554" spans="1:18" ht="15" customHeight="1">
      <c r="A554" s="12">
        <v>1783</v>
      </c>
      <c r="B554" s="13" t="s">
        <v>930</v>
      </c>
      <c r="C554" s="14"/>
      <c r="D554" s="14" t="s">
        <v>928</v>
      </c>
      <c r="E554" s="14" t="s">
        <v>172</v>
      </c>
      <c r="F554" s="15" t="s">
        <v>22</v>
      </c>
      <c r="G554" s="14"/>
      <c r="H554" s="58">
        <v>1</v>
      </c>
      <c r="I554" s="14"/>
      <c r="J554" s="14" t="s">
        <v>23</v>
      </c>
      <c r="K554" s="14"/>
      <c r="L554" s="14"/>
      <c r="M554" s="14" t="s">
        <v>32</v>
      </c>
      <c r="N554" s="14" t="s">
        <v>25</v>
      </c>
      <c r="O554" s="14"/>
      <c r="P554" s="14"/>
      <c r="Q554" s="14"/>
      <c r="R554" s="14" t="s">
        <v>308</v>
      </c>
    </row>
    <row r="555" spans="1:18" ht="15" customHeight="1">
      <c r="A555" s="12">
        <v>219</v>
      </c>
      <c r="B555" s="13" t="s">
        <v>931</v>
      </c>
      <c r="C555" s="14"/>
      <c r="D555" s="14" t="s">
        <v>932</v>
      </c>
      <c r="E555" s="14" t="s">
        <v>36</v>
      </c>
      <c r="F555" s="15" t="s">
        <v>22</v>
      </c>
      <c r="G555" s="14"/>
      <c r="H555" s="58"/>
      <c r="I555" s="14"/>
      <c r="J555" s="14" t="s">
        <v>23</v>
      </c>
      <c r="K555" s="14"/>
      <c r="L555" s="14"/>
      <c r="M555" s="14" t="s">
        <v>689</v>
      </c>
      <c r="N555" s="22" t="s">
        <v>25</v>
      </c>
      <c r="O555" s="14"/>
      <c r="P555" s="14"/>
      <c r="Q555" s="14"/>
      <c r="R555" s="14" t="s">
        <v>654</v>
      </c>
    </row>
    <row r="556" spans="1:18" ht="15" customHeight="1">
      <c r="A556" s="12">
        <v>995</v>
      </c>
      <c r="B556" s="13" t="s">
        <v>933</v>
      </c>
      <c r="C556" s="14"/>
      <c r="D556" s="14" t="s">
        <v>932</v>
      </c>
      <c r="E556" s="14" t="s">
        <v>36</v>
      </c>
      <c r="F556" s="15" t="s">
        <v>22</v>
      </c>
      <c r="G556" s="21"/>
      <c r="H556" s="58">
        <v>1</v>
      </c>
      <c r="I556" s="14"/>
      <c r="J556" s="14" t="s">
        <v>23</v>
      </c>
      <c r="K556" s="14"/>
      <c r="L556" s="14"/>
      <c r="M556" s="14" t="s">
        <v>29</v>
      </c>
      <c r="N556" s="25" t="s">
        <v>37</v>
      </c>
      <c r="O556" s="14" t="s">
        <v>934</v>
      </c>
      <c r="P556" s="14"/>
      <c r="Q556" s="14"/>
      <c r="R556" s="14" t="s">
        <v>851</v>
      </c>
    </row>
    <row r="557" spans="1:18" ht="15" customHeight="1">
      <c r="A557" s="12">
        <v>1784</v>
      </c>
      <c r="B557" s="13" t="s">
        <v>935</v>
      </c>
      <c r="C557" s="14"/>
      <c r="D557" s="14" t="s">
        <v>932</v>
      </c>
      <c r="E557" s="14" t="s">
        <v>36</v>
      </c>
      <c r="F557" s="15" t="s">
        <v>22</v>
      </c>
      <c r="G557" s="14"/>
      <c r="H557" s="58">
        <v>1</v>
      </c>
      <c r="I557" s="14"/>
      <c r="J557" s="14" t="s">
        <v>23</v>
      </c>
      <c r="K557" s="14"/>
      <c r="L557" s="14"/>
      <c r="M557" s="14" t="s">
        <v>32</v>
      </c>
      <c r="N557" s="25" t="s">
        <v>37</v>
      </c>
      <c r="O557" s="14" t="s">
        <v>936</v>
      </c>
      <c r="P557" s="14"/>
      <c r="Q557" s="14"/>
      <c r="R557" s="14" t="s">
        <v>308</v>
      </c>
    </row>
    <row r="558" spans="1:18" ht="15" customHeight="1">
      <c r="A558" s="12">
        <v>220</v>
      </c>
      <c r="B558" s="13" t="s">
        <v>937</v>
      </c>
      <c r="C558" s="14"/>
      <c r="D558" s="14" t="s">
        <v>938</v>
      </c>
      <c r="E558" s="14" t="s">
        <v>36</v>
      </c>
      <c r="F558" s="15" t="s">
        <v>22</v>
      </c>
      <c r="G558" s="14"/>
      <c r="H558" s="58"/>
      <c r="I558" s="14"/>
      <c r="J558" s="14" t="s">
        <v>23</v>
      </c>
      <c r="K558" s="14"/>
      <c r="L558" s="14"/>
      <c r="M558" s="14" t="s">
        <v>689</v>
      </c>
      <c r="N558" s="25" t="s">
        <v>289</v>
      </c>
      <c r="O558" s="14" t="s">
        <v>138</v>
      </c>
      <c r="P558" s="14"/>
      <c r="Q558" s="14"/>
      <c r="R558" s="14" t="s">
        <v>654</v>
      </c>
    </row>
    <row r="559" spans="1:18" ht="15" customHeight="1">
      <c r="A559" s="12">
        <v>996</v>
      </c>
      <c r="B559" s="13" t="s">
        <v>939</v>
      </c>
      <c r="C559" s="14"/>
      <c r="D559" s="14" t="s">
        <v>938</v>
      </c>
      <c r="E559" s="14" t="s">
        <v>36</v>
      </c>
      <c r="F559" s="15" t="s">
        <v>22</v>
      </c>
      <c r="G559" s="21"/>
      <c r="H559" s="58">
        <v>1</v>
      </c>
      <c r="I559" s="14"/>
      <c r="J559" s="14" t="s">
        <v>23</v>
      </c>
      <c r="K559" s="14"/>
      <c r="L559" s="14"/>
      <c r="M559" s="14" t="s">
        <v>29</v>
      </c>
      <c r="N559" s="25" t="s">
        <v>37</v>
      </c>
      <c r="O559" s="14" t="s">
        <v>940</v>
      </c>
      <c r="P559" s="14"/>
      <c r="Q559" s="14"/>
      <c r="R559" s="14" t="s">
        <v>851</v>
      </c>
    </row>
    <row r="560" spans="1:18" ht="15" customHeight="1">
      <c r="A560" s="12">
        <v>1785</v>
      </c>
      <c r="B560" s="13" t="s">
        <v>941</v>
      </c>
      <c r="C560" s="14"/>
      <c r="D560" s="14" t="s">
        <v>938</v>
      </c>
      <c r="E560" s="14" t="s">
        <v>36</v>
      </c>
      <c r="F560" s="15" t="s">
        <v>22</v>
      </c>
      <c r="G560" s="14"/>
      <c r="H560" s="58">
        <v>1</v>
      </c>
      <c r="I560" s="14"/>
      <c r="J560" s="14" t="s">
        <v>23</v>
      </c>
      <c r="K560" s="14"/>
      <c r="L560" s="14"/>
      <c r="M560" s="14" t="s">
        <v>32</v>
      </c>
      <c r="N560" s="14" t="s">
        <v>25</v>
      </c>
      <c r="O560" s="14"/>
      <c r="P560" s="14"/>
      <c r="Q560" s="14"/>
      <c r="R560" s="14" t="s">
        <v>308</v>
      </c>
    </row>
    <row r="561" spans="1:18" ht="15" customHeight="1">
      <c r="A561" s="12">
        <v>221</v>
      </c>
      <c r="B561" s="13" t="s">
        <v>942</v>
      </c>
      <c r="C561" s="14"/>
      <c r="D561" s="14" t="s">
        <v>943</v>
      </c>
      <c r="E561" s="14" t="s">
        <v>36</v>
      </c>
      <c r="F561" s="15" t="s">
        <v>22</v>
      </c>
      <c r="G561" s="14"/>
      <c r="H561" s="58"/>
      <c r="I561" s="14"/>
      <c r="J561" s="14" t="s">
        <v>23</v>
      </c>
      <c r="K561" s="14"/>
      <c r="L561" s="14"/>
      <c r="M561" s="14" t="s">
        <v>689</v>
      </c>
      <c r="N561" s="22" t="s">
        <v>25</v>
      </c>
      <c r="O561" s="14"/>
      <c r="P561" s="14"/>
      <c r="Q561" s="14"/>
      <c r="R561" s="14" t="s">
        <v>654</v>
      </c>
    </row>
    <row r="562" spans="1:18" ht="15" customHeight="1">
      <c r="A562" s="12">
        <v>997</v>
      </c>
      <c r="B562" s="13" t="s">
        <v>944</v>
      </c>
      <c r="C562" s="14"/>
      <c r="D562" s="14" t="s">
        <v>943</v>
      </c>
      <c r="E562" s="14" t="s">
        <v>36</v>
      </c>
      <c r="F562" s="15" t="s">
        <v>22</v>
      </c>
      <c r="G562" s="21"/>
      <c r="H562" s="58">
        <v>1</v>
      </c>
      <c r="I562" s="14"/>
      <c r="J562" s="14" t="s">
        <v>23</v>
      </c>
      <c r="K562" s="14"/>
      <c r="L562" s="14"/>
      <c r="M562" s="14" t="s">
        <v>29</v>
      </c>
      <c r="N562" s="25" t="s">
        <v>37</v>
      </c>
      <c r="O562" s="14" t="s">
        <v>945</v>
      </c>
      <c r="P562" s="14"/>
      <c r="Q562" s="14"/>
      <c r="R562" s="14" t="s">
        <v>851</v>
      </c>
    </row>
    <row r="563" spans="1:18" ht="15" customHeight="1">
      <c r="A563" s="12">
        <v>1786</v>
      </c>
      <c r="B563" s="13" t="s">
        <v>946</v>
      </c>
      <c r="C563" s="14"/>
      <c r="D563" s="14" t="s">
        <v>943</v>
      </c>
      <c r="E563" s="14" t="s">
        <v>36</v>
      </c>
      <c r="F563" s="15" t="s">
        <v>22</v>
      </c>
      <c r="G563" s="14"/>
      <c r="H563" s="58">
        <v>2</v>
      </c>
      <c r="I563" s="14"/>
      <c r="J563" s="14" t="s">
        <v>23</v>
      </c>
      <c r="K563" s="14"/>
      <c r="L563" s="14"/>
      <c r="M563" s="14" t="s">
        <v>32</v>
      </c>
      <c r="N563" s="25" t="s">
        <v>37</v>
      </c>
      <c r="O563" s="14" t="s">
        <v>185</v>
      </c>
      <c r="P563" s="14"/>
      <c r="Q563" s="14"/>
      <c r="R563" s="14" t="s">
        <v>308</v>
      </c>
    </row>
    <row r="564" spans="1:18" ht="15" customHeight="1">
      <c r="A564" s="12">
        <v>222</v>
      </c>
      <c r="B564" s="13" t="s">
        <v>947</v>
      </c>
      <c r="C564" s="14"/>
      <c r="D564" s="14" t="s">
        <v>948</v>
      </c>
      <c r="E564" s="14" t="s">
        <v>215</v>
      </c>
      <c r="F564" s="15" t="s">
        <v>22</v>
      </c>
      <c r="G564" s="14"/>
      <c r="H564" s="58"/>
      <c r="I564" s="14"/>
      <c r="J564" s="14" t="s">
        <v>23</v>
      </c>
      <c r="K564" s="14"/>
      <c r="L564" s="14"/>
      <c r="M564" s="14" t="s">
        <v>689</v>
      </c>
      <c r="N564" s="25" t="s">
        <v>37</v>
      </c>
      <c r="O564" s="14" t="s">
        <v>80</v>
      </c>
      <c r="P564" s="14"/>
      <c r="Q564" s="14"/>
      <c r="R564" s="14" t="s">
        <v>654</v>
      </c>
    </row>
    <row r="565" spans="1:18" ht="15" customHeight="1">
      <c r="A565" s="12">
        <v>998</v>
      </c>
      <c r="B565" s="13" t="s">
        <v>949</v>
      </c>
      <c r="C565" s="14"/>
      <c r="D565" s="14" t="s">
        <v>948</v>
      </c>
      <c r="E565" s="14" t="s">
        <v>215</v>
      </c>
      <c r="F565" s="15" t="s">
        <v>22</v>
      </c>
      <c r="G565" s="21"/>
      <c r="H565" s="58">
        <v>1</v>
      </c>
      <c r="I565" s="14"/>
      <c r="J565" s="14" t="s">
        <v>23</v>
      </c>
      <c r="K565" s="14"/>
      <c r="L565" s="14"/>
      <c r="M565" s="14" t="s">
        <v>29</v>
      </c>
      <c r="N565" s="25" t="s">
        <v>37</v>
      </c>
      <c r="O565" s="14" t="s">
        <v>950</v>
      </c>
      <c r="P565" s="14"/>
      <c r="Q565" s="14"/>
      <c r="R565" s="14" t="s">
        <v>851</v>
      </c>
    </row>
    <row r="566" spans="1:18" ht="15" customHeight="1">
      <c r="A566" s="12">
        <v>1787</v>
      </c>
      <c r="B566" s="13" t="s">
        <v>951</v>
      </c>
      <c r="C566" s="14"/>
      <c r="D566" s="14" t="s">
        <v>948</v>
      </c>
      <c r="E566" s="14" t="s">
        <v>215</v>
      </c>
      <c r="F566" s="15" t="s">
        <v>22</v>
      </c>
      <c r="G566" s="14"/>
      <c r="H566" s="58">
        <v>3</v>
      </c>
      <c r="I566" s="14"/>
      <c r="J566" s="14" t="s">
        <v>23</v>
      </c>
      <c r="K566" s="14"/>
      <c r="L566" s="14"/>
      <c r="M566" s="14" t="s">
        <v>32</v>
      </c>
      <c r="N566" s="25" t="s">
        <v>37</v>
      </c>
      <c r="O566" s="14" t="s">
        <v>952</v>
      </c>
      <c r="P566" s="14"/>
      <c r="Q566" s="14"/>
      <c r="R566" s="14" t="s">
        <v>308</v>
      </c>
    </row>
    <row r="567" spans="1:18" ht="15" customHeight="1">
      <c r="A567" s="12">
        <v>223</v>
      </c>
      <c r="B567" s="13" t="s">
        <v>953</v>
      </c>
      <c r="C567" s="14"/>
      <c r="D567" s="14" t="s">
        <v>954</v>
      </c>
      <c r="E567" s="14"/>
      <c r="F567" s="15" t="s">
        <v>22</v>
      </c>
      <c r="G567" s="14"/>
      <c r="H567" s="58"/>
      <c r="I567" s="14"/>
      <c r="J567" s="14" t="s">
        <v>23</v>
      </c>
      <c r="K567" s="14"/>
      <c r="L567" s="14"/>
      <c r="M567" s="14" t="s">
        <v>689</v>
      </c>
      <c r="N567" s="25" t="s">
        <v>37</v>
      </c>
      <c r="O567" s="14" t="s">
        <v>38</v>
      </c>
      <c r="P567" s="14"/>
      <c r="Q567" s="14"/>
      <c r="R567" s="14" t="s">
        <v>654</v>
      </c>
    </row>
    <row r="568" spans="1:18" ht="15" customHeight="1">
      <c r="A568" s="12">
        <v>999</v>
      </c>
      <c r="B568" s="13" t="s">
        <v>955</v>
      </c>
      <c r="C568" s="14"/>
      <c r="D568" s="14" t="s">
        <v>954</v>
      </c>
      <c r="E568" s="14"/>
      <c r="F568" s="15" t="s">
        <v>22</v>
      </c>
      <c r="G568" s="21"/>
      <c r="H568" s="58">
        <v>1</v>
      </c>
      <c r="I568" s="14"/>
      <c r="J568" s="14" t="s">
        <v>23</v>
      </c>
      <c r="K568" s="14"/>
      <c r="L568" s="14"/>
      <c r="M568" s="14" t="s">
        <v>29</v>
      </c>
      <c r="N568" s="25" t="s">
        <v>37</v>
      </c>
      <c r="O568" s="14" t="s">
        <v>956</v>
      </c>
      <c r="P568" s="14"/>
      <c r="Q568" s="14"/>
      <c r="R568" s="14" t="s">
        <v>851</v>
      </c>
    </row>
    <row r="569" spans="1:18" ht="15" customHeight="1">
      <c r="A569" s="12">
        <v>1788</v>
      </c>
      <c r="B569" s="13" t="s">
        <v>957</v>
      </c>
      <c r="C569" s="14"/>
      <c r="D569" s="14" t="s">
        <v>954</v>
      </c>
      <c r="E569" s="14" t="s">
        <v>172</v>
      </c>
      <c r="F569" s="15" t="s">
        <v>22</v>
      </c>
      <c r="G569" s="14"/>
      <c r="H569" s="58">
        <v>3</v>
      </c>
      <c r="I569" s="14"/>
      <c r="J569" s="14" t="s">
        <v>23</v>
      </c>
      <c r="K569" s="14"/>
      <c r="L569" s="14"/>
      <c r="M569" s="14" t="s">
        <v>32</v>
      </c>
      <c r="N569" s="25" t="s">
        <v>37</v>
      </c>
      <c r="O569" s="14" t="s">
        <v>958</v>
      </c>
      <c r="P569" s="14"/>
      <c r="Q569" s="14"/>
      <c r="R569" s="14" t="s">
        <v>308</v>
      </c>
    </row>
    <row r="570" spans="1:18" ht="15" customHeight="1">
      <c r="A570" s="12">
        <v>224</v>
      </c>
      <c r="B570" s="13" t="s">
        <v>959</v>
      </c>
      <c r="C570" s="14"/>
      <c r="D570" s="14" t="s">
        <v>960</v>
      </c>
      <c r="E570" s="14" t="s">
        <v>21</v>
      </c>
      <c r="F570" s="15" t="s">
        <v>22</v>
      </c>
      <c r="G570" s="14"/>
      <c r="H570" s="58"/>
      <c r="I570" s="14"/>
      <c r="J570" s="14" t="s">
        <v>23</v>
      </c>
      <c r="K570" s="14"/>
      <c r="L570" s="14"/>
      <c r="M570" s="14" t="s">
        <v>689</v>
      </c>
      <c r="N570" s="22" t="s">
        <v>25</v>
      </c>
      <c r="O570" s="14"/>
      <c r="P570" s="14"/>
      <c r="Q570" s="14"/>
      <c r="R570" s="14" t="s">
        <v>654</v>
      </c>
    </row>
    <row r="571" spans="1:18" ht="15" customHeight="1">
      <c r="A571" s="12">
        <v>1000</v>
      </c>
      <c r="B571" s="13" t="s">
        <v>961</v>
      </c>
      <c r="C571" s="14"/>
      <c r="D571" s="14" t="s">
        <v>960</v>
      </c>
      <c r="E571" s="14" t="s">
        <v>21</v>
      </c>
      <c r="F571" s="15" t="s">
        <v>22</v>
      </c>
      <c r="G571" s="21"/>
      <c r="H571" s="58"/>
      <c r="I571" s="14"/>
      <c r="J571" s="14" t="s">
        <v>23</v>
      </c>
      <c r="K571" s="14"/>
      <c r="L571" s="14"/>
      <c r="M571" s="14" t="s">
        <v>29</v>
      </c>
      <c r="N571" s="14" t="s">
        <v>25</v>
      </c>
      <c r="O571" s="14"/>
      <c r="P571" s="14"/>
      <c r="Q571" s="14"/>
      <c r="R571" s="14" t="s">
        <v>851</v>
      </c>
    </row>
    <row r="572" spans="1:18" ht="15" customHeight="1">
      <c r="A572" s="12">
        <v>1789</v>
      </c>
      <c r="B572" s="13" t="s">
        <v>962</v>
      </c>
      <c r="C572" s="14"/>
      <c r="D572" s="14" t="s">
        <v>960</v>
      </c>
      <c r="E572" s="14" t="s">
        <v>21</v>
      </c>
      <c r="F572" s="15" t="s">
        <v>22</v>
      </c>
      <c r="G572" s="14"/>
      <c r="H572" s="58">
        <v>1</v>
      </c>
      <c r="I572" s="14"/>
      <c r="J572" s="14" t="s">
        <v>23</v>
      </c>
      <c r="K572" s="14"/>
      <c r="L572" s="14"/>
      <c r="M572" s="14" t="s">
        <v>32</v>
      </c>
      <c r="N572" s="25" t="s">
        <v>37</v>
      </c>
      <c r="O572" s="14" t="s">
        <v>963</v>
      </c>
      <c r="P572" s="14"/>
      <c r="Q572" s="14"/>
      <c r="R572" s="14" t="s">
        <v>308</v>
      </c>
    </row>
    <row r="573" spans="1:18" ht="15" customHeight="1">
      <c r="A573" s="12">
        <v>225</v>
      </c>
      <c r="B573" s="13" t="s">
        <v>964</v>
      </c>
      <c r="C573" s="14"/>
      <c r="D573" s="14" t="s">
        <v>965</v>
      </c>
      <c r="E573" s="14" t="s">
        <v>21</v>
      </c>
      <c r="F573" s="15" t="s">
        <v>22</v>
      </c>
      <c r="G573" s="14"/>
      <c r="H573" s="58"/>
      <c r="I573" s="14"/>
      <c r="J573" s="14" t="s">
        <v>23</v>
      </c>
      <c r="K573" s="14"/>
      <c r="L573" s="14"/>
      <c r="M573" s="14" t="s">
        <v>689</v>
      </c>
      <c r="N573" s="22" t="s">
        <v>25</v>
      </c>
      <c r="O573" s="14"/>
      <c r="P573" s="14"/>
      <c r="Q573" s="14"/>
      <c r="R573" s="14" t="s">
        <v>654</v>
      </c>
    </row>
    <row r="574" spans="1:18" ht="15" customHeight="1">
      <c r="A574" s="12">
        <v>1001</v>
      </c>
      <c r="B574" s="13" t="s">
        <v>966</v>
      </c>
      <c r="C574" s="14"/>
      <c r="D574" s="14" t="s">
        <v>965</v>
      </c>
      <c r="E574" s="14" t="s">
        <v>21</v>
      </c>
      <c r="F574" s="15" t="s">
        <v>22</v>
      </c>
      <c r="G574" s="21"/>
      <c r="H574" s="58">
        <v>2</v>
      </c>
      <c r="I574" s="14"/>
      <c r="J574" s="14" t="s">
        <v>23</v>
      </c>
      <c r="K574" s="14"/>
      <c r="L574" s="14"/>
      <c r="M574" s="14" t="s">
        <v>29</v>
      </c>
      <c r="N574" s="14" t="s">
        <v>25</v>
      </c>
      <c r="O574" s="14"/>
      <c r="P574" s="14"/>
      <c r="Q574" s="14"/>
      <c r="R574" s="14" t="s">
        <v>851</v>
      </c>
    </row>
    <row r="575" spans="1:18" ht="15" customHeight="1">
      <c r="A575" s="12">
        <v>1790</v>
      </c>
      <c r="B575" s="13" t="s">
        <v>967</v>
      </c>
      <c r="C575" s="14"/>
      <c r="D575" s="14" t="s">
        <v>965</v>
      </c>
      <c r="E575" s="14" t="s">
        <v>21</v>
      </c>
      <c r="F575" s="15" t="s">
        <v>22</v>
      </c>
      <c r="G575" s="14"/>
      <c r="H575" s="58">
        <v>1</v>
      </c>
      <c r="I575" s="14"/>
      <c r="J575" s="14" t="s">
        <v>23</v>
      </c>
      <c r="K575" s="14"/>
      <c r="L575" s="14"/>
      <c r="M575" s="14" t="s">
        <v>32</v>
      </c>
      <c r="N575" s="14" t="s">
        <v>25</v>
      </c>
      <c r="O575" s="14"/>
      <c r="P575" s="14"/>
      <c r="Q575" s="14"/>
      <c r="R575" s="14" t="s">
        <v>308</v>
      </c>
    </row>
    <row r="576" spans="1:18" ht="15" customHeight="1">
      <c r="A576" s="12">
        <v>226</v>
      </c>
      <c r="B576" s="13" t="s">
        <v>968</v>
      </c>
      <c r="C576" s="14"/>
      <c r="D576" s="14" t="s">
        <v>969</v>
      </c>
      <c r="E576" s="14" t="s">
        <v>36</v>
      </c>
      <c r="F576" s="15" t="s">
        <v>22</v>
      </c>
      <c r="G576" s="14"/>
      <c r="H576" s="58">
        <v>1</v>
      </c>
      <c r="I576" s="14"/>
      <c r="J576" s="14" t="s">
        <v>23</v>
      </c>
      <c r="K576" s="14"/>
      <c r="L576" s="14"/>
      <c r="M576" s="14" t="s">
        <v>689</v>
      </c>
      <c r="N576" s="25" t="s">
        <v>37</v>
      </c>
      <c r="O576" s="14" t="s">
        <v>45</v>
      </c>
      <c r="P576" s="14"/>
      <c r="Q576" s="14"/>
      <c r="R576" s="14" t="s">
        <v>654</v>
      </c>
    </row>
    <row r="577" spans="1:1027" ht="15" customHeight="1">
      <c r="A577" s="12">
        <v>1002</v>
      </c>
      <c r="B577" s="13" t="s">
        <v>970</v>
      </c>
      <c r="C577" s="14"/>
      <c r="D577" s="14" t="s">
        <v>969</v>
      </c>
      <c r="E577" s="14" t="s">
        <v>36</v>
      </c>
      <c r="F577" s="15" t="s">
        <v>22</v>
      </c>
      <c r="G577" s="21"/>
      <c r="H577" s="58">
        <v>1</v>
      </c>
      <c r="I577" s="14"/>
      <c r="J577" s="14" t="s">
        <v>23</v>
      </c>
      <c r="K577" s="14"/>
      <c r="L577" s="14"/>
      <c r="M577" s="14" t="s">
        <v>29</v>
      </c>
      <c r="N577" s="14" t="s">
        <v>25</v>
      </c>
      <c r="O577" s="14"/>
      <c r="P577" s="14"/>
      <c r="Q577" s="14"/>
      <c r="R577" s="14" t="s">
        <v>851</v>
      </c>
    </row>
    <row r="578" spans="1:1027" ht="15" customHeight="1">
      <c r="A578" s="12">
        <v>1791</v>
      </c>
      <c r="B578" s="13" t="s">
        <v>971</v>
      </c>
      <c r="C578" s="14"/>
      <c r="D578" s="14" t="s">
        <v>969</v>
      </c>
      <c r="E578" s="14" t="s">
        <v>36</v>
      </c>
      <c r="F578" s="15" t="s">
        <v>22</v>
      </c>
      <c r="G578" s="14"/>
      <c r="H578" s="58">
        <v>1</v>
      </c>
      <c r="I578" s="14"/>
      <c r="J578" s="14" t="s">
        <v>23</v>
      </c>
      <c r="K578" s="14"/>
      <c r="L578" s="14"/>
      <c r="M578" s="14" t="s">
        <v>32</v>
      </c>
      <c r="N578" s="25" t="s">
        <v>37</v>
      </c>
      <c r="O578" s="14" t="s">
        <v>840</v>
      </c>
      <c r="P578" s="14"/>
      <c r="Q578" s="14"/>
      <c r="R578" s="14" t="s">
        <v>308</v>
      </c>
    </row>
    <row r="579" spans="1:1027" ht="15" customHeight="1">
      <c r="A579" s="12">
        <v>27</v>
      </c>
      <c r="B579" s="13" t="s">
        <v>972</v>
      </c>
      <c r="C579" s="14"/>
      <c r="D579" s="14" t="s">
        <v>973</v>
      </c>
      <c r="E579" s="14" t="s">
        <v>21</v>
      </c>
      <c r="F579" s="15" t="s">
        <v>22</v>
      </c>
      <c r="G579" s="14"/>
      <c r="H579" s="58"/>
      <c r="I579" s="14"/>
      <c r="J579" s="14" t="s">
        <v>23</v>
      </c>
      <c r="K579" s="15"/>
      <c r="L579" s="15"/>
      <c r="M579" s="14" t="s">
        <v>24</v>
      </c>
      <c r="N579" s="14" t="s">
        <v>25</v>
      </c>
      <c r="O579" s="14"/>
      <c r="P579" s="14"/>
      <c r="Q579" s="14"/>
      <c r="R579" s="17">
        <v>43599</v>
      </c>
      <c r="S579" s="12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/>
      <c r="WN579" s="3"/>
      <c r="WO579" s="3"/>
      <c r="WP579" s="3"/>
      <c r="WQ579" s="3"/>
      <c r="WR579" s="3"/>
      <c r="WS579" s="3"/>
      <c r="WT579" s="3"/>
      <c r="WU579" s="3"/>
      <c r="WV579" s="3"/>
      <c r="WW579" s="3"/>
      <c r="WX579" s="3"/>
      <c r="WY579" s="3"/>
      <c r="WZ579" s="3"/>
      <c r="XA579" s="3"/>
      <c r="XB579" s="3"/>
      <c r="XC579" s="3"/>
      <c r="XD579" s="3"/>
      <c r="XE579" s="3"/>
      <c r="XF579" s="3"/>
      <c r="XG579" s="3"/>
      <c r="XH579" s="3"/>
      <c r="XI579" s="3"/>
      <c r="XJ579" s="3"/>
      <c r="XK579" s="3"/>
      <c r="XL579" s="3"/>
      <c r="XM579" s="3"/>
      <c r="XN579" s="3"/>
      <c r="XO579" s="3"/>
      <c r="XP579" s="3"/>
      <c r="XQ579" s="3"/>
      <c r="XR579" s="3"/>
      <c r="XS579" s="3"/>
      <c r="XT579" s="3"/>
      <c r="XU579" s="3"/>
      <c r="XV579" s="3"/>
      <c r="XW579" s="3"/>
      <c r="XX579" s="3"/>
      <c r="XY579" s="3"/>
      <c r="XZ579" s="3"/>
      <c r="YA579" s="3"/>
      <c r="YB579" s="3"/>
      <c r="YC579" s="3"/>
      <c r="YD579" s="3"/>
      <c r="YE579" s="3"/>
      <c r="YF579" s="3"/>
      <c r="YG579" s="3"/>
      <c r="YH579" s="3"/>
      <c r="YI579" s="3"/>
      <c r="YJ579" s="3"/>
      <c r="YK579" s="3"/>
      <c r="YL579" s="3"/>
      <c r="YM579" s="3"/>
      <c r="YN579" s="3"/>
      <c r="YO579" s="3"/>
      <c r="YP579" s="3"/>
      <c r="YQ579" s="3"/>
      <c r="YR579" s="3"/>
      <c r="YS579" s="3"/>
      <c r="YT579" s="3"/>
      <c r="YU579" s="3"/>
      <c r="YV579" s="3"/>
      <c r="YW579" s="3"/>
      <c r="YX579" s="3"/>
      <c r="YY579" s="3"/>
      <c r="YZ579" s="3"/>
      <c r="ZA579" s="3"/>
      <c r="ZB579" s="3"/>
      <c r="ZC579" s="3"/>
      <c r="ZD579" s="3"/>
      <c r="ZE579" s="3"/>
      <c r="ZF579" s="3"/>
      <c r="ZG579" s="3"/>
      <c r="ZH579" s="3"/>
      <c r="ZI579" s="3"/>
      <c r="ZJ579" s="3"/>
      <c r="ZK579" s="3"/>
      <c r="ZL579" s="3"/>
      <c r="ZM579" s="3"/>
      <c r="ZN579" s="3"/>
      <c r="ZO579" s="3"/>
      <c r="ZP579" s="3"/>
      <c r="ZQ579" s="3"/>
      <c r="ZR579" s="3"/>
      <c r="ZS579" s="3"/>
      <c r="ZT579" s="3"/>
      <c r="ZU579" s="3"/>
      <c r="ZV579" s="3"/>
      <c r="ZW579" s="3"/>
      <c r="ZX579" s="3"/>
      <c r="ZY579" s="3"/>
      <c r="ZZ579" s="3"/>
      <c r="AAA579" s="3"/>
      <c r="AAB579" s="3"/>
      <c r="AAC579" s="3"/>
      <c r="AAD579" s="3"/>
      <c r="AAE579" s="3"/>
      <c r="AAF579" s="3"/>
      <c r="AAG579" s="3"/>
      <c r="AAH579" s="3"/>
      <c r="AAI579" s="3"/>
      <c r="AAJ579" s="3"/>
      <c r="AAK579" s="3"/>
      <c r="AAL579" s="3"/>
      <c r="AAM579" s="3"/>
      <c r="AAN579" s="3"/>
      <c r="AAO579" s="3"/>
      <c r="AAP579" s="3"/>
      <c r="AAQ579" s="3"/>
      <c r="AAR579" s="3"/>
      <c r="AAS579" s="3"/>
      <c r="AAT579" s="3"/>
      <c r="AAU579" s="3"/>
      <c r="AAV579" s="3"/>
      <c r="AAW579" s="3"/>
      <c r="AAX579" s="3"/>
      <c r="AAY579" s="3"/>
      <c r="AAZ579" s="3"/>
      <c r="ABA579" s="3"/>
      <c r="ABB579" s="3"/>
      <c r="ABC579" s="3"/>
      <c r="ABD579" s="3"/>
      <c r="ABE579" s="3"/>
      <c r="ABF579" s="3"/>
      <c r="ABG579" s="3"/>
      <c r="ABH579" s="3"/>
      <c r="ABI579" s="3"/>
      <c r="ABJ579" s="3"/>
      <c r="ABK579" s="3"/>
      <c r="ABL579" s="3"/>
      <c r="ABM579" s="3"/>
      <c r="ABN579" s="3"/>
      <c r="ABO579" s="3"/>
      <c r="ABP579" s="3"/>
      <c r="ABQ579" s="3"/>
      <c r="ABR579" s="3"/>
      <c r="ABS579" s="3"/>
      <c r="ABT579" s="3"/>
      <c r="ABU579" s="3"/>
      <c r="ABV579" s="3"/>
      <c r="ABW579" s="3"/>
      <c r="ABX579" s="3"/>
      <c r="ABY579" s="3"/>
      <c r="ABZ579" s="3"/>
      <c r="ACA579" s="3"/>
      <c r="ACB579" s="3"/>
      <c r="ACC579" s="3"/>
      <c r="ACD579" s="3"/>
      <c r="ACE579" s="3"/>
      <c r="ACF579" s="3"/>
      <c r="ACG579" s="3"/>
      <c r="ACH579" s="3"/>
      <c r="ACI579" s="3"/>
      <c r="ACJ579" s="3"/>
      <c r="ACK579" s="3"/>
      <c r="ACL579" s="3"/>
      <c r="ACM579" s="3"/>
      <c r="ACN579" s="3"/>
      <c r="ACO579" s="3"/>
      <c r="ACP579" s="3"/>
      <c r="ACQ579" s="3"/>
      <c r="ACR579" s="3"/>
      <c r="ACS579" s="3"/>
      <c r="ACT579" s="3"/>
      <c r="ACU579" s="3"/>
      <c r="ACV579" s="3"/>
      <c r="ACW579" s="3"/>
      <c r="ACX579" s="3"/>
      <c r="ACY579" s="3"/>
      <c r="ACZ579" s="3"/>
      <c r="ADA579" s="3"/>
      <c r="ADB579" s="3"/>
      <c r="ADC579" s="3"/>
      <c r="ADD579" s="3"/>
      <c r="ADE579" s="3"/>
      <c r="ADF579" s="3"/>
      <c r="ADG579" s="3"/>
      <c r="ADH579" s="3"/>
      <c r="ADI579" s="3"/>
      <c r="ADJ579" s="3"/>
      <c r="ADK579" s="3"/>
      <c r="ADL579" s="3"/>
      <c r="ADM579" s="3"/>
      <c r="ADN579" s="3"/>
      <c r="ADO579" s="3"/>
      <c r="ADP579" s="3"/>
      <c r="ADQ579" s="3"/>
      <c r="ADR579" s="3"/>
      <c r="ADS579" s="3"/>
      <c r="ADT579" s="3"/>
      <c r="ADU579" s="3"/>
      <c r="ADV579" s="3"/>
      <c r="ADW579" s="3"/>
      <c r="ADX579" s="3"/>
      <c r="ADY579" s="3"/>
      <c r="ADZ579" s="3"/>
      <c r="AEA579" s="3"/>
      <c r="AEB579" s="3"/>
      <c r="AEC579" s="3"/>
      <c r="AED579" s="3"/>
      <c r="AEE579" s="3"/>
      <c r="AEF579" s="3"/>
      <c r="AEG579" s="3"/>
      <c r="AEH579" s="3"/>
      <c r="AEI579" s="3"/>
      <c r="AEJ579" s="3"/>
      <c r="AEK579" s="3"/>
      <c r="AEL579" s="3"/>
      <c r="AEM579" s="3"/>
      <c r="AEN579" s="3"/>
      <c r="AEO579" s="3"/>
      <c r="AEP579" s="3"/>
      <c r="AEQ579" s="3"/>
      <c r="AER579" s="3"/>
      <c r="AES579" s="3"/>
      <c r="AET579" s="3"/>
      <c r="AEU579" s="3"/>
      <c r="AEV579" s="3"/>
      <c r="AEW579" s="3"/>
      <c r="AEX579" s="3"/>
      <c r="AEY579" s="3"/>
      <c r="AEZ579" s="3"/>
      <c r="AFA579" s="3"/>
      <c r="AFB579" s="3"/>
      <c r="AFC579" s="3"/>
      <c r="AFD579" s="3"/>
      <c r="AFE579" s="3"/>
      <c r="AFF579" s="3"/>
      <c r="AFG579" s="3"/>
      <c r="AFH579" s="3"/>
      <c r="AFI579" s="3"/>
      <c r="AFJ579" s="3"/>
      <c r="AFK579" s="3"/>
      <c r="AFL579" s="3"/>
      <c r="AFM579" s="3"/>
      <c r="AFN579" s="3"/>
      <c r="AFO579" s="3"/>
      <c r="AFP579" s="3"/>
      <c r="AFQ579" s="3"/>
      <c r="AFR579" s="3"/>
      <c r="AFS579" s="3"/>
      <c r="AFT579" s="3"/>
      <c r="AFU579" s="3"/>
      <c r="AFV579" s="3"/>
      <c r="AFW579" s="3"/>
      <c r="AFX579" s="3"/>
      <c r="AFY579" s="3"/>
      <c r="AFZ579" s="3"/>
      <c r="AGA579" s="3"/>
      <c r="AGB579" s="3"/>
      <c r="AGC579" s="3"/>
      <c r="AGD579" s="3"/>
      <c r="AGE579" s="3"/>
      <c r="AGF579" s="3"/>
      <c r="AGG579" s="3"/>
      <c r="AGH579" s="3"/>
      <c r="AGI579" s="3"/>
      <c r="AGJ579" s="3"/>
      <c r="AGK579" s="3"/>
      <c r="AGL579" s="3"/>
      <c r="AGM579" s="3"/>
      <c r="AGN579" s="3"/>
      <c r="AGO579" s="3"/>
      <c r="AGP579" s="3"/>
      <c r="AGQ579" s="3"/>
      <c r="AGR579" s="3"/>
      <c r="AGS579" s="3"/>
      <c r="AGT579" s="3"/>
      <c r="AGU579" s="3"/>
      <c r="AGV579" s="3"/>
      <c r="AGW579" s="3"/>
      <c r="AGX579" s="3"/>
      <c r="AGY579" s="3"/>
      <c r="AGZ579" s="3"/>
      <c r="AHA579" s="3"/>
      <c r="AHB579" s="3"/>
      <c r="AHC579" s="3"/>
      <c r="AHD579" s="3"/>
      <c r="AHE579" s="3"/>
      <c r="AHF579" s="3"/>
      <c r="AHG579" s="3"/>
      <c r="AHH579" s="3"/>
      <c r="AHI579" s="3"/>
      <c r="AHJ579" s="3"/>
      <c r="AHK579" s="3"/>
      <c r="AHL579" s="3"/>
      <c r="AHM579" s="3"/>
      <c r="AHN579" s="3"/>
      <c r="AHO579" s="3"/>
      <c r="AHP579" s="3"/>
      <c r="AHQ579" s="3"/>
      <c r="AHR579" s="3"/>
      <c r="AHS579" s="3"/>
      <c r="AHT579" s="3"/>
      <c r="AHU579" s="3"/>
      <c r="AHV579" s="3"/>
      <c r="AHW579" s="3"/>
      <c r="AHX579" s="3"/>
      <c r="AHY579" s="3"/>
      <c r="AHZ579" s="3"/>
      <c r="AIA579" s="3"/>
      <c r="AIB579" s="3"/>
      <c r="AIC579" s="3"/>
      <c r="AID579" s="3"/>
      <c r="AIE579" s="3"/>
      <c r="AIF579" s="3"/>
      <c r="AIG579" s="3"/>
      <c r="AIH579" s="3"/>
      <c r="AII579" s="3"/>
      <c r="AIJ579" s="3"/>
      <c r="AIK579" s="3"/>
      <c r="AIL579" s="3"/>
      <c r="AIM579" s="3"/>
      <c r="AIN579" s="3"/>
      <c r="AIO579" s="3"/>
      <c r="AIP579" s="3"/>
      <c r="AIQ579" s="3"/>
      <c r="AIR579" s="3"/>
      <c r="AIS579" s="3"/>
      <c r="AIT579" s="3"/>
      <c r="AIU579" s="3"/>
      <c r="AIV579" s="3"/>
      <c r="AIW579" s="3"/>
      <c r="AIX579" s="3"/>
      <c r="AIY579" s="3"/>
      <c r="AIZ579" s="3"/>
      <c r="AJA579" s="3"/>
      <c r="AJB579" s="3"/>
      <c r="AJC579" s="3"/>
      <c r="AJD579" s="3"/>
      <c r="AJE579" s="3"/>
      <c r="AJF579" s="3"/>
      <c r="AJG579" s="3"/>
      <c r="AJH579" s="3"/>
      <c r="AJI579" s="3"/>
      <c r="AJJ579" s="3"/>
      <c r="AJK579" s="3"/>
      <c r="AJL579" s="3"/>
      <c r="AJM579" s="3"/>
      <c r="AJN579" s="3"/>
      <c r="AJO579" s="3"/>
      <c r="AJP579" s="3"/>
      <c r="AJQ579" s="3"/>
      <c r="AJR579" s="3"/>
      <c r="AJS579" s="3"/>
      <c r="AJT579" s="3"/>
      <c r="AJU579" s="3"/>
      <c r="AJV579" s="3"/>
      <c r="AJW579" s="3"/>
      <c r="AJX579" s="3"/>
      <c r="AJY579" s="3"/>
      <c r="AJZ579" s="3"/>
      <c r="AKA579" s="3"/>
      <c r="AKB579" s="3"/>
      <c r="AKC579" s="3"/>
      <c r="AKD579" s="3"/>
      <c r="AKE579" s="3"/>
      <c r="AKF579" s="3"/>
      <c r="AKG579" s="3"/>
      <c r="AKH579" s="3"/>
      <c r="AKI579" s="3"/>
      <c r="AKJ579" s="3"/>
      <c r="AKK579" s="3"/>
      <c r="AKL579" s="3"/>
      <c r="AKM579" s="3"/>
      <c r="AKN579" s="3"/>
      <c r="AKO579" s="3"/>
      <c r="AKP579" s="3"/>
      <c r="AKQ579" s="3"/>
      <c r="AKR579" s="3"/>
      <c r="AKS579" s="3"/>
      <c r="AKT579" s="3"/>
      <c r="AKU579" s="3"/>
      <c r="AKV579" s="3"/>
      <c r="AKW579" s="3"/>
      <c r="AKX579" s="3"/>
      <c r="AKY579" s="3"/>
      <c r="AKZ579" s="3"/>
      <c r="ALA579" s="3"/>
      <c r="ALB579" s="3"/>
      <c r="ALC579" s="3"/>
      <c r="ALD579" s="3"/>
      <c r="ALE579" s="3"/>
      <c r="ALF579" s="3"/>
      <c r="ALG579" s="3"/>
      <c r="ALH579" s="3"/>
      <c r="ALI579" s="3"/>
      <c r="ALJ579" s="3"/>
      <c r="ALK579" s="3"/>
      <c r="ALL579" s="3"/>
      <c r="ALM579" s="3"/>
      <c r="ALN579" s="3"/>
      <c r="ALO579" s="3"/>
      <c r="ALP579" s="3"/>
      <c r="ALQ579" s="3"/>
      <c r="ALR579" s="3"/>
      <c r="ALS579" s="3"/>
      <c r="ALT579" s="3"/>
      <c r="ALU579" s="3"/>
      <c r="ALV579" s="3"/>
      <c r="ALW579" s="3"/>
      <c r="ALX579" s="3"/>
      <c r="ALY579" s="3"/>
      <c r="ALZ579" s="3"/>
      <c r="AMA579" s="3"/>
      <c r="AMB579" s="3"/>
      <c r="AMC579" s="3"/>
      <c r="AMD579" s="3"/>
      <c r="AME579" s="3"/>
      <c r="AMF579" s="3"/>
      <c r="AMG579" s="3"/>
      <c r="AMH579" s="3"/>
      <c r="AMI579" s="3"/>
      <c r="AMJ579" s="3"/>
      <c r="AMK579" s="3"/>
      <c r="AML579" s="3"/>
      <c r="AMM579" s="3"/>
    </row>
    <row r="580" spans="1:1027" ht="15" customHeight="1">
      <c r="A580" s="12">
        <v>227</v>
      </c>
      <c r="B580" s="13" t="s">
        <v>974</v>
      </c>
      <c r="C580" s="14"/>
      <c r="D580" s="14" t="s">
        <v>973</v>
      </c>
      <c r="E580" s="14" t="s">
        <v>21</v>
      </c>
      <c r="F580" s="15" t="s">
        <v>22</v>
      </c>
      <c r="G580" s="14"/>
      <c r="H580" s="58"/>
      <c r="I580" s="14"/>
      <c r="J580" s="14" t="s">
        <v>23</v>
      </c>
      <c r="K580" s="14"/>
      <c r="L580" s="14"/>
      <c r="M580" s="14" t="s">
        <v>689</v>
      </c>
      <c r="N580" s="25" t="s">
        <v>289</v>
      </c>
      <c r="O580" s="14" t="s">
        <v>221</v>
      </c>
      <c r="P580" s="14"/>
      <c r="Q580" s="14"/>
      <c r="R580" s="14" t="s">
        <v>654</v>
      </c>
    </row>
    <row r="581" spans="1:1027" ht="15" customHeight="1">
      <c r="A581" s="12">
        <v>1003</v>
      </c>
      <c r="B581" s="13" t="s">
        <v>975</v>
      </c>
      <c r="C581" s="14"/>
      <c r="D581" s="14" t="s">
        <v>973</v>
      </c>
      <c r="E581" s="14" t="s">
        <v>21</v>
      </c>
      <c r="F581" s="15" t="s">
        <v>22</v>
      </c>
      <c r="G581" s="21"/>
      <c r="H581" s="58">
        <v>1</v>
      </c>
      <c r="I581" s="14"/>
      <c r="J581" s="14" t="s">
        <v>23</v>
      </c>
      <c r="K581" s="14"/>
      <c r="L581" s="14"/>
      <c r="M581" s="14" t="s">
        <v>29</v>
      </c>
      <c r="N581" s="25" t="s">
        <v>37</v>
      </c>
      <c r="O581" s="14" t="s">
        <v>976</v>
      </c>
      <c r="P581" s="14"/>
      <c r="Q581" s="14"/>
      <c r="R581" s="14" t="s">
        <v>851</v>
      </c>
    </row>
    <row r="582" spans="1:1027" ht="15" customHeight="1">
      <c r="A582" s="12">
        <v>1792</v>
      </c>
      <c r="B582" s="13" t="s">
        <v>977</v>
      </c>
      <c r="C582" s="14"/>
      <c r="D582" s="14" t="s">
        <v>973</v>
      </c>
      <c r="E582" s="14" t="s">
        <v>21</v>
      </c>
      <c r="F582" s="15" t="s">
        <v>22</v>
      </c>
      <c r="G582" s="14"/>
      <c r="H582" s="58">
        <v>2</v>
      </c>
      <c r="I582" s="14"/>
      <c r="J582" s="14" t="s">
        <v>23</v>
      </c>
      <c r="K582" s="14"/>
      <c r="L582" s="14"/>
      <c r="M582" s="14" t="s">
        <v>32</v>
      </c>
      <c r="N582" s="25" t="s">
        <v>37</v>
      </c>
      <c r="O582" s="14" t="s">
        <v>978</v>
      </c>
      <c r="P582" s="14"/>
      <c r="Q582" s="14"/>
      <c r="R582" s="14" t="s">
        <v>308</v>
      </c>
    </row>
    <row r="583" spans="1:1027" ht="15" customHeight="1">
      <c r="A583" s="12">
        <v>228</v>
      </c>
      <c r="B583" s="13" t="s">
        <v>979</v>
      </c>
      <c r="C583" s="14"/>
      <c r="D583" s="14" t="s">
        <v>980</v>
      </c>
      <c r="E583" s="14" t="s">
        <v>21</v>
      </c>
      <c r="F583" s="15" t="s">
        <v>22</v>
      </c>
      <c r="G583" s="14"/>
      <c r="H583" s="58"/>
      <c r="I583" s="14"/>
      <c r="J583" s="14" t="s">
        <v>23</v>
      </c>
      <c r="K583" s="14"/>
      <c r="L583" s="14"/>
      <c r="M583" s="14" t="s">
        <v>689</v>
      </c>
      <c r="N583" s="22" t="s">
        <v>25</v>
      </c>
      <c r="O583" s="14"/>
      <c r="P583" s="14"/>
      <c r="Q583" s="14"/>
      <c r="R583" s="14" t="s">
        <v>654</v>
      </c>
    </row>
    <row r="584" spans="1:1027" ht="15" customHeight="1">
      <c r="A584" s="12">
        <v>1004</v>
      </c>
      <c r="B584" s="13" t="s">
        <v>981</v>
      </c>
      <c r="C584" s="14"/>
      <c r="D584" s="14" t="s">
        <v>980</v>
      </c>
      <c r="E584" s="14" t="s">
        <v>21</v>
      </c>
      <c r="F584" s="15" t="s">
        <v>22</v>
      </c>
      <c r="G584" s="21"/>
      <c r="H584" s="58">
        <v>2</v>
      </c>
      <c r="I584" s="14"/>
      <c r="J584" s="14" t="s">
        <v>23</v>
      </c>
      <c r="K584" s="14"/>
      <c r="L584" s="14"/>
      <c r="M584" s="14" t="s">
        <v>29</v>
      </c>
      <c r="N584" s="14" t="s">
        <v>25</v>
      </c>
      <c r="O584" s="14"/>
      <c r="P584" s="14"/>
      <c r="Q584" s="14"/>
      <c r="R584" s="14" t="s">
        <v>851</v>
      </c>
    </row>
    <row r="585" spans="1:1027" ht="15" customHeight="1">
      <c r="A585" s="12">
        <v>1793</v>
      </c>
      <c r="B585" s="13" t="s">
        <v>982</v>
      </c>
      <c r="C585" s="14"/>
      <c r="D585" s="14" t="s">
        <v>980</v>
      </c>
      <c r="E585" s="14" t="s">
        <v>21</v>
      </c>
      <c r="F585" s="15" t="s">
        <v>22</v>
      </c>
      <c r="G585" s="14"/>
      <c r="H585" s="58">
        <v>0</v>
      </c>
      <c r="I585" s="14"/>
      <c r="J585" s="14" t="s">
        <v>23</v>
      </c>
      <c r="K585" s="14"/>
      <c r="L585" s="14"/>
      <c r="M585" s="14" t="s">
        <v>32</v>
      </c>
      <c r="N585" s="14" t="s">
        <v>25</v>
      </c>
      <c r="O585" s="14"/>
      <c r="P585" s="14"/>
      <c r="Q585" s="14"/>
      <c r="R585" s="14" t="s">
        <v>308</v>
      </c>
    </row>
    <row r="586" spans="1:1027" ht="15" customHeight="1">
      <c r="A586" s="12">
        <v>32</v>
      </c>
      <c r="B586" s="13" t="s">
        <v>983</v>
      </c>
      <c r="C586" s="14"/>
      <c r="D586" s="14" t="s">
        <v>984</v>
      </c>
      <c r="E586" s="14" t="s">
        <v>137</v>
      </c>
      <c r="F586" s="15" t="s">
        <v>22</v>
      </c>
      <c r="G586" s="14"/>
      <c r="H586" s="58"/>
      <c r="I586" s="14"/>
      <c r="J586" s="14" t="s">
        <v>23</v>
      </c>
      <c r="K586" s="15"/>
      <c r="L586" s="15"/>
      <c r="M586" s="14" t="s">
        <v>24</v>
      </c>
      <c r="N586" s="14" t="s">
        <v>25</v>
      </c>
      <c r="O586" s="14"/>
      <c r="P586" s="14"/>
      <c r="Q586" s="14"/>
      <c r="R586" s="17">
        <v>43599</v>
      </c>
      <c r="S586" s="12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/>
      <c r="WN586" s="3"/>
      <c r="WO586" s="3"/>
      <c r="WP586" s="3"/>
      <c r="WQ586" s="3"/>
      <c r="WR586" s="3"/>
      <c r="WS586" s="3"/>
      <c r="WT586" s="3"/>
      <c r="WU586" s="3"/>
      <c r="WV586" s="3"/>
      <c r="WW586" s="3"/>
      <c r="WX586" s="3"/>
      <c r="WY586" s="3"/>
      <c r="WZ586" s="3"/>
      <c r="XA586" s="3"/>
      <c r="XB586" s="3"/>
      <c r="XC586" s="3"/>
      <c r="XD586" s="3"/>
      <c r="XE586" s="3"/>
      <c r="XF586" s="3"/>
      <c r="XG586" s="3"/>
      <c r="XH586" s="3"/>
      <c r="XI586" s="3"/>
      <c r="XJ586" s="3"/>
      <c r="XK586" s="3"/>
      <c r="XL586" s="3"/>
      <c r="XM586" s="3"/>
      <c r="XN586" s="3"/>
      <c r="XO586" s="3"/>
      <c r="XP586" s="3"/>
      <c r="XQ586" s="3"/>
      <c r="XR586" s="3"/>
      <c r="XS586" s="3"/>
      <c r="XT586" s="3"/>
      <c r="XU586" s="3"/>
      <c r="XV586" s="3"/>
      <c r="XW586" s="3"/>
      <c r="XX586" s="3"/>
      <c r="XY586" s="3"/>
      <c r="XZ586" s="3"/>
      <c r="YA586" s="3"/>
      <c r="YB586" s="3"/>
      <c r="YC586" s="3"/>
      <c r="YD586" s="3"/>
      <c r="YE586" s="3"/>
      <c r="YF586" s="3"/>
      <c r="YG586" s="3"/>
      <c r="YH586" s="3"/>
      <c r="YI586" s="3"/>
      <c r="YJ586" s="3"/>
      <c r="YK586" s="3"/>
      <c r="YL586" s="3"/>
      <c r="YM586" s="3"/>
      <c r="YN586" s="3"/>
      <c r="YO586" s="3"/>
      <c r="YP586" s="3"/>
      <c r="YQ586" s="3"/>
      <c r="YR586" s="3"/>
      <c r="YS586" s="3"/>
      <c r="YT586" s="3"/>
      <c r="YU586" s="3"/>
      <c r="YV586" s="3"/>
      <c r="YW586" s="3"/>
      <c r="YX586" s="3"/>
      <c r="YY586" s="3"/>
      <c r="YZ586" s="3"/>
      <c r="ZA586" s="3"/>
      <c r="ZB586" s="3"/>
      <c r="ZC586" s="3"/>
      <c r="ZD586" s="3"/>
      <c r="ZE586" s="3"/>
      <c r="ZF586" s="3"/>
      <c r="ZG586" s="3"/>
      <c r="ZH586" s="3"/>
      <c r="ZI586" s="3"/>
      <c r="ZJ586" s="3"/>
      <c r="ZK586" s="3"/>
      <c r="ZL586" s="3"/>
      <c r="ZM586" s="3"/>
      <c r="ZN586" s="3"/>
      <c r="ZO586" s="3"/>
      <c r="ZP586" s="3"/>
      <c r="ZQ586" s="3"/>
      <c r="ZR586" s="3"/>
      <c r="ZS586" s="3"/>
      <c r="ZT586" s="3"/>
      <c r="ZU586" s="3"/>
      <c r="ZV586" s="3"/>
      <c r="ZW586" s="3"/>
      <c r="ZX586" s="3"/>
      <c r="ZY586" s="3"/>
      <c r="ZZ586" s="3"/>
      <c r="AAA586" s="3"/>
      <c r="AAB586" s="3"/>
      <c r="AAC586" s="3"/>
      <c r="AAD586" s="3"/>
      <c r="AAE586" s="3"/>
      <c r="AAF586" s="3"/>
      <c r="AAG586" s="3"/>
      <c r="AAH586" s="3"/>
      <c r="AAI586" s="3"/>
      <c r="AAJ586" s="3"/>
      <c r="AAK586" s="3"/>
      <c r="AAL586" s="3"/>
      <c r="AAM586" s="3"/>
      <c r="AAN586" s="3"/>
      <c r="AAO586" s="3"/>
      <c r="AAP586" s="3"/>
      <c r="AAQ586" s="3"/>
      <c r="AAR586" s="3"/>
      <c r="AAS586" s="3"/>
      <c r="AAT586" s="3"/>
      <c r="AAU586" s="3"/>
      <c r="AAV586" s="3"/>
      <c r="AAW586" s="3"/>
      <c r="AAX586" s="3"/>
      <c r="AAY586" s="3"/>
      <c r="AAZ586" s="3"/>
      <c r="ABA586" s="3"/>
      <c r="ABB586" s="3"/>
      <c r="ABC586" s="3"/>
      <c r="ABD586" s="3"/>
      <c r="ABE586" s="3"/>
      <c r="ABF586" s="3"/>
      <c r="ABG586" s="3"/>
      <c r="ABH586" s="3"/>
      <c r="ABI586" s="3"/>
      <c r="ABJ586" s="3"/>
      <c r="ABK586" s="3"/>
      <c r="ABL586" s="3"/>
      <c r="ABM586" s="3"/>
      <c r="ABN586" s="3"/>
      <c r="ABO586" s="3"/>
      <c r="ABP586" s="3"/>
      <c r="ABQ586" s="3"/>
      <c r="ABR586" s="3"/>
      <c r="ABS586" s="3"/>
      <c r="ABT586" s="3"/>
      <c r="ABU586" s="3"/>
      <c r="ABV586" s="3"/>
      <c r="ABW586" s="3"/>
      <c r="ABX586" s="3"/>
      <c r="ABY586" s="3"/>
      <c r="ABZ586" s="3"/>
      <c r="ACA586" s="3"/>
      <c r="ACB586" s="3"/>
      <c r="ACC586" s="3"/>
      <c r="ACD586" s="3"/>
      <c r="ACE586" s="3"/>
      <c r="ACF586" s="3"/>
      <c r="ACG586" s="3"/>
      <c r="ACH586" s="3"/>
      <c r="ACI586" s="3"/>
      <c r="ACJ586" s="3"/>
      <c r="ACK586" s="3"/>
      <c r="ACL586" s="3"/>
      <c r="ACM586" s="3"/>
      <c r="ACN586" s="3"/>
      <c r="ACO586" s="3"/>
      <c r="ACP586" s="3"/>
      <c r="ACQ586" s="3"/>
      <c r="ACR586" s="3"/>
      <c r="ACS586" s="3"/>
      <c r="ACT586" s="3"/>
      <c r="ACU586" s="3"/>
      <c r="ACV586" s="3"/>
      <c r="ACW586" s="3"/>
      <c r="ACX586" s="3"/>
      <c r="ACY586" s="3"/>
      <c r="ACZ586" s="3"/>
      <c r="ADA586" s="3"/>
      <c r="ADB586" s="3"/>
      <c r="ADC586" s="3"/>
      <c r="ADD586" s="3"/>
      <c r="ADE586" s="3"/>
      <c r="ADF586" s="3"/>
      <c r="ADG586" s="3"/>
      <c r="ADH586" s="3"/>
      <c r="ADI586" s="3"/>
      <c r="ADJ586" s="3"/>
      <c r="ADK586" s="3"/>
      <c r="ADL586" s="3"/>
      <c r="ADM586" s="3"/>
      <c r="ADN586" s="3"/>
      <c r="ADO586" s="3"/>
      <c r="ADP586" s="3"/>
      <c r="ADQ586" s="3"/>
      <c r="ADR586" s="3"/>
      <c r="ADS586" s="3"/>
      <c r="ADT586" s="3"/>
      <c r="ADU586" s="3"/>
      <c r="ADV586" s="3"/>
      <c r="ADW586" s="3"/>
      <c r="ADX586" s="3"/>
      <c r="ADY586" s="3"/>
      <c r="ADZ586" s="3"/>
      <c r="AEA586" s="3"/>
      <c r="AEB586" s="3"/>
      <c r="AEC586" s="3"/>
      <c r="AED586" s="3"/>
      <c r="AEE586" s="3"/>
      <c r="AEF586" s="3"/>
      <c r="AEG586" s="3"/>
      <c r="AEH586" s="3"/>
      <c r="AEI586" s="3"/>
      <c r="AEJ586" s="3"/>
      <c r="AEK586" s="3"/>
      <c r="AEL586" s="3"/>
      <c r="AEM586" s="3"/>
      <c r="AEN586" s="3"/>
      <c r="AEO586" s="3"/>
      <c r="AEP586" s="3"/>
      <c r="AEQ586" s="3"/>
      <c r="AER586" s="3"/>
      <c r="AES586" s="3"/>
      <c r="AET586" s="3"/>
      <c r="AEU586" s="3"/>
      <c r="AEV586" s="3"/>
      <c r="AEW586" s="3"/>
      <c r="AEX586" s="3"/>
      <c r="AEY586" s="3"/>
      <c r="AEZ586" s="3"/>
      <c r="AFA586" s="3"/>
      <c r="AFB586" s="3"/>
      <c r="AFC586" s="3"/>
      <c r="AFD586" s="3"/>
      <c r="AFE586" s="3"/>
      <c r="AFF586" s="3"/>
      <c r="AFG586" s="3"/>
      <c r="AFH586" s="3"/>
      <c r="AFI586" s="3"/>
      <c r="AFJ586" s="3"/>
      <c r="AFK586" s="3"/>
      <c r="AFL586" s="3"/>
      <c r="AFM586" s="3"/>
      <c r="AFN586" s="3"/>
      <c r="AFO586" s="3"/>
      <c r="AFP586" s="3"/>
      <c r="AFQ586" s="3"/>
      <c r="AFR586" s="3"/>
      <c r="AFS586" s="3"/>
      <c r="AFT586" s="3"/>
      <c r="AFU586" s="3"/>
      <c r="AFV586" s="3"/>
      <c r="AFW586" s="3"/>
      <c r="AFX586" s="3"/>
      <c r="AFY586" s="3"/>
      <c r="AFZ586" s="3"/>
      <c r="AGA586" s="3"/>
      <c r="AGB586" s="3"/>
      <c r="AGC586" s="3"/>
      <c r="AGD586" s="3"/>
      <c r="AGE586" s="3"/>
      <c r="AGF586" s="3"/>
      <c r="AGG586" s="3"/>
      <c r="AGH586" s="3"/>
      <c r="AGI586" s="3"/>
      <c r="AGJ586" s="3"/>
      <c r="AGK586" s="3"/>
      <c r="AGL586" s="3"/>
      <c r="AGM586" s="3"/>
      <c r="AGN586" s="3"/>
      <c r="AGO586" s="3"/>
      <c r="AGP586" s="3"/>
      <c r="AGQ586" s="3"/>
      <c r="AGR586" s="3"/>
      <c r="AGS586" s="3"/>
      <c r="AGT586" s="3"/>
      <c r="AGU586" s="3"/>
      <c r="AGV586" s="3"/>
      <c r="AGW586" s="3"/>
      <c r="AGX586" s="3"/>
      <c r="AGY586" s="3"/>
      <c r="AGZ586" s="3"/>
      <c r="AHA586" s="3"/>
      <c r="AHB586" s="3"/>
      <c r="AHC586" s="3"/>
      <c r="AHD586" s="3"/>
      <c r="AHE586" s="3"/>
      <c r="AHF586" s="3"/>
      <c r="AHG586" s="3"/>
      <c r="AHH586" s="3"/>
      <c r="AHI586" s="3"/>
      <c r="AHJ586" s="3"/>
      <c r="AHK586" s="3"/>
      <c r="AHL586" s="3"/>
      <c r="AHM586" s="3"/>
      <c r="AHN586" s="3"/>
      <c r="AHO586" s="3"/>
      <c r="AHP586" s="3"/>
      <c r="AHQ586" s="3"/>
      <c r="AHR586" s="3"/>
      <c r="AHS586" s="3"/>
      <c r="AHT586" s="3"/>
      <c r="AHU586" s="3"/>
      <c r="AHV586" s="3"/>
      <c r="AHW586" s="3"/>
      <c r="AHX586" s="3"/>
      <c r="AHY586" s="3"/>
      <c r="AHZ586" s="3"/>
      <c r="AIA586" s="3"/>
      <c r="AIB586" s="3"/>
      <c r="AIC586" s="3"/>
      <c r="AID586" s="3"/>
      <c r="AIE586" s="3"/>
      <c r="AIF586" s="3"/>
      <c r="AIG586" s="3"/>
      <c r="AIH586" s="3"/>
      <c r="AII586" s="3"/>
      <c r="AIJ586" s="3"/>
      <c r="AIK586" s="3"/>
      <c r="AIL586" s="3"/>
      <c r="AIM586" s="3"/>
      <c r="AIN586" s="3"/>
      <c r="AIO586" s="3"/>
      <c r="AIP586" s="3"/>
      <c r="AIQ586" s="3"/>
      <c r="AIR586" s="3"/>
      <c r="AIS586" s="3"/>
      <c r="AIT586" s="3"/>
      <c r="AIU586" s="3"/>
      <c r="AIV586" s="3"/>
      <c r="AIW586" s="3"/>
      <c r="AIX586" s="3"/>
      <c r="AIY586" s="3"/>
      <c r="AIZ586" s="3"/>
      <c r="AJA586" s="3"/>
      <c r="AJB586" s="3"/>
      <c r="AJC586" s="3"/>
      <c r="AJD586" s="3"/>
      <c r="AJE586" s="3"/>
      <c r="AJF586" s="3"/>
      <c r="AJG586" s="3"/>
      <c r="AJH586" s="3"/>
      <c r="AJI586" s="3"/>
      <c r="AJJ586" s="3"/>
      <c r="AJK586" s="3"/>
      <c r="AJL586" s="3"/>
      <c r="AJM586" s="3"/>
      <c r="AJN586" s="3"/>
      <c r="AJO586" s="3"/>
      <c r="AJP586" s="3"/>
      <c r="AJQ586" s="3"/>
      <c r="AJR586" s="3"/>
      <c r="AJS586" s="3"/>
      <c r="AJT586" s="3"/>
      <c r="AJU586" s="3"/>
      <c r="AJV586" s="3"/>
      <c r="AJW586" s="3"/>
      <c r="AJX586" s="3"/>
      <c r="AJY586" s="3"/>
      <c r="AJZ586" s="3"/>
      <c r="AKA586" s="3"/>
      <c r="AKB586" s="3"/>
      <c r="AKC586" s="3"/>
      <c r="AKD586" s="3"/>
      <c r="AKE586" s="3"/>
      <c r="AKF586" s="3"/>
      <c r="AKG586" s="3"/>
      <c r="AKH586" s="3"/>
      <c r="AKI586" s="3"/>
      <c r="AKJ586" s="3"/>
      <c r="AKK586" s="3"/>
      <c r="AKL586" s="3"/>
      <c r="AKM586" s="3"/>
      <c r="AKN586" s="3"/>
      <c r="AKO586" s="3"/>
      <c r="AKP586" s="3"/>
      <c r="AKQ586" s="3"/>
      <c r="AKR586" s="3"/>
      <c r="AKS586" s="3"/>
      <c r="AKT586" s="3"/>
      <c r="AKU586" s="3"/>
      <c r="AKV586" s="3"/>
      <c r="AKW586" s="3"/>
      <c r="AKX586" s="3"/>
      <c r="AKY586" s="3"/>
      <c r="AKZ586" s="3"/>
      <c r="ALA586" s="3"/>
      <c r="ALB586" s="3"/>
      <c r="ALC586" s="3"/>
      <c r="ALD586" s="3"/>
      <c r="ALE586" s="3"/>
      <c r="ALF586" s="3"/>
      <c r="ALG586" s="3"/>
      <c r="ALH586" s="3"/>
      <c r="ALI586" s="3"/>
      <c r="ALJ586" s="3"/>
      <c r="ALK586" s="3"/>
      <c r="ALL586" s="3"/>
      <c r="ALM586" s="3"/>
      <c r="ALN586" s="3"/>
      <c r="ALO586" s="3"/>
      <c r="ALP586" s="3"/>
      <c r="ALQ586" s="3"/>
      <c r="ALR586" s="3"/>
      <c r="ALS586" s="3"/>
      <c r="ALT586" s="3"/>
      <c r="ALU586" s="3"/>
      <c r="ALV586" s="3"/>
      <c r="ALW586" s="3"/>
      <c r="ALX586" s="3"/>
      <c r="ALY586" s="3"/>
      <c r="ALZ586" s="3"/>
      <c r="AMA586" s="3"/>
      <c r="AMB586" s="3"/>
      <c r="AMC586" s="3"/>
      <c r="AMD586" s="3"/>
      <c r="AME586" s="3"/>
      <c r="AMF586" s="3"/>
      <c r="AMG586" s="3"/>
      <c r="AMH586" s="3"/>
      <c r="AMI586" s="3"/>
      <c r="AMJ586" s="3"/>
      <c r="AMK586" s="3"/>
      <c r="AML586" s="3"/>
      <c r="AMM586" s="3"/>
    </row>
    <row r="587" spans="1:1027" ht="15" customHeight="1">
      <c r="A587" s="12">
        <v>229</v>
      </c>
      <c r="B587" s="13" t="s">
        <v>985</v>
      </c>
      <c r="C587" s="14"/>
      <c r="D587" s="14" t="s">
        <v>984</v>
      </c>
      <c r="E587" s="14" t="s">
        <v>137</v>
      </c>
      <c r="F587" s="15" t="s">
        <v>22</v>
      </c>
      <c r="G587" s="14"/>
      <c r="H587" s="58"/>
      <c r="I587" s="14"/>
      <c r="J587" s="14" t="s">
        <v>23</v>
      </c>
      <c r="K587" s="14"/>
      <c r="L587" s="14"/>
      <c r="M587" s="14" t="s">
        <v>689</v>
      </c>
      <c r="N587" s="25" t="s">
        <v>37</v>
      </c>
      <c r="O587" s="14" t="s">
        <v>52</v>
      </c>
      <c r="P587" s="14"/>
      <c r="Q587" s="14"/>
      <c r="R587" s="14" t="s">
        <v>654</v>
      </c>
    </row>
    <row r="588" spans="1:1027" ht="15" customHeight="1">
      <c r="A588" s="12">
        <v>1005</v>
      </c>
      <c r="B588" s="13" t="s">
        <v>986</v>
      </c>
      <c r="C588" s="14"/>
      <c r="D588" s="14" t="s">
        <v>984</v>
      </c>
      <c r="E588" s="14" t="s">
        <v>137</v>
      </c>
      <c r="F588" s="15" t="s">
        <v>22</v>
      </c>
      <c r="G588" s="21"/>
      <c r="H588" s="58">
        <v>1</v>
      </c>
      <c r="I588" s="14"/>
      <c r="J588" s="14" t="s">
        <v>23</v>
      </c>
      <c r="K588" s="14"/>
      <c r="L588" s="14"/>
      <c r="M588" s="14" t="s">
        <v>29</v>
      </c>
      <c r="N588" s="14" t="s">
        <v>25</v>
      </c>
      <c r="O588" s="14"/>
      <c r="P588" s="14"/>
      <c r="Q588" s="14"/>
      <c r="R588" s="14" t="s">
        <v>851</v>
      </c>
    </row>
    <row r="589" spans="1:1027" ht="15" customHeight="1">
      <c r="A589" s="12">
        <v>1794</v>
      </c>
      <c r="B589" s="13" t="s">
        <v>987</v>
      </c>
      <c r="C589" s="14"/>
      <c r="D589" s="14" t="s">
        <v>984</v>
      </c>
      <c r="E589" s="14" t="s">
        <v>137</v>
      </c>
      <c r="F589" s="15" t="s">
        <v>22</v>
      </c>
      <c r="G589" s="14"/>
      <c r="H589" s="58">
        <v>4</v>
      </c>
      <c r="I589" s="14"/>
      <c r="J589" s="14" t="s">
        <v>23</v>
      </c>
      <c r="K589" s="14"/>
      <c r="L589" s="14"/>
      <c r="M589" s="14" t="s">
        <v>32</v>
      </c>
      <c r="N589" s="14" t="s">
        <v>25</v>
      </c>
      <c r="O589" s="14"/>
      <c r="P589" s="14"/>
      <c r="Q589" s="14"/>
      <c r="R589" s="14" t="s">
        <v>308</v>
      </c>
    </row>
    <row r="590" spans="1:1027" ht="15" customHeight="1">
      <c r="A590" s="12">
        <v>230</v>
      </c>
      <c r="B590" s="13" t="s">
        <v>988</v>
      </c>
      <c r="C590" s="14"/>
      <c r="D590" s="14" t="s">
        <v>989</v>
      </c>
      <c r="E590" s="14" t="s">
        <v>36</v>
      </c>
      <c r="F590" s="15" t="s">
        <v>22</v>
      </c>
      <c r="G590" s="14"/>
      <c r="H590" s="58"/>
      <c r="I590" s="14"/>
      <c r="J590" s="14" t="s">
        <v>23</v>
      </c>
      <c r="K590" s="14"/>
      <c r="L590" s="14"/>
      <c r="M590" s="14" t="s">
        <v>689</v>
      </c>
      <c r="N590" s="22" t="s">
        <v>25</v>
      </c>
      <c r="O590" s="14"/>
      <c r="P590" s="14"/>
      <c r="Q590" s="14"/>
      <c r="R590" s="14" t="s">
        <v>654</v>
      </c>
    </row>
    <row r="591" spans="1:1027" ht="15" customHeight="1">
      <c r="A591" s="12">
        <v>1006</v>
      </c>
      <c r="B591" s="13" t="s">
        <v>990</v>
      </c>
      <c r="C591" s="14"/>
      <c r="D591" s="14" t="s">
        <v>989</v>
      </c>
      <c r="E591" s="14" t="s">
        <v>36</v>
      </c>
      <c r="F591" s="15" t="s">
        <v>22</v>
      </c>
      <c r="G591" s="21"/>
      <c r="H591" s="58">
        <v>1</v>
      </c>
      <c r="I591" s="14"/>
      <c r="J591" s="14" t="s">
        <v>23</v>
      </c>
      <c r="K591" s="14"/>
      <c r="L591" s="14"/>
      <c r="M591" s="14" t="s">
        <v>29</v>
      </c>
      <c r="N591" s="25" t="s">
        <v>37</v>
      </c>
      <c r="O591" s="14" t="s">
        <v>637</v>
      </c>
      <c r="P591" s="14"/>
      <c r="Q591" s="14"/>
      <c r="R591" s="14" t="s">
        <v>851</v>
      </c>
    </row>
    <row r="592" spans="1:1027" ht="15" customHeight="1">
      <c r="A592" s="12">
        <v>1795</v>
      </c>
      <c r="B592" s="13" t="s">
        <v>991</v>
      </c>
      <c r="C592" s="14"/>
      <c r="D592" s="14" t="s">
        <v>989</v>
      </c>
      <c r="E592" s="14" t="s">
        <v>36</v>
      </c>
      <c r="F592" s="15" t="s">
        <v>22</v>
      </c>
      <c r="G592" s="14"/>
      <c r="H592" s="58">
        <v>1</v>
      </c>
      <c r="I592" s="14"/>
      <c r="J592" s="14" t="s">
        <v>23</v>
      </c>
      <c r="K592" s="14"/>
      <c r="L592" s="14"/>
      <c r="M592" s="14" t="s">
        <v>32</v>
      </c>
      <c r="N592" s="25" t="s">
        <v>37</v>
      </c>
      <c r="O592" s="14" t="s">
        <v>992</v>
      </c>
      <c r="P592" s="14"/>
      <c r="Q592" s="14"/>
      <c r="R592" s="14" t="s">
        <v>308</v>
      </c>
    </row>
    <row r="593" spans="1:18" ht="15" customHeight="1">
      <c r="A593" s="12">
        <v>231</v>
      </c>
      <c r="B593" s="13" t="s">
        <v>993</v>
      </c>
      <c r="C593" s="14"/>
      <c r="D593" s="14" t="s">
        <v>994</v>
      </c>
      <c r="E593" s="14" t="s">
        <v>36</v>
      </c>
      <c r="F593" s="15" t="s">
        <v>22</v>
      </c>
      <c r="G593" s="14"/>
      <c r="H593" s="58"/>
      <c r="I593" s="14"/>
      <c r="J593" s="14" t="s">
        <v>23</v>
      </c>
      <c r="K593" s="14"/>
      <c r="L593" s="14"/>
      <c r="M593" s="14" t="s">
        <v>689</v>
      </c>
      <c r="N593" s="22" t="s">
        <v>25</v>
      </c>
      <c r="O593" s="14"/>
      <c r="P593" s="14"/>
      <c r="Q593" s="14"/>
      <c r="R593" s="14" t="s">
        <v>654</v>
      </c>
    </row>
    <row r="594" spans="1:18" ht="15" customHeight="1">
      <c r="A594" s="12">
        <v>1007</v>
      </c>
      <c r="B594" s="13" t="s">
        <v>995</v>
      </c>
      <c r="C594" s="14"/>
      <c r="D594" s="14" t="s">
        <v>994</v>
      </c>
      <c r="E594" s="14" t="s">
        <v>36</v>
      </c>
      <c r="F594" s="15" t="s">
        <v>22</v>
      </c>
      <c r="G594" s="21"/>
      <c r="H594" s="58">
        <v>1</v>
      </c>
      <c r="I594" s="14"/>
      <c r="J594" s="14" t="s">
        <v>23</v>
      </c>
      <c r="K594" s="14"/>
      <c r="L594" s="14"/>
      <c r="M594" s="14" t="s">
        <v>29</v>
      </c>
      <c r="N594" s="25" t="s">
        <v>289</v>
      </c>
      <c r="O594" s="14" t="s">
        <v>189</v>
      </c>
      <c r="P594" s="14"/>
      <c r="Q594" s="14"/>
      <c r="R594" s="14" t="s">
        <v>851</v>
      </c>
    </row>
    <row r="595" spans="1:18" ht="15" customHeight="1">
      <c r="A595" s="12">
        <v>1796</v>
      </c>
      <c r="B595" s="13" t="s">
        <v>996</v>
      </c>
      <c r="C595" s="14"/>
      <c r="D595" s="14" t="s">
        <v>994</v>
      </c>
      <c r="E595" s="14" t="s">
        <v>36</v>
      </c>
      <c r="F595" s="15" t="s">
        <v>22</v>
      </c>
      <c r="G595" s="14"/>
      <c r="H595" s="58">
        <v>2</v>
      </c>
      <c r="I595" s="14"/>
      <c r="J595" s="14" t="s">
        <v>23</v>
      </c>
      <c r="K595" s="14"/>
      <c r="L595" s="14"/>
      <c r="M595" s="14" t="s">
        <v>32</v>
      </c>
      <c r="N595" s="25" t="s">
        <v>37</v>
      </c>
      <c r="O595" s="14" t="s">
        <v>997</v>
      </c>
      <c r="P595" s="14"/>
      <c r="Q595" s="14"/>
      <c r="R595" s="14" t="s">
        <v>308</v>
      </c>
    </row>
    <row r="596" spans="1:18" ht="15" customHeight="1">
      <c r="A596" s="12">
        <v>232</v>
      </c>
      <c r="B596" s="13" t="s">
        <v>998</v>
      </c>
      <c r="C596" s="14"/>
      <c r="D596" s="14" t="s">
        <v>999</v>
      </c>
      <c r="E596" s="14" t="s">
        <v>92</v>
      </c>
      <c r="F596" s="15" t="s">
        <v>22</v>
      </c>
      <c r="G596" s="14"/>
      <c r="H596" s="58"/>
      <c r="I596" s="14"/>
      <c r="J596" s="14" t="s">
        <v>23</v>
      </c>
      <c r="K596" s="14"/>
      <c r="L596" s="14"/>
      <c r="M596" s="14" t="s">
        <v>689</v>
      </c>
      <c r="N596" s="25" t="s">
        <v>289</v>
      </c>
      <c r="O596" s="14" t="s">
        <v>189</v>
      </c>
      <c r="P596" s="14"/>
      <c r="Q596" s="14"/>
      <c r="R596" s="14" t="s">
        <v>654</v>
      </c>
    </row>
    <row r="597" spans="1:18" ht="15" customHeight="1">
      <c r="A597" s="12">
        <v>1008</v>
      </c>
      <c r="B597" s="13" t="s">
        <v>1000</v>
      </c>
      <c r="C597" s="14"/>
      <c r="D597" s="14" t="s">
        <v>999</v>
      </c>
      <c r="E597" s="14" t="s">
        <v>92</v>
      </c>
      <c r="F597" s="15" t="s">
        <v>22</v>
      </c>
      <c r="G597" s="21"/>
      <c r="H597" s="58"/>
      <c r="I597" s="14"/>
      <c r="J597" s="14" t="s">
        <v>23</v>
      </c>
      <c r="K597" s="14"/>
      <c r="L597" s="14"/>
      <c r="M597" s="14" t="s">
        <v>29</v>
      </c>
      <c r="N597" s="25" t="s">
        <v>289</v>
      </c>
      <c r="O597" s="14" t="s">
        <v>138</v>
      </c>
      <c r="P597" s="14"/>
      <c r="Q597" s="14"/>
      <c r="R597" s="14" t="s">
        <v>851</v>
      </c>
    </row>
    <row r="598" spans="1:18" ht="15" customHeight="1">
      <c r="A598" s="12">
        <v>1797</v>
      </c>
      <c r="B598" s="13" t="s">
        <v>1001</v>
      </c>
      <c r="C598" s="14"/>
      <c r="D598" s="14" t="s">
        <v>999</v>
      </c>
      <c r="E598" s="14" t="s">
        <v>92</v>
      </c>
      <c r="F598" s="15" t="s">
        <v>22</v>
      </c>
      <c r="G598" s="14"/>
      <c r="H598" s="58">
        <v>3</v>
      </c>
      <c r="I598" s="14"/>
      <c r="J598" s="14" t="s">
        <v>23</v>
      </c>
      <c r="K598" s="14"/>
      <c r="L598" s="14"/>
      <c r="M598" s="14" t="s">
        <v>32</v>
      </c>
      <c r="N598" s="25" t="s">
        <v>37</v>
      </c>
      <c r="O598" s="14" t="s">
        <v>1002</v>
      </c>
      <c r="P598" s="14"/>
      <c r="Q598" s="14"/>
      <c r="R598" s="14" t="s">
        <v>308</v>
      </c>
    </row>
    <row r="599" spans="1:18" ht="15" customHeight="1">
      <c r="A599" s="12">
        <v>233</v>
      </c>
      <c r="B599" s="13" t="s">
        <v>1003</v>
      </c>
      <c r="C599" s="14"/>
      <c r="D599" s="14" t="s">
        <v>1004</v>
      </c>
      <c r="E599" s="14" t="s">
        <v>21</v>
      </c>
      <c r="F599" s="15" t="s">
        <v>22</v>
      </c>
      <c r="G599" s="14"/>
      <c r="H599" s="58"/>
      <c r="I599" s="14"/>
      <c r="J599" s="14" t="s">
        <v>23</v>
      </c>
      <c r="K599" s="14"/>
      <c r="L599" s="14"/>
      <c r="M599" s="14" t="s">
        <v>689</v>
      </c>
      <c r="N599" s="22" t="s">
        <v>25</v>
      </c>
      <c r="O599" s="14"/>
      <c r="P599" s="14"/>
      <c r="Q599" s="14"/>
      <c r="R599" s="14" t="s">
        <v>654</v>
      </c>
    </row>
    <row r="600" spans="1:18" ht="15" customHeight="1">
      <c r="A600" s="12">
        <v>1009</v>
      </c>
      <c r="B600" s="13" t="s">
        <v>1005</v>
      </c>
      <c r="C600" s="14"/>
      <c r="D600" s="14" t="s">
        <v>1004</v>
      </c>
      <c r="E600" s="14" t="s">
        <v>21</v>
      </c>
      <c r="F600" s="15" t="s">
        <v>22</v>
      </c>
      <c r="G600" s="21"/>
      <c r="H600" s="58"/>
      <c r="I600" s="14"/>
      <c r="J600" s="14" t="s">
        <v>23</v>
      </c>
      <c r="K600" s="14"/>
      <c r="L600" s="14"/>
      <c r="M600" s="14" t="s">
        <v>29</v>
      </c>
      <c r="N600" s="14" t="s">
        <v>25</v>
      </c>
      <c r="O600" s="14"/>
      <c r="P600" s="14"/>
      <c r="Q600" s="14"/>
      <c r="R600" s="14" t="s">
        <v>851</v>
      </c>
    </row>
    <row r="601" spans="1:18" ht="15" customHeight="1">
      <c r="A601" s="12">
        <v>1798</v>
      </c>
      <c r="B601" s="13" t="s">
        <v>1006</v>
      </c>
      <c r="C601" s="14"/>
      <c r="D601" s="14" t="s">
        <v>1004</v>
      </c>
      <c r="E601" s="14" t="s">
        <v>21</v>
      </c>
      <c r="F601" s="15" t="s">
        <v>22</v>
      </c>
      <c r="G601" s="14"/>
      <c r="H601" s="58">
        <v>0</v>
      </c>
      <c r="I601" s="14"/>
      <c r="J601" s="14" t="s">
        <v>23</v>
      </c>
      <c r="K601" s="14"/>
      <c r="L601" s="14"/>
      <c r="M601" s="14" t="s">
        <v>32</v>
      </c>
      <c r="N601" s="14" t="s">
        <v>25</v>
      </c>
      <c r="O601" s="14"/>
      <c r="P601" s="14"/>
      <c r="Q601" s="14"/>
      <c r="R601" s="14" t="s">
        <v>308</v>
      </c>
    </row>
    <row r="602" spans="1:18" ht="15" customHeight="1">
      <c r="A602" s="12">
        <v>234</v>
      </c>
      <c r="B602" s="13" t="s">
        <v>1007</v>
      </c>
      <c r="C602" s="14"/>
      <c r="D602" s="14" t="s">
        <v>1008</v>
      </c>
      <c r="E602" s="14" t="s">
        <v>215</v>
      </c>
      <c r="F602" s="15" t="s">
        <v>22</v>
      </c>
      <c r="G602" s="14"/>
      <c r="H602" s="58"/>
      <c r="I602" s="14"/>
      <c r="J602" s="14" t="s">
        <v>23</v>
      </c>
      <c r="K602" s="14"/>
      <c r="L602" s="14"/>
      <c r="M602" s="14" t="s">
        <v>689</v>
      </c>
      <c r="N602" s="25" t="s">
        <v>289</v>
      </c>
      <c r="O602" s="14" t="s">
        <v>221</v>
      </c>
      <c r="P602" s="14"/>
      <c r="Q602" s="14"/>
      <c r="R602" s="14" t="s">
        <v>654</v>
      </c>
    </row>
    <row r="603" spans="1:18" ht="15" customHeight="1">
      <c r="A603" s="12">
        <v>1010</v>
      </c>
      <c r="B603" s="13" t="s">
        <v>1009</v>
      </c>
      <c r="C603" s="14"/>
      <c r="D603" s="14" t="s">
        <v>1008</v>
      </c>
      <c r="E603" s="14" t="s">
        <v>215</v>
      </c>
      <c r="F603" s="15" t="s">
        <v>22</v>
      </c>
      <c r="G603" s="21"/>
      <c r="H603" s="58">
        <v>2</v>
      </c>
      <c r="I603" s="14"/>
      <c r="J603" s="14" t="s">
        <v>23</v>
      </c>
      <c r="K603" s="14"/>
      <c r="L603" s="14"/>
      <c r="M603" s="14" t="s">
        <v>29</v>
      </c>
      <c r="N603" s="25" t="s">
        <v>37</v>
      </c>
      <c r="O603" s="14" t="s">
        <v>1010</v>
      </c>
      <c r="P603" s="14"/>
      <c r="Q603" s="14"/>
      <c r="R603" s="14" t="s">
        <v>851</v>
      </c>
    </row>
    <row r="604" spans="1:18" ht="15" customHeight="1">
      <c r="A604" s="12">
        <v>1799</v>
      </c>
      <c r="B604" s="13" t="s">
        <v>1011</v>
      </c>
      <c r="C604" s="14"/>
      <c r="D604" s="14" t="s">
        <v>1008</v>
      </c>
      <c r="E604" s="14" t="s">
        <v>215</v>
      </c>
      <c r="F604" s="15" t="s">
        <v>22</v>
      </c>
      <c r="G604" s="14"/>
      <c r="H604" s="58">
        <v>4</v>
      </c>
      <c r="I604" s="14"/>
      <c r="J604" s="14" t="s">
        <v>23</v>
      </c>
      <c r="K604" s="14"/>
      <c r="L604" s="14"/>
      <c r="M604" s="14" t="s">
        <v>32</v>
      </c>
      <c r="N604" s="25" t="s">
        <v>37</v>
      </c>
      <c r="O604" s="14" t="s">
        <v>1012</v>
      </c>
      <c r="P604" s="14"/>
      <c r="Q604" s="14"/>
      <c r="R604" s="14" t="s">
        <v>308</v>
      </c>
    </row>
    <row r="605" spans="1:18" ht="15" customHeight="1">
      <c r="A605" s="12">
        <v>235</v>
      </c>
      <c r="B605" s="13" t="s">
        <v>1013</v>
      </c>
      <c r="C605" s="14"/>
      <c r="D605" s="14" t="s">
        <v>1014</v>
      </c>
      <c r="E605" s="14" t="s">
        <v>36</v>
      </c>
      <c r="F605" s="15" t="s">
        <v>22</v>
      </c>
      <c r="G605" s="14"/>
      <c r="H605" s="58"/>
      <c r="I605" s="14"/>
      <c r="J605" s="14" t="s">
        <v>23</v>
      </c>
      <c r="K605" s="14"/>
      <c r="L605" s="14"/>
      <c r="M605" s="14" t="s">
        <v>689</v>
      </c>
      <c r="N605" s="22" t="s">
        <v>25</v>
      </c>
      <c r="O605" s="14"/>
      <c r="P605" s="14"/>
      <c r="Q605" s="14"/>
      <c r="R605" s="14" t="s">
        <v>654</v>
      </c>
    </row>
    <row r="606" spans="1:18" ht="15" customHeight="1">
      <c r="A606" s="12">
        <v>1011</v>
      </c>
      <c r="B606" s="13" t="s">
        <v>1015</v>
      </c>
      <c r="C606" s="14"/>
      <c r="D606" s="14" t="s">
        <v>1014</v>
      </c>
      <c r="E606" s="14" t="s">
        <v>36</v>
      </c>
      <c r="F606" s="15" t="s">
        <v>22</v>
      </c>
      <c r="G606" s="21"/>
      <c r="H606" s="58">
        <v>1</v>
      </c>
      <c r="I606" s="14"/>
      <c r="J606" s="14" t="s">
        <v>23</v>
      </c>
      <c r="K606" s="14"/>
      <c r="L606" s="14"/>
      <c r="M606" s="14" t="s">
        <v>29</v>
      </c>
      <c r="N606" s="25" t="s">
        <v>37</v>
      </c>
      <c r="O606" s="14" t="s">
        <v>1016</v>
      </c>
      <c r="P606" s="14"/>
      <c r="Q606" s="14"/>
      <c r="R606" s="14" t="s">
        <v>851</v>
      </c>
    </row>
    <row r="607" spans="1:18" ht="15" customHeight="1">
      <c r="A607" s="12">
        <v>1800</v>
      </c>
      <c r="B607" s="13" t="s">
        <v>1017</v>
      </c>
      <c r="C607" s="14"/>
      <c r="D607" s="14" t="s">
        <v>1014</v>
      </c>
      <c r="E607" s="14" t="s">
        <v>36</v>
      </c>
      <c r="F607" s="15" t="s">
        <v>22</v>
      </c>
      <c r="G607" s="14"/>
      <c r="H607" s="58">
        <v>2</v>
      </c>
      <c r="I607" s="14"/>
      <c r="J607" s="14" t="s">
        <v>23</v>
      </c>
      <c r="K607" s="14"/>
      <c r="L607" s="14"/>
      <c r="M607" s="14" t="s">
        <v>32</v>
      </c>
      <c r="N607" s="25" t="s">
        <v>37</v>
      </c>
      <c r="O607" s="14" t="s">
        <v>1018</v>
      </c>
      <c r="P607" s="14"/>
      <c r="Q607" s="14"/>
      <c r="R607" s="14" t="s">
        <v>308</v>
      </c>
    </row>
    <row r="608" spans="1:18" ht="15" customHeight="1">
      <c r="A608" s="12">
        <v>236</v>
      </c>
      <c r="B608" s="13" t="s">
        <v>1019</v>
      </c>
      <c r="C608" s="14"/>
      <c r="D608" s="14" t="s">
        <v>1020</v>
      </c>
      <c r="E608" s="14" t="s">
        <v>21</v>
      </c>
      <c r="F608" s="15" t="s">
        <v>22</v>
      </c>
      <c r="G608" s="14"/>
      <c r="H608" s="58"/>
      <c r="I608" s="14"/>
      <c r="J608" s="14" t="s">
        <v>23</v>
      </c>
      <c r="K608" s="14"/>
      <c r="L608" s="14"/>
      <c r="M608" s="14" t="s">
        <v>689</v>
      </c>
      <c r="N608" s="22" t="s">
        <v>25</v>
      </c>
      <c r="O608" s="14"/>
      <c r="P608" s="14"/>
      <c r="Q608" s="14"/>
      <c r="R608" s="14" t="s">
        <v>654</v>
      </c>
    </row>
    <row r="609" spans="1:18" ht="15" customHeight="1">
      <c r="A609" s="12">
        <v>1012</v>
      </c>
      <c r="B609" s="13" t="s">
        <v>1021</v>
      </c>
      <c r="C609" s="14"/>
      <c r="D609" s="14" t="s">
        <v>1020</v>
      </c>
      <c r="E609" s="14" t="s">
        <v>21</v>
      </c>
      <c r="F609" s="15" t="s">
        <v>22</v>
      </c>
      <c r="G609" s="21"/>
      <c r="H609" s="58"/>
      <c r="I609" s="14"/>
      <c r="J609" s="14" t="s">
        <v>23</v>
      </c>
      <c r="K609" s="14"/>
      <c r="L609" s="14"/>
      <c r="M609" s="14" t="s">
        <v>29</v>
      </c>
      <c r="N609" s="14" t="s">
        <v>25</v>
      </c>
      <c r="O609" s="14"/>
      <c r="P609" s="14"/>
      <c r="Q609" s="14"/>
      <c r="R609" s="14" t="s">
        <v>851</v>
      </c>
    </row>
    <row r="610" spans="1:18" ht="15" customHeight="1">
      <c r="A610" s="12">
        <v>1801</v>
      </c>
      <c r="B610" s="13" t="s">
        <v>1022</v>
      </c>
      <c r="C610" s="14"/>
      <c r="D610" s="14" t="s">
        <v>1020</v>
      </c>
      <c r="E610" s="14" t="s">
        <v>21</v>
      </c>
      <c r="F610" s="15" t="s">
        <v>22</v>
      </c>
      <c r="G610" s="14"/>
      <c r="H610" s="58">
        <v>0</v>
      </c>
      <c r="I610" s="14"/>
      <c r="J610" s="14" t="s">
        <v>23</v>
      </c>
      <c r="K610" s="14"/>
      <c r="L610" s="14"/>
      <c r="M610" s="14" t="s">
        <v>32</v>
      </c>
      <c r="N610" s="14" t="s">
        <v>25</v>
      </c>
      <c r="O610" s="14"/>
      <c r="P610" s="14"/>
      <c r="Q610" s="14"/>
      <c r="R610" s="14" t="s">
        <v>308</v>
      </c>
    </row>
    <row r="611" spans="1:18" ht="15" customHeight="1">
      <c r="A611" s="12">
        <v>237</v>
      </c>
      <c r="B611" s="13" t="s">
        <v>1023</v>
      </c>
      <c r="C611" s="14"/>
      <c r="D611" s="14" t="s">
        <v>1024</v>
      </c>
      <c r="E611" s="14" t="s">
        <v>36</v>
      </c>
      <c r="F611" s="15" t="s">
        <v>22</v>
      </c>
      <c r="G611" s="14"/>
      <c r="H611" s="58"/>
      <c r="I611" s="14"/>
      <c r="J611" s="14" t="s">
        <v>23</v>
      </c>
      <c r="K611" s="14"/>
      <c r="L611" s="14"/>
      <c r="M611" s="14" t="s">
        <v>689</v>
      </c>
      <c r="N611" s="25" t="s">
        <v>37</v>
      </c>
      <c r="O611" s="14" t="s">
        <v>179</v>
      </c>
      <c r="P611" s="14"/>
      <c r="Q611" s="14"/>
      <c r="R611" s="14" t="s">
        <v>654</v>
      </c>
    </row>
    <row r="612" spans="1:18" ht="15" customHeight="1">
      <c r="A612" s="12">
        <v>1013</v>
      </c>
      <c r="B612" s="13" t="s">
        <v>1025</v>
      </c>
      <c r="C612" s="14"/>
      <c r="D612" s="14" t="s">
        <v>1024</v>
      </c>
      <c r="E612" s="14" t="s">
        <v>36</v>
      </c>
      <c r="F612" s="15" t="s">
        <v>22</v>
      </c>
      <c r="G612" s="21"/>
      <c r="H612" s="58"/>
      <c r="I612" s="14"/>
      <c r="J612" s="14" t="s">
        <v>23</v>
      </c>
      <c r="K612" s="14"/>
      <c r="L612" s="14"/>
      <c r="M612" s="14" t="s">
        <v>29</v>
      </c>
      <c r="N612" s="25" t="s">
        <v>37</v>
      </c>
      <c r="O612" s="14" t="s">
        <v>1026</v>
      </c>
      <c r="P612" s="14"/>
      <c r="Q612" s="14"/>
      <c r="R612" s="14" t="s">
        <v>851</v>
      </c>
    </row>
    <row r="613" spans="1:18" ht="15" customHeight="1">
      <c r="A613" s="12">
        <v>1802</v>
      </c>
      <c r="B613" s="13" t="s">
        <v>1027</v>
      </c>
      <c r="C613" s="14"/>
      <c r="D613" s="14" t="s">
        <v>1024</v>
      </c>
      <c r="E613" s="14" t="s">
        <v>36</v>
      </c>
      <c r="F613" s="15" t="s">
        <v>22</v>
      </c>
      <c r="G613" s="14"/>
      <c r="H613" s="58">
        <v>2</v>
      </c>
      <c r="I613" s="14"/>
      <c r="J613" s="14" t="s">
        <v>23</v>
      </c>
      <c r="K613" s="14"/>
      <c r="L613" s="14"/>
      <c r="M613" s="14" t="s">
        <v>32</v>
      </c>
      <c r="N613" s="25" t="s">
        <v>37</v>
      </c>
      <c r="O613" s="14" t="s">
        <v>1028</v>
      </c>
      <c r="P613" s="14"/>
      <c r="Q613" s="14"/>
      <c r="R613" s="14" t="s">
        <v>308</v>
      </c>
    </row>
    <row r="614" spans="1:18" ht="15" customHeight="1">
      <c r="A614" s="12">
        <v>238</v>
      </c>
      <c r="B614" s="13" t="s">
        <v>1029</v>
      </c>
      <c r="C614" s="14"/>
      <c r="D614" s="14" t="s">
        <v>1030</v>
      </c>
      <c r="E614" s="14" t="s">
        <v>580</v>
      </c>
      <c r="F614" s="15" t="s">
        <v>22</v>
      </c>
      <c r="G614" s="14"/>
      <c r="H614" s="58"/>
      <c r="I614" s="14"/>
      <c r="J614" s="14" t="s">
        <v>23</v>
      </c>
      <c r="K614" s="14"/>
      <c r="L614" s="14"/>
      <c r="M614" s="14" t="s">
        <v>689</v>
      </c>
      <c r="N614" s="25" t="s">
        <v>37</v>
      </c>
      <c r="O614" s="14" t="s">
        <v>38</v>
      </c>
      <c r="P614" s="14"/>
      <c r="Q614" s="14"/>
      <c r="R614" s="14" t="s">
        <v>654</v>
      </c>
    </row>
    <row r="615" spans="1:18" ht="15" customHeight="1">
      <c r="A615" s="12">
        <v>1014</v>
      </c>
      <c r="B615" s="13" t="s">
        <v>1031</v>
      </c>
      <c r="C615" s="14"/>
      <c r="D615" s="14" t="s">
        <v>1030</v>
      </c>
      <c r="E615" s="14" t="s">
        <v>580</v>
      </c>
      <c r="F615" s="15" t="s">
        <v>22</v>
      </c>
      <c r="G615" s="21"/>
      <c r="H615" s="58">
        <v>4</v>
      </c>
      <c r="I615" s="14"/>
      <c r="J615" s="14" t="s">
        <v>23</v>
      </c>
      <c r="K615" s="14"/>
      <c r="L615" s="14"/>
      <c r="M615" s="14" t="s">
        <v>29</v>
      </c>
      <c r="N615" s="25" t="s">
        <v>37</v>
      </c>
      <c r="O615" s="14" t="s">
        <v>1032</v>
      </c>
      <c r="P615" s="14"/>
      <c r="Q615" s="14"/>
      <c r="R615" s="14" t="s">
        <v>851</v>
      </c>
    </row>
    <row r="616" spans="1:18" ht="15" customHeight="1">
      <c r="A616" s="12">
        <v>1803</v>
      </c>
      <c r="B616" s="13" t="s">
        <v>1033</v>
      </c>
      <c r="C616" s="14"/>
      <c r="D616" s="14" t="s">
        <v>1030</v>
      </c>
      <c r="E616" s="14" t="s">
        <v>580</v>
      </c>
      <c r="F616" s="15" t="s">
        <v>22</v>
      </c>
      <c r="G616" s="14"/>
      <c r="H616" s="58">
        <v>4</v>
      </c>
      <c r="I616" s="14"/>
      <c r="J616" s="14" t="s">
        <v>23</v>
      </c>
      <c r="K616" s="14"/>
      <c r="L616" s="14"/>
      <c r="M616" s="14" t="s">
        <v>32</v>
      </c>
      <c r="N616" s="25" t="s">
        <v>37</v>
      </c>
      <c r="O616" s="14" t="s">
        <v>1034</v>
      </c>
      <c r="P616" s="14"/>
      <c r="Q616" s="14"/>
      <c r="R616" s="14" t="s">
        <v>308</v>
      </c>
    </row>
    <row r="617" spans="1:18" ht="15" customHeight="1">
      <c r="A617" s="12">
        <v>239</v>
      </c>
      <c r="B617" s="13" t="s">
        <v>1035</v>
      </c>
      <c r="C617" s="14"/>
      <c r="D617" s="14" t="s">
        <v>1036</v>
      </c>
      <c r="E617" s="14" t="s">
        <v>21</v>
      </c>
      <c r="F617" s="15" t="s">
        <v>22</v>
      </c>
      <c r="G617" s="14"/>
      <c r="H617" s="58"/>
      <c r="I617" s="14"/>
      <c r="J617" s="14" t="s">
        <v>23</v>
      </c>
      <c r="K617" s="14"/>
      <c r="L617" s="14"/>
      <c r="M617" s="14" t="s">
        <v>689</v>
      </c>
      <c r="N617" s="22" t="s">
        <v>25</v>
      </c>
      <c r="O617" s="14"/>
      <c r="P617" s="14"/>
      <c r="Q617" s="14"/>
      <c r="R617" s="14" t="s">
        <v>654</v>
      </c>
    </row>
    <row r="618" spans="1:18" ht="15" customHeight="1">
      <c r="A618" s="12">
        <v>1015</v>
      </c>
      <c r="B618" s="13" t="s">
        <v>1037</v>
      </c>
      <c r="C618" s="14"/>
      <c r="D618" s="14" t="s">
        <v>1036</v>
      </c>
      <c r="E618" s="14" t="s">
        <v>21</v>
      </c>
      <c r="F618" s="15" t="s">
        <v>22</v>
      </c>
      <c r="G618" s="21"/>
      <c r="H618" s="58"/>
      <c r="I618" s="14"/>
      <c r="J618" s="14" t="s">
        <v>23</v>
      </c>
      <c r="K618" s="14"/>
      <c r="L618" s="14"/>
      <c r="M618" s="14" t="s">
        <v>29</v>
      </c>
      <c r="N618" s="14" t="s">
        <v>25</v>
      </c>
      <c r="O618" s="14"/>
      <c r="P618" s="14"/>
      <c r="Q618" s="14"/>
      <c r="R618" s="14" t="s">
        <v>851</v>
      </c>
    </row>
    <row r="619" spans="1:18" ht="15" customHeight="1">
      <c r="A619" s="12">
        <v>1804</v>
      </c>
      <c r="B619" s="13" t="s">
        <v>1038</v>
      </c>
      <c r="C619" s="14"/>
      <c r="D619" s="14" t="s">
        <v>1036</v>
      </c>
      <c r="E619" s="14" t="s">
        <v>21</v>
      </c>
      <c r="F619" s="15" t="s">
        <v>22</v>
      </c>
      <c r="G619" s="14"/>
      <c r="H619" s="58">
        <v>1</v>
      </c>
      <c r="I619" s="14"/>
      <c r="J619" s="14" t="s">
        <v>23</v>
      </c>
      <c r="K619" s="14"/>
      <c r="L619" s="14"/>
      <c r="M619" s="14" t="s">
        <v>32</v>
      </c>
      <c r="N619" s="14" t="s">
        <v>25</v>
      </c>
      <c r="O619" s="14"/>
      <c r="P619" s="14"/>
      <c r="Q619" s="14"/>
      <c r="R619" s="14" t="s">
        <v>308</v>
      </c>
    </row>
    <row r="620" spans="1:18" ht="15" customHeight="1">
      <c r="A620" s="12">
        <v>240</v>
      </c>
      <c r="B620" s="13" t="s">
        <v>1039</v>
      </c>
      <c r="C620" s="14"/>
      <c r="D620" s="14" t="s">
        <v>1040</v>
      </c>
      <c r="E620" s="14" t="s">
        <v>137</v>
      </c>
      <c r="F620" s="15" t="s">
        <v>22</v>
      </c>
      <c r="G620" s="14"/>
      <c r="H620" s="58"/>
      <c r="I620" s="14"/>
      <c r="J620" s="14" t="s">
        <v>23</v>
      </c>
      <c r="K620" s="14"/>
      <c r="L620" s="14"/>
      <c r="M620" s="14" t="s">
        <v>689</v>
      </c>
      <c r="N620" s="25" t="s">
        <v>37</v>
      </c>
      <c r="O620" s="14" t="s">
        <v>189</v>
      </c>
      <c r="P620" s="14"/>
      <c r="Q620" s="14"/>
      <c r="R620" s="14" t="s">
        <v>654</v>
      </c>
    </row>
    <row r="621" spans="1:18" ht="15" customHeight="1">
      <c r="A621" s="12">
        <v>1016</v>
      </c>
      <c r="B621" s="13" t="s">
        <v>1041</v>
      </c>
      <c r="C621" s="14"/>
      <c r="D621" s="14" t="s">
        <v>1040</v>
      </c>
      <c r="E621" s="14" t="s">
        <v>137</v>
      </c>
      <c r="F621" s="15" t="s">
        <v>22</v>
      </c>
      <c r="G621" s="21"/>
      <c r="H621" s="58">
        <v>2</v>
      </c>
      <c r="I621" s="14"/>
      <c r="J621" s="14" t="s">
        <v>23</v>
      </c>
      <c r="K621" s="14"/>
      <c r="L621" s="14"/>
      <c r="M621" s="14" t="s">
        <v>29</v>
      </c>
      <c r="N621" s="25" t="s">
        <v>37</v>
      </c>
      <c r="O621" s="14" t="s">
        <v>1042</v>
      </c>
      <c r="P621" s="14"/>
      <c r="Q621" s="14"/>
      <c r="R621" s="14" t="s">
        <v>851</v>
      </c>
    </row>
    <row r="622" spans="1:18" ht="15" customHeight="1">
      <c r="A622" s="12">
        <v>1805</v>
      </c>
      <c r="B622" s="13" t="s">
        <v>1043</v>
      </c>
      <c r="C622" s="14"/>
      <c r="D622" s="14" t="s">
        <v>1040</v>
      </c>
      <c r="E622" s="14" t="s">
        <v>137</v>
      </c>
      <c r="F622" s="15" t="s">
        <v>22</v>
      </c>
      <c r="G622" s="14"/>
      <c r="H622" s="58">
        <v>3</v>
      </c>
      <c r="I622" s="14"/>
      <c r="J622" s="14" t="s">
        <v>23</v>
      </c>
      <c r="K622" s="14"/>
      <c r="L622" s="14"/>
      <c r="M622" s="14" t="s">
        <v>32</v>
      </c>
      <c r="N622" s="25" t="s">
        <v>37</v>
      </c>
      <c r="O622" s="14" t="s">
        <v>838</v>
      </c>
      <c r="P622" s="14"/>
      <c r="Q622" s="14"/>
      <c r="R622" s="14" t="s">
        <v>308</v>
      </c>
    </row>
    <row r="623" spans="1:18" ht="15" customHeight="1">
      <c r="A623" s="12">
        <v>241</v>
      </c>
      <c r="B623" s="13" t="s">
        <v>1044</v>
      </c>
      <c r="C623" s="14"/>
      <c r="D623" s="14" t="s">
        <v>1045</v>
      </c>
      <c r="E623" s="14" t="s">
        <v>36</v>
      </c>
      <c r="F623" s="15" t="s">
        <v>22</v>
      </c>
      <c r="G623" s="14"/>
      <c r="H623" s="58"/>
      <c r="I623" s="14"/>
      <c r="J623" s="14" t="s">
        <v>23</v>
      </c>
      <c r="K623" s="14"/>
      <c r="L623" s="14"/>
      <c r="M623" s="14" t="s">
        <v>689</v>
      </c>
      <c r="N623" s="22" t="s">
        <v>25</v>
      </c>
      <c r="O623" s="14"/>
      <c r="P623" s="14"/>
      <c r="Q623" s="14"/>
      <c r="R623" s="14" t="s">
        <v>654</v>
      </c>
    </row>
    <row r="624" spans="1:18" ht="15" customHeight="1">
      <c r="A624" s="12">
        <v>1017</v>
      </c>
      <c r="B624" s="13" t="s">
        <v>1046</v>
      </c>
      <c r="C624" s="14"/>
      <c r="D624" s="14" t="s">
        <v>1045</v>
      </c>
      <c r="E624" s="14" t="s">
        <v>36</v>
      </c>
      <c r="F624" s="15" t="s">
        <v>22</v>
      </c>
      <c r="G624" s="21"/>
      <c r="H624" s="58">
        <v>2</v>
      </c>
      <c r="I624" s="14"/>
      <c r="J624" s="14" t="s">
        <v>23</v>
      </c>
      <c r="K624" s="14"/>
      <c r="L624" s="14"/>
      <c r="M624" s="14" t="s">
        <v>29</v>
      </c>
      <c r="N624" s="25" t="s">
        <v>37</v>
      </c>
      <c r="O624" s="14" t="s">
        <v>1047</v>
      </c>
      <c r="P624" s="14"/>
      <c r="Q624" s="14"/>
      <c r="R624" s="14" t="s">
        <v>851</v>
      </c>
    </row>
    <row r="625" spans="1:18" ht="15" customHeight="1">
      <c r="A625" s="12">
        <v>1806</v>
      </c>
      <c r="B625" s="13" t="s">
        <v>1048</v>
      </c>
      <c r="C625" s="14"/>
      <c r="D625" s="14" t="s">
        <v>1045</v>
      </c>
      <c r="E625" s="14" t="s">
        <v>36</v>
      </c>
      <c r="F625" s="15" t="s">
        <v>22</v>
      </c>
      <c r="G625" s="14"/>
      <c r="H625" s="58">
        <v>2</v>
      </c>
      <c r="I625" s="14"/>
      <c r="J625" s="14" t="s">
        <v>23</v>
      </c>
      <c r="K625" s="14"/>
      <c r="L625" s="14"/>
      <c r="M625" s="14" t="s">
        <v>32</v>
      </c>
      <c r="N625" s="25" t="s">
        <v>37</v>
      </c>
      <c r="O625" s="14" t="s">
        <v>1049</v>
      </c>
      <c r="P625" s="14"/>
      <c r="Q625" s="14"/>
      <c r="R625" s="14" t="s">
        <v>308</v>
      </c>
    </row>
    <row r="626" spans="1:18" ht="15" customHeight="1">
      <c r="A626" s="12">
        <v>242</v>
      </c>
      <c r="B626" s="13" t="s">
        <v>1050</v>
      </c>
      <c r="C626" s="14"/>
      <c r="D626" s="14" t="s">
        <v>1051</v>
      </c>
      <c r="E626" s="14" t="s">
        <v>44</v>
      </c>
      <c r="F626" s="15" t="s">
        <v>22</v>
      </c>
      <c r="G626" s="14"/>
      <c r="H626" s="58"/>
      <c r="I626" s="14"/>
      <c r="J626" s="14" t="s">
        <v>23</v>
      </c>
      <c r="K626" s="14"/>
      <c r="L626" s="14"/>
      <c r="M626" s="14" t="s">
        <v>689</v>
      </c>
      <c r="N626" s="25" t="s">
        <v>37</v>
      </c>
      <c r="O626" s="14" t="s">
        <v>45</v>
      </c>
      <c r="P626" s="14"/>
      <c r="Q626" s="14"/>
      <c r="R626" s="14" t="s">
        <v>654</v>
      </c>
    </row>
    <row r="627" spans="1:18" ht="15" customHeight="1">
      <c r="A627" s="12">
        <v>1018</v>
      </c>
      <c r="B627" s="13" t="s">
        <v>1052</v>
      </c>
      <c r="C627" s="14"/>
      <c r="D627" s="14" t="s">
        <v>1051</v>
      </c>
      <c r="E627" s="14" t="s">
        <v>44</v>
      </c>
      <c r="F627" s="15" t="s">
        <v>22</v>
      </c>
      <c r="G627" s="21"/>
      <c r="H627" s="58">
        <v>2</v>
      </c>
      <c r="I627" s="14"/>
      <c r="J627" s="14" t="s">
        <v>23</v>
      </c>
      <c r="K627" s="14"/>
      <c r="L627" s="14"/>
      <c r="M627" s="14" t="s">
        <v>29</v>
      </c>
      <c r="N627" s="25" t="s">
        <v>37</v>
      </c>
      <c r="O627" s="14" t="s">
        <v>1053</v>
      </c>
      <c r="P627" s="14"/>
      <c r="Q627" s="14"/>
      <c r="R627" s="14" t="s">
        <v>851</v>
      </c>
    </row>
    <row r="628" spans="1:18" ht="15" customHeight="1">
      <c r="A628" s="12">
        <v>1807</v>
      </c>
      <c r="B628" s="13" t="s">
        <v>1054</v>
      </c>
      <c r="C628" s="14"/>
      <c r="D628" s="14" t="s">
        <v>1051</v>
      </c>
      <c r="E628" s="14" t="s">
        <v>44</v>
      </c>
      <c r="F628" s="15" t="s">
        <v>22</v>
      </c>
      <c r="G628" s="14"/>
      <c r="H628" s="58">
        <v>2</v>
      </c>
      <c r="I628" s="14"/>
      <c r="J628" s="14" t="s">
        <v>23</v>
      </c>
      <c r="K628" s="14"/>
      <c r="L628" s="14"/>
      <c r="M628" s="14" t="s">
        <v>32</v>
      </c>
      <c r="N628" s="25" t="s">
        <v>37</v>
      </c>
      <c r="O628" s="14" t="s">
        <v>1055</v>
      </c>
      <c r="P628" s="14"/>
      <c r="Q628" s="14"/>
      <c r="R628" s="14" t="s">
        <v>308</v>
      </c>
    </row>
    <row r="629" spans="1:18" ht="15" customHeight="1">
      <c r="A629" s="12">
        <v>243</v>
      </c>
      <c r="B629" s="13" t="s">
        <v>1056</v>
      </c>
      <c r="C629" s="14"/>
      <c r="D629" s="14" t="s">
        <v>1057</v>
      </c>
      <c r="E629" s="14" t="s">
        <v>172</v>
      </c>
      <c r="F629" s="15" t="s">
        <v>22</v>
      </c>
      <c r="G629" s="14"/>
      <c r="H629" s="58"/>
      <c r="I629" s="14"/>
      <c r="J629" s="14" t="s">
        <v>23</v>
      </c>
      <c r="K629" s="14"/>
      <c r="L629" s="14"/>
      <c r="M629" s="14" t="s">
        <v>689</v>
      </c>
      <c r="N629" s="14" t="s">
        <v>25</v>
      </c>
      <c r="O629" s="14"/>
      <c r="P629" s="14"/>
      <c r="Q629" s="14"/>
      <c r="R629" s="14" t="s">
        <v>654</v>
      </c>
    </row>
    <row r="630" spans="1:18" ht="15" customHeight="1">
      <c r="A630" s="12">
        <v>1019</v>
      </c>
      <c r="B630" s="13" t="s">
        <v>1058</v>
      </c>
      <c r="C630" s="14"/>
      <c r="D630" s="14" t="s">
        <v>1057</v>
      </c>
      <c r="E630" s="14" t="s">
        <v>172</v>
      </c>
      <c r="F630" s="15" t="s">
        <v>22</v>
      </c>
      <c r="G630" s="21"/>
      <c r="H630" s="58">
        <v>1</v>
      </c>
      <c r="I630" s="14"/>
      <c r="J630" s="14" t="s">
        <v>23</v>
      </c>
      <c r="K630" s="14"/>
      <c r="L630" s="14"/>
      <c r="M630" s="14" t="s">
        <v>29</v>
      </c>
      <c r="N630" s="14" t="s">
        <v>25</v>
      </c>
      <c r="O630" s="14"/>
      <c r="P630" s="14"/>
      <c r="Q630" s="14"/>
      <c r="R630" s="14" t="s">
        <v>851</v>
      </c>
    </row>
    <row r="631" spans="1:18" ht="15" customHeight="1">
      <c r="A631" s="12">
        <v>1808</v>
      </c>
      <c r="B631" s="13" t="s">
        <v>1059</v>
      </c>
      <c r="C631" s="14"/>
      <c r="D631" s="14" t="s">
        <v>1057</v>
      </c>
      <c r="E631" s="14" t="s">
        <v>172</v>
      </c>
      <c r="F631" s="15" t="s">
        <v>22</v>
      </c>
      <c r="G631" s="14"/>
      <c r="H631" s="58">
        <v>1</v>
      </c>
      <c r="I631" s="14"/>
      <c r="J631" s="14" t="s">
        <v>23</v>
      </c>
      <c r="K631" s="14"/>
      <c r="L631" s="14"/>
      <c r="M631" s="14" t="s">
        <v>32</v>
      </c>
      <c r="N631" s="14" t="s">
        <v>25</v>
      </c>
      <c r="O631" s="14"/>
      <c r="P631" s="14"/>
      <c r="Q631" s="14"/>
      <c r="R631" s="14" t="s">
        <v>308</v>
      </c>
    </row>
    <row r="632" spans="1:18" ht="15" customHeight="1">
      <c r="A632" s="12">
        <v>244</v>
      </c>
      <c r="B632" s="13" t="s">
        <v>1060</v>
      </c>
      <c r="C632" s="14"/>
      <c r="D632" s="14" t="s">
        <v>1061</v>
      </c>
      <c r="E632" s="14" t="s">
        <v>36</v>
      </c>
      <c r="F632" s="15" t="s">
        <v>22</v>
      </c>
      <c r="G632" s="14"/>
      <c r="H632" s="58"/>
      <c r="I632" s="14"/>
      <c r="J632" s="14" t="s">
        <v>23</v>
      </c>
      <c r="K632" s="14"/>
      <c r="L632" s="14"/>
      <c r="M632" s="14" t="s">
        <v>689</v>
      </c>
      <c r="N632" s="25" t="s">
        <v>37</v>
      </c>
      <c r="O632" s="14" t="s">
        <v>38</v>
      </c>
      <c r="P632" s="14"/>
      <c r="Q632" s="14"/>
      <c r="R632" s="14" t="s">
        <v>654</v>
      </c>
    </row>
    <row r="633" spans="1:18" ht="15" customHeight="1">
      <c r="A633" s="12">
        <v>1020</v>
      </c>
      <c r="B633" s="13" t="s">
        <v>1062</v>
      </c>
      <c r="C633" s="14"/>
      <c r="D633" s="39" t="s">
        <v>1061</v>
      </c>
      <c r="E633" s="39" t="s">
        <v>36</v>
      </c>
      <c r="F633" s="15" t="s">
        <v>22</v>
      </c>
      <c r="G633" s="21"/>
      <c r="H633" s="58">
        <v>1</v>
      </c>
      <c r="I633" s="14"/>
      <c r="J633" s="14" t="s">
        <v>23</v>
      </c>
      <c r="K633" s="14"/>
      <c r="L633" s="14"/>
      <c r="M633" s="14" t="s">
        <v>29</v>
      </c>
      <c r="N633" s="25" t="s">
        <v>37</v>
      </c>
      <c r="O633" s="14" t="s">
        <v>1063</v>
      </c>
      <c r="P633" s="14"/>
      <c r="Q633" s="14"/>
      <c r="R633" s="14" t="s">
        <v>851</v>
      </c>
    </row>
    <row r="634" spans="1:18" ht="15" customHeight="1">
      <c r="A634" s="12">
        <v>1809</v>
      </c>
      <c r="B634" s="13" t="s">
        <v>1064</v>
      </c>
      <c r="C634" s="14"/>
      <c r="D634" s="14" t="s">
        <v>1061</v>
      </c>
      <c r="E634" s="14" t="s">
        <v>36</v>
      </c>
      <c r="F634" s="15" t="s">
        <v>22</v>
      </c>
      <c r="G634" s="14"/>
      <c r="H634" s="58">
        <v>3</v>
      </c>
      <c r="I634" s="14"/>
      <c r="J634" s="14" t="s">
        <v>23</v>
      </c>
      <c r="K634" s="14"/>
      <c r="L634" s="14"/>
      <c r="M634" s="14" t="s">
        <v>32</v>
      </c>
      <c r="N634" s="25" t="s">
        <v>37</v>
      </c>
      <c r="O634" s="14" t="s">
        <v>1065</v>
      </c>
      <c r="P634" s="14"/>
      <c r="Q634" s="14"/>
      <c r="R634" s="14" t="s">
        <v>308</v>
      </c>
    </row>
    <row r="635" spans="1:18" ht="15" customHeight="1">
      <c r="A635" s="12">
        <v>245</v>
      </c>
      <c r="B635" s="13" t="s">
        <v>1066</v>
      </c>
      <c r="C635" s="14"/>
      <c r="D635" s="14" t="s">
        <v>1067</v>
      </c>
      <c r="E635" s="14" t="s">
        <v>36</v>
      </c>
      <c r="F635" s="15" t="s">
        <v>22</v>
      </c>
      <c r="G635" s="14"/>
      <c r="H635" s="58"/>
      <c r="I635" s="14"/>
      <c r="J635" s="14" t="s">
        <v>23</v>
      </c>
      <c r="K635" s="14"/>
      <c r="L635" s="14"/>
      <c r="M635" s="14" t="s">
        <v>689</v>
      </c>
      <c r="N635" s="25" t="s">
        <v>289</v>
      </c>
      <c r="O635" s="14" t="s">
        <v>189</v>
      </c>
      <c r="P635" s="14"/>
      <c r="Q635" s="14"/>
      <c r="R635" s="14" t="s">
        <v>654</v>
      </c>
    </row>
    <row r="636" spans="1:18" ht="15" customHeight="1">
      <c r="A636" s="12">
        <v>1021</v>
      </c>
      <c r="B636" s="13" t="s">
        <v>1068</v>
      </c>
      <c r="C636" s="14"/>
      <c r="D636" s="14" t="s">
        <v>1067</v>
      </c>
      <c r="E636" s="14" t="s">
        <v>36</v>
      </c>
      <c r="F636" s="15" t="s">
        <v>22</v>
      </c>
      <c r="G636" s="21"/>
      <c r="H636" s="58">
        <v>3</v>
      </c>
      <c r="I636" s="14"/>
      <c r="J636" s="14" t="s">
        <v>23</v>
      </c>
      <c r="K636" s="14"/>
      <c r="L636" s="14"/>
      <c r="M636" s="14" t="s">
        <v>29</v>
      </c>
      <c r="N636" s="25" t="s">
        <v>37</v>
      </c>
      <c r="O636" s="14" t="s">
        <v>160</v>
      </c>
      <c r="P636" s="14"/>
      <c r="Q636" s="14"/>
      <c r="R636" s="14" t="s">
        <v>851</v>
      </c>
    </row>
    <row r="637" spans="1:18" ht="15" customHeight="1">
      <c r="A637" s="12">
        <v>1810</v>
      </c>
      <c r="B637" s="13" t="s">
        <v>1069</v>
      </c>
      <c r="C637" s="14"/>
      <c r="D637" s="14" t="s">
        <v>1067</v>
      </c>
      <c r="E637" s="14" t="s">
        <v>36</v>
      </c>
      <c r="F637" s="15" t="s">
        <v>22</v>
      </c>
      <c r="G637" s="14"/>
      <c r="H637" s="58">
        <v>4</v>
      </c>
      <c r="I637" s="14"/>
      <c r="J637" s="14" t="s">
        <v>23</v>
      </c>
      <c r="K637" s="14"/>
      <c r="L637" s="14"/>
      <c r="M637" s="14" t="s">
        <v>32</v>
      </c>
      <c r="N637" s="25" t="s">
        <v>37</v>
      </c>
      <c r="O637" s="14" t="s">
        <v>1070</v>
      </c>
      <c r="P637" s="14"/>
      <c r="Q637" s="14"/>
      <c r="R637" s="14" t="s">
        <v>308</v>
      </c>
    </row>
    <row r="638" spans="1:18" ht="15" customHeight="1">
      <c r="A638" s="12">
        <v>246</v>
      </c>
      <c r="B638" s="13" t="s">
        <v>1071</v>
      </c>
      <c r="C638" s="14"/>
      <c r="D638" s="14" t="s">
        <v>1072</v>
      </c>
      <c r="E638" s="14" t="s">
        <v>36</v>
      </c>
      <c r="F638" s="15" t="s">
        <v>22</v>
      </c>
      <c r="G638" s="14"/>
      <c r="H638" s="58"/>
      <c r="I638" s="14"/>
      <c r="J638" s="14" t="s">
        <v>23</v>
      </c>
      <c r="K638" s="14"/>
      <c r="L638" s="14"/>
      <c r="M638" s="14" t="s">
        <v>689</v>
      </c>
      <c r="N638" s="14" t="s">
        <v>25</v>
      </c>
      <c r="O638" s="14"/>
      <c r="P638" s="14"/>
      <c r="Q638" s="14"/>
      <c r="R638" s="14" t="s">
        <v>654</v>
      </c>
    </row>
    <row r="639" spans="1:18" ht="15" customHeight="1">
      <c r="A639" s="12">
        <v>1022</v>
      </c>
      <c r="B639" s="13" t="s">
        <v>1073</v>
      </c>
      <c r="C639" s="14"/>
      <c r="D639" s="14" t="s">
        <v>1072</v>
      </c>
      <c r="E639" s="14" t="s">
        <v>36</v>
      </c>
      <c r="F639" s="15" t="s">
        <v>22</v>
      </c>
      <c r="G639" s="21"/>
      <c r="H639" s="58">
        <v>2</v>
      </c>
      <c r="I639" s="14"/>
      <c r="J639" s="14" t="s">
        <v>23</v>
      </c>
      <c r="K639" s="14"/>
      <c r="L639" s="14"/>
      <c r="M639" s="14" t="s">
        <v>29</v>
      </c>
      <c r="N639" s="25" t="s">
        <v>37</v>
      </c>
      <c r="O639" s="14" t="s">
        <v>1074</v>
      </c>
      <c r="P639" s="14"/>
      <c r="Q639" s="14"/>
      <c r="R639" s="14" t="s">
        <v>851</v>
      </c>
    </row>
    <row r="640" spans="1:18" ht="15" customHeight="1">
      <c r="A640" s="12">
        <v>1811</v>
      </c>
      <c r="B640" s="13" t="s">
        <v>1075</v>
      </c>
      <c r="C640" s="14"/>
      <c r="D640" s="14" t="s">
        <v>1072</v>
      </c>
      <c r="E640" s="14" t="s">
        <v>36</v>
      </c>
      <c r="F640" s="15" t="s">
        <v>22</v>
      </c>
      <c r="G640" s="14"/>
      <c r="H640" s="58">
        <v>3</v>
      </c>
      <c r="I640" s="14"/>
      <c r="J640" s="14" t="s">
        <v>23</v>
      </c>
      <c r="K640" s="14"/>
      <c r="L640" s="14"/>
      <c r="M640" s="14" t="s">
        <v>32</v>
      </c>
      <c r="N640" s="25" t="s">
        <v>37</v>
      </c>
      <c r="O640" s="14" t="s">
        <v>1076</v>
      </c>
      <c r="P640" s="14"/>
      <c r="Q640" s="14"/>
      <c r="R640" s="14" t="s">
        <v>308</v>
      </c>
    </row>
    <row r="641" spans="1:18" ht="15" customHeight="1">
      <c r="A641" s="12">
        <v>247</v>
      </c>
      <c r="B641" s="13" t="s">
        <v>1077</v>
      </c>
      <c r="C641" s="14"/>
      <c r="D641" s="14" t="s">
        <v>1078</v>
      </c>
      <c r="E641" s="14" t="s">
        <v>44</v>
      </c>
      <c r="F641" s="15" t="s">
        <v>22</v>
      </c>
      <c r="G641" s="14"/>
      <c r="H641" s="58"/>
      <c r="I641" s="14"/>
      <c r="J641" s="14" t="s">
        <v>23</v>
      </c>
      <c r="K641" s="14"/>
      <c r="L641" s="14"/>
      <c r="M641" s="14" t="s">
        <v>689</v>
      </c>
      <c r="N641" s="25" t="s">
        <v>37</v>
      </c>
      <c r="O641" s="14" t="s">
        <v>80</v>
      </c>
      <c r="P641" s="14"/>
      <c r="Q641" s="14"/>
      <c r="R641" s="14" t="s">
        <v>654</v>
      </c>
    </row>
    <row r="642" spans="1:18" ht="15" customHeight="1">
      <c r="A642" s="12">
        <v>1023</v>
      </c>
      <c r="B642" s="13" t="s">
        <v>1079</v>
      </c>
      <c r="C642" s="14"/>
      <c r="D642" s="14" t="s">
        <v>1078</v>
      </c>
      <c r="E642" s="14" t="s">
        <v>44</v>
      </c>
      <c r="F642" s="15" t="s">
        <v>22</v>
      </c>
      <c r="G642" s="21"/>
      <c r="H642" s="58">
        <v>2</v>
      </c>
      <c r="I642" s="14"/>
      <c r="J642" s="14" t="s">
        <v>23</v>
      </c>
      <c r="K642" s="14"/>
      <c r="L642" s="14"/>
      <c r="M642" s="14" t="s">
        <v>29</v>
      </c>
      <c r="N642" s="25" t="s">
        <v>37</v>
      </c>
      <c r="O642" s="14" t="s">
        <v>1080</v>
      </c>
      <c r="P642" s="14"/>
      <c r="Q642" s="14"/>
      <c r="R642" s="14" t="s">
        <v>851</v>
      </c>
    </row>
    <row r="643" spans="1:18" ht="15" customHeight="1">
      <c r="A643" s="12">
        <v>1812</v>
      </c>
      <c r="B643" s="13" t="s">
        <v>1081</v>
      </c>
      <c r="C643" s="14"/>
      <c r="D643" s="14" t="s">
        <v>1078</v>
      </c>
      <c r="E643" s="14" t="s">
        <v>44</v>
      </c>
      <c r="F643" s="15" t="s">
        <v>22</v>
      </c>
      <c r="G643" s="14"/>
      <c r="H643" s="58">
        <v>3</v>
      </c>
      <c r="I643" s="14"/>
      <c r="J643" s="14" t="s">
        <v>23</v>
      </c>
      <c r="K643" s="14"/>
      <c r="L643" s="14"/>
      <c r="M643" s="14" t="s">
        <v>32</v>
      </c>
      <c r="N643" s="25" t="s">
        <v>37</v>
      </c>
      <c r="O643" s="14" t="s">
        <v>1082</v>
      </c>
      <c r="P643" s="14"/>
      <c r="Q643" s="14"/>
      <c r="R643" s="14" t="s">
        <v>308</v>
      </c>
    </row>
    <row r="644" spans="1:18" ht="15" customHeight="1">
      <c r="A644" s="12">
        <v>248</v>
      </c>
      <c r="B644" s="13" t="s">
        <v>1083</v>
      </c>
      <c r="C644" s="14"/>
      <c r="D644" s="14" t="s">
        <v>1084</v>
      </c>
      <c r="E644" s="14" t="s">
        <v>36</v>
      </c>
      <c r="F644" s="15" t="s">
        <v>22</v>
      </c>
      <c r="G644" s="14"/>
      <c r="H644" s="58"/>
      <c r="I644" s="14"/>
      <c r="J644" s="14" t="s">
        <v>23</v>
      </c>
      <c r="K644" s="14"/>
      <c r="L644" s="14"/>
      <c r="M644" s="14" t="s">
        <v>689</v>
      </c>
      <c r="N644" s="14" t="s">
        <v>25</v>
      </c>
      <c r="O644" s="14"/>
      <c r="P644" s="14"/>
      <c r="Q644" s="14"/>
      <c r="R644" s="14" t="s">
        <v>654</v>
      </c>
    </row>
    <row r="645" spans="1:18" ht="15" customHeight="1">
      <c r="A645" s="12">
        <v>1024</v>
      </c>
      <c r="B645" s="13" t="s">
        <v>1085</v>
      </c>
      <c r="C645" s="14"/>
      <c r="D645" s="14" t="s">
        <v>1084</v>
      </c>
      <c r="E645" s="14" t="s">
        <v>36</v>
      </c>
      <c r="F645" s="15" t="s">
        <v>22</v>
      </c>
      <c r="G645" s="21"/>
      <c r="H645" s="58">
        <v>1</v>
      </c>
      <c r="I645" s="14"/>
      <c r="J645" s="14" t="s">
        <v>23</v>
      </c>
      <c r="K645" s="14"/>
      <c r="L645" s="14"/>
      <c r="M645" s="14" t="s">
        <v>29</v>
      </c>
      <c r="N645" s="25" t="s">
        <v>37</v>
      </c>
      <c r="O645" s="14" t="s">
        <v>1086</v>
      </c>
      <c r="P645" s="14"/>
      <c r="Q645" s="14"/>
      <c r="R645" s="14" t="s">
        <v>851</v>
      </c>
    </row>
    <row r="646" spans="1:18" ht="15" customHeight="1">
      <c r="A646" s="12">
        <v>1813</v>
      </c>
      <c r="B646" s="13" t="s">
        <v>1087</v>
      </c>
      <c r="C646" s="14"/>
      <c r="D646" s="14" t="s">
        <v>1084</v>
      </c>
      <c r="E646" s="14" t="s">
        <v>36</v>
      </c>
      <c r="F646" s="15" t="s">
        <v>22</v>
      </c>
      <c r="G646" s="14"/>
      <c r="H646" s="58">
        <v>2</v>
      </c>
      <c r="I646" s="14"/>
      <c r="J646" s="14" t="s">
        <v>23</v>
      </c>
      <c r="K646" s="14"/>
      <c r="L646" s="14"/>
      <c r="M646" s="14" t="s">
        <v>32</v>
      </c>
      <c r="N646" s="25" t="s">
        <v>37</v>
      </c>
      <c r="O646" s="14" t="s">
        <v>1088</v>
      </c>
      <c r="P646" s="14"/>
      <c r="Q646" s="14"/>
      <c r="R646" s="14" t="s">
        <v>308</v>
      </c>
    </row>
    <row r="647" spans="1:18" ht="15" customHeight="1">
      <c r="A647" s="12">
        <v>249</v>
      </c>
      <c r="B647" s="13" t="s">
        <v>1089</v>
      </c>
      <c r="C647" s="14"/>
      <c r="D647" s="14" t="s">
        <v>1090</v>
      </c>
      <c r="E647" s="14" t="s">
        <v>580</v>
      </c>
      <c r="F647" s="15" t="s">
        <v>22</v>
      </c>
      <c r="G647" s="14"/>
      <c r="H647" s="58"/>
      <c r="I647" s="14"/>
      <c r="J647" s="14" t="s">
        <v>23</v>
      </c>
      <c r="K647" s="14"/>
      <c r="L647" s="14"/>
      <c r="M647" s="14" t="s">
        <v>689</v>
      </c>
      <c r="N647" s="14" t="s">
        <v>25</v>
      </c>
      <c r="O647" s="14"/>
      <c r="P647" s="14"/>
      <c r="Q647" s="14"/>
      <c r="R647" s="14" t="s">
        <v>654</v>
      </c>
    </row>
    <row r="648" spans="1:18" ht="15" customHeight="1">
      <c r="A648" s="12">
        <v>1025</v>
      </c>
      <c r="B648" s="13" t="s">
        <v>1091</v>
      </c>
      <c r="C648" s="14"/>
      <c r="D648" s="14" t="s">
        <v>1090</v>
      </c>
      <c r="E648" s="14" t="s">
        <v>580</v>
      </c>
      <c r="F648" s="15" t="s">
        <v>22</v>
      </c>
      <c r="G648" s="21"/>
      <c r="H648" s="58"/>
      <c r="I648" s="14"/>
      <c r="J648" s="14" t="s">
        <v>23</v>
      </c>
      <c r="K648" s="14"/>
      <c r="L648" s="14"/>
      <c r="M648" s="14" t="s">
        <v>29</v>
      </c>
      <c r="N648" s="14" t="s">
        <v>25</v>
      </c>
      <c r="O648" s="14"/>
      <c r="P648" s="14"/>
      <c r="Q648" s="14"/>
      <c r="R648" s="14" t="s">
        <v>851</v>
      </c>
    </row>
    <row r="649" spans="1:18" ht="15" customHeight="1">
      <c r="A649" s="12">
        <v>1814</v>
      </c>
      <c r="B649" s="13" t="s">
        <v>1092</v>
      </c>
      <c r="C649" s="14"/>
      <c r="D649" s="14" t="s">
        <v>1090</v>
      </c>
      <c r="E649" s="14" t="s">
        <v>580</v>
      </c>
      <c r="F649" s="15" t="s">
        <v>22</v>
      </c>
      <c r="G649" s="14"/>
      <c r="H649" s="58">
        <v>2</v>
      </c>
      <c r="I649" s="14"/>
      <c r="J649" s="14" t="s">
        <v>23</v>
      </c>
      <c r="K649" s="14"/>
      <c r="L649" s="14"/>
      <c r="M649" s="14" t="s">
        <v>32</v>
      </c>
      <c r="N649" s="25" t="s">
        <v>37</v>
      </c>
      <c r="O649" s="14" t="s">
        <v>1093</v>
      </c>
      <c r="P649" s="14"/>
      <c r="Q649" s="14"/>
      <c r="R649" s="14" t="s">
        <v>308</v>
      </c>
    </row>
    <row r="650" spans="1:18" ht="15" customHeight="1">
      <c r="A650" s="12">
        <v>250</v>
      </c>
      <c r="B650" s="13" t="s">
        <v>1094</v>
      </c>
      <c r="C650" s="14"/>
      <c r="D650" s="14" t="s">
        <v>1095</v>
      </c>
      <c r="E650" s="14" t="s">
        <v>44</v>
      </c>
      <c r="F650" s="15" t="s">
        <v>22</v>
      </c>
      <c r="G650" s="14"/>
      <c r="H650" s="58"/>
      <c r="I650" s="14"/>
      <c r="J650" s="14" t="s">
        <v>23</v>
      </c>
      <c r="K650" s="14"/>
      <c r="L650" s="14"/>
      <c r="M650" s="14" t="s">
        <v>689</v>
      </c>
      <c r="N650" s="25" t="s">
        <v>37</v>
      </c>
      <c r="O650" s="14" t="s">
        <v>38</v>
      </c>
      <c r="P650" s="14"/>
      <c r="Q650" s="14"/>
      <c r="R650" s="14" t="s">
        <v>654</v>
      </c>
    </row>
    <row r="651" spans="1:18" ht="15" customHeight="1">
      <c r="A651" s="12">
        <v>1026</v>
      </c>
      <c r="B651" s="13" t="s">
        <v>1096</v>
      </c>
      <c r="C651" s="14"/>
      <c r="D651" s="14" t="s">
        <v>1095</v>
      </c>
      <c r="E651" s="14" t="s">
        <v>44</v>
      </c>
      <c r="F651" s="15" t="s">
        <v>22</v>
      </c>
      <c r="G651" s="21"/>
      <c r="H651" s="58">
        <v>2</v>
      </c>
      <c r="I651" s="14"/>
      <c r="J651" s="14" t="s">
        <v>23</v>
      </c>
      <c r="K651" s="14"/>
      <c r="L651" s="14"/>
      <c r="M651" s="14" t="s">
        <v>29</v>
      </c>
      <c r="N651" s="25" t="s">
        <v>37</v>
      </c>
      <c r="O651" s="14" t="s">
        <v>1097</v>
      </c>
      <c r="P651" s="14"/>
      <c r="Q651" s="14"/>
      <c r="R651" s="14" t="s">
        <v>851</v>
      </c>
    </row>
    <row r="652" spans="1:18" ht="15" customHeight="1">
      <c r="A652" s="12">
        <v>1815</v>
      </c>
      <c r="B652" s="13" t="s">
        <v>1098</v>
      </c>
      <c r="C652" s="14"/>
      <c r="D652" s="14" t="s">
        <v>1095</v>
      </c>
      <c r="E652" s="14" t="s">
        <v>44</v>
      </c>
      <c r="F652" s="15" t="s">
        <v>22</v>
      </c>
      <c r="G652" s="14"/>
      <c r="H652" s="58">
        <v>4</v>
      </c>
      <c r="I652" s="14"/>
      <c r="J652" s="14" t="s">
        <v>23</v>
      </c>
      <c r="K652" s="14"/>
      <c r="L652" s="14"/>
      <c r="M652" s="14" t="s">
        <v>32</v>
      </c>
      <c r="N652" s="25" t="s">
        <v>37</v>
      </c>
      <c r="O652" s="14" t="s">
        <v>1099</v>
      </c>
      <c r="P652" s="14"/>
      <c r="Q652" s="14"/>
      <c r="R652" s="14" t="s">
        <v>308</v>
      </c>
    </row>
    <row r="653" spans="1:18" ht="15" customHeight="1">
      <c r="A653" s="12">
        <v>251</v>
      </c>
      <c r="B653" s="13" t="s">
        <v>1100</v>
      </c>
      <c r="C653" s="14"/>
      <c r="D653" s="14" t="s">
        <v>1101</v>
      </c>
      <c r="E653" s="14" t="s">
        <v>1102</v>
      </c>
      <c r="F653" s="15" t="s">
        <v>22</v>
      </c>
      <c r="G653" s="14"/>
      <c r="H653" s="58"/>
      <c r="I653" s="14"/>
      <c r="J653" s="14" t="s">
        <v>23</v>
      </c>
      <c r="K653" s="14"/>
      <c r="L653" s="14"/>
      <c r="M653" s="14" t="s">
        <v>689</v>
      </c>
      <c r="N653" s="14" t="s">
        <v>25</v>
      </c>
      <c r="O653" s="14"/>
      <c r="P653" s="14"/>
      <c r="Q653" s="14"/>
      <c r="R653" s="14" t="s">
        <v>654</v>
      </c>
    </row>
    <row r="654" spans="1:18" ht="15" customHeight="1">
      <c r="A654" s="12">
        <v>1816</v>
      </c>
      <c r="B654" s="13" t="s">
        <v>1103</v>
      </c>
      <c r="C654" s="14"/>
      <c r="D654" s="14" t="s">
        <v>1101</v>
      </c>
      <c r="E654" s="14" t="s">
        <v>1102</v>
      </c>
      <c r="F654" s="15" t="s">
        <v>22</v>
      </c>
      <c r="G654" s="14"/>
      <c r="H654" s="58">
        <v>3</v>
      </c>
      <c r="I654" s="14"/>
      <c r="J654" s="14" t="s">
        <v>23</v>
      </c>
      <c r="K654" s="14"/>
      <c r="L654" s="14"/>
      <c r="M654" s="14" t="s">
        <v>32</v>
      </c>
      <c r="N654" s="25" t="s">
        <v>37</v>
      </c>
      <c r="O654" s="14" t="s">
        <v>1104</v>
      </c>
      <c r="P654" s="14"/>
      <c r="Q654" s="14"/>
      <c r="R654" s="14" t="s">
        <v>308</v>
      </c>
    </row>
    <row r="655" spans="1:18" ht="15" customHeight="1">
      <c r="A655" s="12">
        <v>252</v>
      </c>
      <c r="B655" s="13" t="s">
        <v>1105</v>
      </c>
      <c r="C655" s="14"/>
      <c r="D655" s="14" t="s">
        <v>1106</v>
      </c>
      <c r="E655" s="14" t="s">
        <v>36</v>
      </c>
      <c r="F655" s="15" t="s">
        <v>22</v>
      </c>
      <c r="G655" s="14"/>
      <c r="H655" s="58"/>
      <c r="I655" s="14"/>
      <c r="J655" s="14" t="s">
        <v>23</v>
      </c>
      <c r="K655" s="14"/>
      <c r="L655" s="14"/>
      <c r="M655" s="14" t="s">
        <v>689</v>
      </c>
      <c r="N655" s="25" t="s">
        <v>37</v>
      </c>
      <c r="O655" s="14" t="s">
        <v>52</v>
      </c>
      <c r="P655" s="14"/>
      <c r="Q655" s="14"/>
      <c r="R655" s="14" t="s">
        <v>654</v>
      </c>
    </row>
    <row r="656" spans="1:18" ht="15" customHeight="1">
      <c r="A656" s="12">
        <v>1817</v>
      </c>
      <c r="B656" s="13" t="s">
        <v>1107</v>
      </c>
      <c r="C656" s="14"/>
      <c r="D656" s="14" t="s">
        <v>1106</v>
      </c>
      <c r="E656" s="14" t="s">
        <v>36</v>
      </c>
      <c r="F656" s="15" t="s">
        <v>22</v>
      </c>
      <c r="G656" s="14"/>
      <c r="H656" s="58">
        <v>4</v>
      </c>
      <c r="I656" s="14"/>
      <c r="J656" s="14" t="s">
        <v>23</v>
      </c>
      <c r="K656" s="14"/>
      <c r="L656" s="14"/>
      <c r="M656" s="14" t="s">
        <v>32</v>
      </c>
      <c r="N656" s="25" t="s">
        <v>37</v>
      </c>
      <c r="O656" s="14" t="s">
        <v>1108</v>
      </c>
      <c r="P656" s="14"/>
      <c r="Q656" s="14"/>
      <c r="R656" s="14" t="s">
        <v>308</v>
      </c>
    </row>
    <row r="657" spans="1:18" ht="15" customHeight="1">
      <c r="A657" s="12">
        <v>253</v>
      </c>
      <c r="B657" s="13" t="s">
        <v>1109</v>
      </c>
      <c r="C657" s="14"/>
      <c r="D657" s="14" t="s">
        <v>1110</v>
      </c>
      <c r="E657" s="14" t="s">
        <v>215</v>
      </c>
      <c r="F657" s="15" t="s">
        <v>22</v>
      </c>
      <c r="G657" s="14"/>
      <c r="H657" s="58"/>
      <c r="I657" s="14"/>
      <c r="J657" s="14" t="s">
        <v>23</v>
      </c>
      <c r="K657" s="14"/>
      <c r="L657" s="14"/>
      <c r="M657" s="14" t="s">
        <v>689</v>
      </c>
      <c r="N657" s="14" t="s">
        <v>25</v>
      </c>
      <c r="O657" s="14"/>
      <c r="P657" s="14"/>
      <c r="Q657" s="14"/>
      <c r="R657" s="14" t="s">
        <v>654</v>
      </c>
    </row>
    <row r="658" spans="1:18" ht="15" customHeight="1">
      <c r="A658" s="12">
        <v>1818</v>
      </c>
      <c r="B658" s="13" t="s">
        <v>1111</v>
      </c>
      <c r="C658" s="14"/>
      <c r="D658" s="14" t="s">
        <v>1110</v>
      </c>
      <c r="E658" s="14" t="s">
        <v>215</v>
      </c>
      <c r="F658" s="15" t="s">
        <v>22</v>
      </c>
      <c r="G658" s="14"/>
      <c r="H658" s="58">
        <v>3</v>
      </c>
      <c r="I658" s="14"/>
      <c r="J658" s="14" t="s">
        <v>23</v>
      </c>
      <c r="K658" s="14"/>
      <c r="L658" s="14"/>
      <c r="M658" s="14" t="s">
        <v>32</v>
      </c>
      <c r="N658" s="25" t="s">
        <v>37</v>
      </c>
      <c r="O658" s="14" t="s">
        <v>1112</v>
      </c>
      <c r="P658" s="14"/>
      <c r="Q658" s="14"/>
      <c r="R658" s="14" t="s">
        <v>1113</v>
      </c>
    </row>
    <row r="659" spans="1:18" ht="15" customHeight="1">
      <c r="A659" s="12">
        <v>254</v>
      </c>
      <c r="B659" s="13" t="s">
        <v>1114</v>
      </c>
      <c r="C659" s="14"/>
      <c r="D659" s="14" t="s">
        <v>1115</v>
      </c>
      <c r="E659" s="14" t="s">
        <v>92</v>
      </c>
      <c r="F659" s="15" t="s">
        <v>22</v>
      </c>
      <c r="G659" s="14"/>
      <c r="H659" s="58"/>
      <c r="I659" s="14"/>
      <c r="J659" s="14" t="s">
        <v>23</v>
      </c>
      <c r="K659" s="14"/>
      <c r="L659" s="14"/>
      <c r="M659" s="14" t="s">
        <v>689</v>
      </c>
      <c r="N659" s="25" t="s">
        <v>37</v>
      </c>
      <c r="O659" s="14" t="s">
        <v>45</v>
      </c>
      <c r="P659" s="14"/>
      <c r="Q659" s="14"/>
      <c r="R659" s="14" t="s">
        <v>654</v>
      </c>
    </row>
    <row r="660" spans="1:18" ht="15" customHeight="1">
      <c r="A660" s="12">
        <v>1027</v>
      </c>
      <c r="B660" s="13" t="s">
        <v>1116</v>
      </c>
      <c r="C660" s="14"/>
      <c r="D660" s="14" t="s">
        <v>1115</v>
      </c>
      <c r="E660" s="14" t="s">
        <v>92</v>
      </c>
      <c r="F660" s="15" t="s">
        <v>22</v>
      </c>
      <c r="G660" s="21"/>
      <c r="H660" s="58">
        <v>2</v>
      </c>
      <c r="I660" s="14"/>
      <c r="J660" s="14" t="s">
        <v>23</v>
      </c>
      <c r="K660" s="14"/>
      <c r="L660" s="14"/>
      <c r="M660" s="14" t="s">
        <v>29</v>
      </c>
      <c r="N660" s="25" t="s">
        <v>37</v>
      </c>
      <c r="O660" s="14" t="s">
        <v>1117</v>
      </c>
      <c r="P660" s="14"/>
      <c r="Q660" s="14"/>
      <c r="R660" s="14" t="s">
        <v>851</v>
      </c>
    </row>
    <row r="661" spans="1:18" ht="15" customHeight="1">
      <c r="A661" s="12">
        <v>1819</v>
      </c>
      <c r="B661" s="13" t="s">
        <v>1118</v>
      </c>
      <c r="C661" s="14"/>
      <c r="D661" s="14" t="s">
        <v>1115</v>
      </c>
      <c r="E661" s="14" t="s">
        <v>92</v>
      </c>
      <c r="F661" s="15" t="s">
        <v>22</v>
      </c>
      <c r="G661" s="14"/>
      <c r="H661" s="58">
        <v>3</v>
      </c>
      <c r="I661" s="14"/>
      <c r="J661" s="14" t="s">
        <v>23</v>
      </c>
      <c r="K661" s="14"/>
      <c r="L661" s="14"/>
      <c r="M661" s="14" t="s">
        <v>32</v>
      </c>
      <c r="N661" s="25" t="s">
        <v>37</v>
      </c>
      <c r="O661" s="14" t="s">
        <v>1119</v>
      </c>
      <c r="P661" s="14"/>
      <c r="Q661" s="14"/>
      <c r="R661" s="14" t="s">
        <v>1113</v>
      </c>
    </row>
    <row r="662" spans="1:18" ht="15" customHeight="1">
      <c r="A662" s="12">
        <v>255</v>
      </c>
      <c r="B662" s="13" t="s">
        <v>1120</v>
      </c>
      <c r="C662" s="14"/>
      <c r="D662" s="14" t="s">
        <v>1121</v>
      </c>
      <c r="E662" s="14" t="s">
        <v>1102</v>
      </c>
      <c r="F662" s="15" t="s">
        <v>22</v>
      </c>
      <c r="G662" s="14"/>
      <c r="H662" s="58"/>
      <c r="I662" s="14"/>
      <c r="J662" s="14" t="s">
        <v>23</v>
      </c>
      <c r="K662" s="14"/>
      <c r="L662" s="14"/>
      <c r="M662" s="14" t="s">
        <v>689</v>
      </c>
      <c r="N662" s="14" t="s">
        <v>25</v>
      </c>
      <c r="O662" s="14"/>
      <c r="P662" s="14"/>
      <c r="Q662" s="14"/>
      <c r="R662" s="14" t="s">
        <v>654</v>
      </c>
    </row>
    <row r="663" spans="1:18" ht="15" customHeight="1">
      <c r="A663" s="12">
        <v>1028</v>
      </c>
      <c r="B663" s="13" t="s">
        <v>1122</v>
      </c>
      <c r="C663" s="14"/>
      <c r="D663" s="14" t="s">
        <v>1121</v>
      </c>
      <c r="E663" s="14" t="s">
        <v>1102</v>
      </c>
      <c r="F663" s="15" t="s">
        <v>22</v>
      </c>
      <c r="G663" s="21"/>
      <c r="H663" s="58"/>
      <c r="I663" s="14"/>
      <c r="J663" s="14" t="s">
        <v>23</v>
      </c>
      <c r="K663" s="14"/>
      <c r="L663" s="14"/>
      <c r="M663" s="14" t="s">
        <v>29</v>
      </c>
      <c r="N663" s="14" t="s">
        <v>25</v>
      </c>
      <c r="O663" s="14"/>
      <c r="P663" s="14"/>
      <c r="Q663" s="14"/>
      <c r="R663" s="14" t="s">
        <v>851</v>
      </c>
    </row>
    <row r="664" spans="1:18" ht="15" customHeight="1">
      <c r="A664" s="12">
        <v>1820</v>
      </c>
      <c r="B664" s="13" t="s">
        <v>1123</v>
      </c>
      <c r="C664" s="14"/>
      <c r="D664" s="14" t="s">
        <v>1121</v>
      </c>
      <c r="E664" s="14" t="s">
        <v>1102</v>
      </c>
      <c r="F664" s="15" t="s">
        <v>22</v>
      </c>
      <c r="G664" s="14"/>
      <c r="H664" s="58">
        <v>0</v>
      </c>
      <c r="I664" s="14"/>
      <c r="J664" s="14" t="s">
        <v>23</v>
      </c>
      <c r="K664" s="14"/>
      <c r="L664" s="14"/>
      <c r="M664" s="14" t="s">
        <v>32</v>
      </c>
      <c r="N664" s="22" t="s">
        <v>25</v>
      </c>
      <c r="O664" s="14"/>
      <c r="P664" s="14"/>
      <c r="Q664" s="14"/>
      <c r="R664" s="14" t="s">
        <v>1113</v>
      </c>
    </row>
    <row r="665" spans="1:18" ht="15" customHeight="1">
      <c r="A665" s="12">
        <v>256</v>
      </c>
      <c r="B665" s="13" t="s">
        <v>1124</v>
      </c>
      <c r="C665" s="14"/>
      <c r="D665" s="14" t="s">
        <v>1125</v>
      </c>
      <c r="E665" s="14" t="s">
        <v>1102</v>
      </c>
      <c r="F665" s="15" t="s">
        <v>22</v>
      </c>
      <c r="G665" s="14"/>
      <c r="H665" s="58"/>
      <c r="I665" s="14"/>
      <c r="J665" s="14" t="s">
        <v>23</v>
      </c>
      <c r="K665" s="14"/>
      <c r="L665" s="14"/>
      <c r="M665" s="14" t="s">
        <v>689</v>
      </c>
      <c r="N665" s="14" t="s">
        <v>25</v>
      </c>
      <c r="O665" s="14"/>
      <c r="P665" s="14"/>
      <c r="Q665" s="14"/>
      <c r="R665" s="14" t="s">
        <v>654</v>
      </c>
    </row>
    <row r="666" spans="1:18" ht="15" customHeight="1">
      <c r="A666" s="12">
        <v>1029</v>
      </c>
      <c r="B666" s="13" t="s">
        <v>1126</v>
      </c>
      <c r="C666" s="14"/>
      <c r="D666" s="14" t="s">
        <v>1125</v>
      </c>
      <c r="E666" s="14" t="s">
        <v>1102</v>
      </c>
      <c r="F666" s="15" t="s">
        <v>22</v>
      </c>
      <c r="G666" s="21"/>
      <c r="H666" s="58"/>
      <c r="I666" s="14"/>
      <c r="J666" s="14" t="s">
        <v>23</v>
      </c>
      <c r="K666" s="14"/>
      <c r="L666" s="14"/>
      <c r="M666" s="14" t="s">
        <v>29</v>
      </c>
      <c r="N666" s="14" t="s">
        <v>25</v>
      </c>
      <c r="O666" s="14"/>
      <c r="P666" s="14"/>
      <c r="Q666" s="14"/>
      <c r="R666" s="14" t="s">
        <v>851</v>
      </c>
    </row>
    <row r="667" spans="1:18" ht="15" customHeight="1">
      <c r="A667" s="12">
        <v>1821</v>
      </c>
      <c r="B667" s="13" t="s">
        <v>1127</v>
      </c>
      <c r="C667" s="14"/>
      <c r="D667" s="14" t="s">
        <v>1125</v>
      </c>
      <c r="E667" s="14" t="s">
        <v>1102</v>
      </c>
      <c r="F667" s="15" t="s">
        <v>22</v>
      </c>
      <c r="G667" s="14"/>
      <c r="H667" s="58">
        <v>0</v>
      </c>
      <c r="I667" s="14"/>
      <c r="J667" s="14" t="s">
        <v>23</v>
      </c>
      <c r="K667" s="14"/>
      <c r="L667" s="14"/>
      <c r="M667" s="14" t="s">
        <v>32</v>
      </c>
      <c r="N667" s="22" t="s">
        <v>25</v>
      </c>
      <c r="O667" s="14"/>
      <c r="P667" s="14"/>
      <c r="Q667" s="14"/>
      <c r="R667" s="14" t="s">
        <v>1113</v>
      </c>
    </row>
    <row r="668" spans="1:18" ht="15" customHeight="1">
      <c r="A668" s="12">
        <v>257</v>
      </c>
      <c r="B668" s="13" t="s">
        <v>1128</v>
      </c>
      <c r="C668" s="14"/>
      <c r="D668" s="14" t="s">
        <v>1129</v>
      </c>
      <c r="E668" s="14" t="s">
        <v>44</v>
      </c>
      <c r="F668" s="15" t="s">
        <v>22</v>
      </c>
      <c r="G668" s="14"/>
      <c r="H668" s="58"/>
      <c r="I668" s="14"/>
      <c r="J668" s="14" t="s">
        <v>23</v>
      </c>
      <c r="K668" s="14"/>
      <c r="L668" s="14"/>
      <c r="M668" s="14" t="s">
        <v>689</v>
      </c>
      <c r="N668" s="14" t="s">
        <v>25</v>
      </c>
      <c r="O668" s="14"/>
      <c r="P668" s="14"/>
      <c r="Q668" s="14"/>
      <c r="R668" s="14" t="s">
        <v>654</v>
      </c>
    </row>
    <row r="669" spans="1:18" ht="15" customHeight="1">
      <c r="A669" s="12">
        <v>1030</v>
      </c>
      <c r="B669" s="13" t="s">
        <v>1130</v>
      </c>
      <c r="C669" s="14"/>
      <c r="D669" s="14" t="s">
        <v>1129</v>
      </c>
      <c r="E669" s="14" t="s">
        <v>44</v>
      </c>
      <c r="F669" s="15" t="s">
        <v>22</v>
      </c>
      <c r="G669" s="21"/>
      <c r="H669" s="58">
        <v>2</v>
      </c>
      <c r="I669" s="14"/>
      <c r="J669" s="14" t="s">
        <v>23</v>
      </c>
      <c r="K669" s="14"/>
      <c r="L669" s="14"/>
      <c r="M669" s="14" t="s">
        <v>29</v>
      </c>
      <c r="N669" s="25" t="s">
        <v>37</v>
      </c>
      <c r="O669" s="14" t="s">
        <v>1131</v>
      </c>
      <c r="P669" s="14"/>
      <c r="Q669" s="14"/>
      <c r="R669" s="14" t="s">
        <v>851</v>
      </c>
    </row>
    <row r="670" spans="1:18" ht="15" customHeight="1">
      <c r="A670" s="12">
        <v>1822</v>
      </c>
      <c r="B670" s="13" t="s">
        <v>1132</v>
      </c>
      <c r="C670" s="14"/>
      <c r="D670" s="14" t="s">
        <v>1129</v>
      </c>
      <c r="E670" s="14" t="s">
        <v>44</v>
      </c>
      <c r="F670" s="15" t="s">
        <v>22</v>
      </c>
      <c r="G670" s="14"/>
      <c r="H670" s="58">
        <v>1</v>
      </c>
      <c r="I670" s="14"/>
      <c r="J670" s="14" t="s">
        <v>23</v>
      </c>
      <c r="K670" s="14"/>
      <c r="L670" s="14"/>
      <c r="M670" s="14" t="s">
        <v>32</v>
      </c>
      <c r="N670" s="25" t="s">
        <v>37</v>
      </c>
      <c r="O670" s="14" t="s">
        <v>1133</v>
      </c>
      <c r="P670" s="14"/>
      <c r="Q670" s="14"/>
      <c r="R670" s="14" t="s">
        <v>1113</v>
      </c>
    </row>
    <row r="671" spans="1:18" ht="15" customHeight="1">
      <c r="A671" s="12">
        <v>258</v>
      </c>
      <c r="B671" s="13" t="s">
        <v>1134</v>
      </c>
      <c r="C671" s="14"/>
      <c r="D671" s="14" t="s">
        <v>1135</v>
      </c>
      <c r="E671" s="14" t="s">
        <v>36</v>
      </c>
      <c r="F671" s="15" t="s">
        <v>22</v>
      </c>
      <c r="G671" s="14"/>
      <c r="H671" s="58"/>
      <c r="I671" s="14"/>
      <c r="J671" s="14" t="s">
        <v>23</v>
      </c>
      <c r="K671" s="14"/>
      <c r="L671" s="14"/>
      <c r="M671" s="14" t="s">
        <v>689</v>
      </c>
      <c r="N671" s="25" t="s">
        <v>37</v>
      </c>
      <c r="O671" s="14" t="s">
        <v>45</v>
      </c>
      <c r="P671" s="14"/>
      <c r="Q671" s="14"/>
      <c r="R671" s="14" t="s">
        <v>654</v>
      </c>
    </row>
    <row r="672" spans="1:18" ht="15" customHeight="1">
      <c r="A672" s="12">
        <v>1031</v>
      </c>
      <c r="B672" s="13" t="s">
        <v>1136</v>
      </c>
      <c r="C672" s="14"/>
      <c r="D672" s="14" t="s">
        <v>1135</v>
      </c>
      <c r="E672" s="14" t="s">
        <v>36</v>
      </c>
      <c r="F672" s="15" t="s">
        <v>22</v>
      </c>
      <c r="G672" s="21"/>
      <c r="H672" s="58">
        <v>1</v>
      </c>
      <c r="I672" s="14"/>
      <c r="J672" s="14" t="s">
        <v>23</v>
      </c>
      <c r="K672" s="14"/>
      <c r="L672" s="14"/>
      <c r="M672" s="14" t="s">
        <v>29</v>
      </c>
      <c r="N672" s="14" t="s">
        <v>25</v>
      </c>
      <c r="O672" s="14"/>
      <c r="P672" s="14"/>
      <c r="Q672" s="14"/>
      <c r="R672" s="14" t="s">
        <v>851</v>
      </c>
    </row>
    <row r="673" spans="1:1027" ht="15" customHeight="1">
      <c r="A673" s="12">
        <v>1823</v>
      </c>
      <c r="B673" s="13" t="s">
        <v>1137</v>
      </c>
      <c r="C673" s="14"/>
      <c r="D673" s="14" t="s">
        <v>1135</v>
      </c>
      <c r="E673" s="14" t="s">
        <v>36</v>
      </c>
      <c r="F673" s="15" t="s">
        <v>22</v>
      </c>
      <c r="G673" s="14"/>
      <c r="H673" s="58">
        <v>3</v>
      </c>
      <c r="I673" s="14"/>
      <c r="J673" s="14" t="s">
        <v>23</v>
      </c>
      <c r="K673" s="14"/>
      <c r="L673" s="14"/>
      <c r="M673" s="14" t="s">
        <v>32</v>
      </c>
      <c r="N673" s="25" t="s">
        <v>37</v>
      </c>
      <c r="O673" s="14" t="s">
        <v>1074</v>
      </c>
      <c r="P673" s="14"/>
      <c r="Q673" s="14"/>
      <c r="R673" s="14" t="s">
        <v>1113</v>
      </c>
    </row>
    <row r="674" spans="1:1027" ht="15" customHeight="1">
      <c r="A674" s="12">
        <v>24</v>
      </c>
      <c r="B674" s="13" t="s">
        <v>1138</v>
      </c>
      <c r="C674" s="14"/>
      <c r="D674" s="14" t="s">
        <v>1139</v>
      </c>
      <c r="E674" s="14" t="s">
        <v>215</v>
      </c>
      <c r="F674" s="15" t="s">
        <v>22</v>
      </c>
      <c r="G674" s="14"/>
      <c r="H674" s="58"/>
      <c r="I674" s="14"/>
      <c r="J674" s="14" t="s">
        <v>23</v>
      </c>
      <c r="K674" s="15"/>
      <c r="L674" s="15"/>
      <c r="M674" s="14" t="s">
        <v>24</v>
      </c>
      <c r="N674" s="14" t="s">
        <v>25</v>
      </c>
      <c r="O674" s="14"/>
      <c r="P674" s="14"/>
      <c r="Q674" s="14"/>
      <c r="R674" s="17">
        <v>43599</v>
      </c>
      <c r="S674" s="12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  <c r="VG674" s="3"/>
      <c r="VH674" s="3"/>
      <c r="VI674" s="3"/>
      <c r="VJ674" s="3"/>
      <c r="VK674" s="3"/>
      <c r="VL674" s="3"/>
      <c r="VM674" s="3"/>
      <c r="VN674" s="3"/>
      <c r="VO674" s="3"/>
      <c r="VP674" s="3"/>
      <c r="VQ674" s="3"/>
      <c r="VR674" s="3"/>
      <c r="VS674" s="3"/>
      <c r="VT674" s="3"/>
      <c r="VU674" s="3"/>
      <c r="VV674" s="3"/>
      <c r="VW674" s="3"/>
      <c r="VX674" s="3"/>
      <c r="VY674" s="3"/>
      <c r="VZ674" s="3"/>
      <c r="WA674" s="3"/>
      <c r="WB674" s="3"/>
      <c r="WC674" s="3"/>
      <c r="WD674" s="3"/>
      <c r="WE674" s="3"/>
      <c r="WF674" s="3"/>
      <c r="WG674" s="3"/>
      <c r="WH674" s="3"/>
      <c r="WI674" s="3"/>
      <c r="WJ674" s="3"/>
      <c r="WK674" s="3"/>
      <c r="WL674" s="3"/>
      <c r="WM674" s="3"/>
      <c r="WN674" s="3"/>
      <c r="WO674" s="3"/>
      <c r="WP674" s="3"/>
      <c r="WQ674" s="3"/>
      <c r="WR674" s="3"/>
      <c r="WS674" s="3"/>
      <c r="WT674" s="3"/>
      <c r="WU674" s="3"/>
      <c r="WV674" s="3"/>
      <c r="WW674" s="3"/>
      <c r="WX674" s="3"/>
      <c r="WY674" s="3"/>
      <c r="WZ674" s="3"/>
      <c r="XA674" s="3"/>
      <c r="XB674" s="3"/>
      <c r="XC674" s="3"/>
      <c r="XD674" s="3"/>
      <c r="XE674" s="3"/>
      <c r="XF674" s="3"/>
      <c r="XG674" s="3"/>
      <c r="XH674" s="3"/>
      <c r="XI674" s="3"/>
      <c r="XJ674" s="3"/>
      <c r="XK674" s="3"/>
      <c r="XL674" s="3"/>
      <c r="XM674" s="3"/>
      <c r="XN674" s="3"/>
      <c r="XO674" s="3"/>
      <c r="XP674" s="3"/>
      <c r="XQ674" s="3"/>
      <c r="XR674" s="3"/>
      <c r="XS674" s="3"/>
      <c r="XT674" s="3"/>
      <c r="XU674" s="3"/>
      <c r="XV674" s="3"/>
      <c r="XW674" s="3"/>
      <c r="XX674" s="3"/>
      <c r="XY674" s="3"/>
      <c r="XZ674" s="3"/>
      <c r="YA674" s="3"/>
      <c r="YB674" s="3"/>
      <c r="YC674" s="3"/>
      <c r="YD674" s="3"/>
      <c r="YE674" s="3"/>
      <c r="YF674" s="3"/>
      <c r="YG674" s="3"/>
      <c r="YH674" s="3"/>
      <c r="YI674" s="3"/>
      <c r="YJ674" s="3"/>
      <c r="YK674" s="3"/>
      <c r="YL674" s="3"/>
      <c r="YM674" s="3"/>
      <c r="YN674" s="3"/>
      <c r="YO674" s="3"/>
      <c r="YP674" s="3"/>
      <c r="YQ674" s="3"/>
      <c r="YR674" s="3"/>
      <c r="YS674" s="3"/>
      <c r="YT674" s="3"/>
      <c r="YU674" s="3"/>
      <c r="YV674" s="3"/>
      <c r="YW674" s="3"/>
      <c r="YX674" s="3"/>
      <c r="YY674" s="3"/>
      <c r="YZ674" s="3"/>
      <c r="ZA674" s="3"/>
      <c r="ZB674" s="3"/>
      <c r="ZC674" s="3"/>
      <c r="ZD674" s="3"/>
      <c r="ZE674" s="3"/>
      <c r="ZF674" s="3"/>
      <c r="ZG674" s="3"/>
      <c r="ZH674" s="3"/>
      <c r="ZI674" s="3"/>
      <c r="ZJ674" s="3"/>
      <c r="ZK674" s="3"/>
      <c r="ZL674" s="3"/>
      <c r="ZM674" s="3"/>
      <c r="ZN674" s="3"/>
      <c r="ZO674" s="3"/>
      <c r="ZP674" s="3"/>
      <c r="ZQ674" s="3"/>
      <c r="ZR674" s="3"/>
      <c r="ZS674" s="3"/>
      <c r="ZT674" s="3"/>
      <c r="ZU674" s="3"/>
      <c r="ZV674" s="3"/>
      <c r="ZW674" s="3"/>
      <c r="ZX674" s="3"/>
      <c r="ZY674" s="3"/>
      <c r="ZZ674" s="3"/>
      <c r="AAA674" s="3"/>
      <c r="AAB674" s="3"/>
      <c r="AAC674" s="3"/>
      <c r="AAD674" s="3"/>
      <c r="AAE674" s="3"/>
      <c r="AAF674" s="3"/>
      <c r="AAG674" s="3"/>
      <c r="AAH674" s="3"/>
      <c r="AAI674" s="3"/>
      <c r="AAJ674" s="3"/>
      <c r="AAK674" s="3"/>
      <c r="AAL674" s="3"/>
      <c r="AAM674" s="3"/>
      <c r="AAN674" s="3"/>
      <c r="AAO674" s="3"/>
      <c r="AAP674" s="3"/>
      <c r="AAQ674" s="3"/>
      <c r="AAR674" s="3"/>
      <c r="AAS674" s="3"/>
      <c r="AAT674" s="3"/>
      <c r="AAU674" s="3"/>
      <c r="AAV674" s="3"/>
      <c r="AAW674" s="3"/>
      <c r="AAX674" s="3"/>
      <c r="AAY674" s="3"/>
      <c r="AAZ674" s="3"/>
      <c r="ABA674" s="3"/>
      <c r="ABB674" s="3"/>
      <c r="ABC674" s="3"/>
      <c r="ABD674" s="3"/>
      <c r="ABE674" s="3"/>
      <c r="ABF674" s="3"/>
      <c r="ABG674" s="3"/>
      <c r="ABH674" s="3"/>
      <c r="ABI674" s="3"/>
      <c r="ABJ674" s="3"/>
      <c r="ABK674" s="3"/>
      <c r="ABL674" s="3"/>
      <c r="ABM674" s="3"/>
      <c r="ABN674" s="3"/>
      <c r="ABO674" s="3"/>
      <c r="ABP674" s="3"/>
      <c r="ABQ674" s="3"/>
      <c r="ABR674" s="3"/>
      <c r="ABS674" s="3"/>
      <c r="ABT674" s="3"/>
      <c r="ABU674" s="3"/>
      <c r="ABV674" s="3"/>
      <c r="ABW674" s="3"/>
      <c r="ABX674" s="3"/>
      <c r="ABY674" s="3"/>
      <c r="ABZ674" s="3"/>
      <c r="ACA674" s="3"/>
      <c r="ACB674" s="3"/>
      <c r="ACC674" s="3"/>
      <c r="ACD674" s="3"/>
      <c r="ACE674" s="3"/>
      <c r="ACF674" s="3"/>
      <c r="ACG674" s="3"/>
      <c r="ACH674" s="3"/>
      <c r="ACI674" s="3"/>
      <c r="ACJ674" s="3"/>
      <c r="ACK674" s="3"/>
      <c r="ACL674" s="3"/>
      <c r="ACM674" s="3"/>
      <c r="ACN674" s="3"/>
      <c r="ACO674" s="3"/>
      <c r="ACP674" s="3"/>
      <c r="ACQ674" s="3"/>
      <c r="ACR674" s="3"/>
      <c r="ACS674" s="3"/>
      <c r="ACT674" s="3"/>
      <c r="ACU674" s="3"/>
      <c r="ACV674" s="3"/>
      <c r="ACW674" s="3"/>
      <c r="ACX674" s="3"/>
      <c r="ACY674" s="3"/>
      <c r="ACZ674" s="3"/>
      <c r="ADA674" s="3"/>
      <c r="ADB674" s="3"/>
      <c r="ADC674" s="3"/>
      <c r="ADD674" s="3"/>
      <c r="ADE674" s="3"/>
      <c r="ADF674" s="3"/>
      <c r="ADG674" s="3"/>
      <c r="ADH674" s="3"/>
      <c r="ADI674" s="3"/>
      <c r="ADJ674" s="3"/>
      <c r="ADK674" s="3"/>
      <c r="ADL674" s="3"/>
      <c r="ADM674" s="3"/>
      <c r="ADN674" s="3"/>
      <c r="ADO674" s="3"/>
      <c r="ADP674" s="3"/>
      <c r="ADQ674" s="3"/>
      <c r="ADR674" s="3"/>
      <c r="ADS674" s="3"/>
      <c r="ADT674" s="3"/>
      <c r="ADU674" s="3"/>
      <c r="ADV674" s="3"/>
      <c r="ADW674" s="3"/>
      <c r="ADX674" s="3"/>
      <c r="ADY674" s="3"/>
      <c r="ADZ674" s="3"/>
      <c r="AEA674" s="3"/>
      <c r="AEB674" s="3"/>
      <c r="AEC674" s="3"/>
      <c r="AED674" s="3"/>
      <c r="AEE674" s="3"/>
      <c r="AEF674" s="3"/>
      <c r="AEG674" s="3"/>
      <c r="AEH674" s="3"/>
      <c r="AEI674" s="3"/>
      <c r="AEJ674" s="3"/>
      <c r="AEK674" s="3"/>
      <c r="AEL674" s="3"/>
      <c r="AEM674" s="3"/>
      <c r="AEN674" s="3"/>
      <c r="AEO674" s="3"/>
      <c r="AEP674" s="3"/>
      <c r="AEQ674" s="3"/>
      <c r="AER674" s="3"/>
      <c r="AES674" s="3"/>
      <c r="AET674" s="3"/>
      <c r="AEU674" s="3"/>
      <c r="AEV674" s="3"/>
      <c r="AEW674" s="3"/>
      <c r="AEX674" s="3"/>
      <c r="AEY674" s="3"/>
      <c r="AEZ674" s="3"/>
      <c r="AFA674" s="3"/>
      <c r="AFB674" s="3"/>
      <c r="AFC674" s="3"/>
      <c r="AFD674" s="3"/>
      <c r="AFE674" s="3"/>
      <c r="AFF674" s="3"/>
      <c r="AFG674" s="3"/>
      <c r="AFH674" s="3"/>
      <c r="AFI674" s="3"/>
      <c r="AFJ674" s="3"/>
      <c r="AFK674" s="3"/>
      <c r="AFL674" s="3"/>
      <c r="AFM674" s="3"/>
      <c r="AFN674" s="3"/>
      <c r="AFO674" s="3"/>
      <c r="AFP674" s="3"/>
      <c r="AFQ674" s="3"/>
      <c r="AFR674" s="3"/>
      <c r="AFS674" s="3"/>
      <c r="AFT674" s="3"/>
      <c r="AFU674" s="3"/>
      <c r="AFV674" s="3"/>
      <c r="AFW674" s="3"/>
      <c r="AFX674" s="3"/>
      <c r="AFY674" s="3"/>
      <c r="AFZ674" s="3"/>
      <c r="AGA674" s="3"/>
      <c r="AGB674" s="3"/>
      <c r="AGC674" s="3"/>
      <c r="AGD674" s="3"/>
      <c r="AGE674" s="3"/>
      <c r="AGF674" s="3"/>
      <c r="AGG674" s="3"/>
      <c r="AGH674" s="3"/>
      <c r="AGI674" s="3"/>
      <c r="AGJ674" s="3"/>
      <c r="AGK674" s="3"/>
      <c r="AGL674" s="3"/>
      <c r="AGM674" s="3"/>
      <c r="AGN674" s="3"/>
      <c r="AGO674" s="3"/>
      <c r="AGP674" s="3"/>
      <c r="AGQ674" s="3"/>
      <c r="AGR674" s="3"/>
      <c r="AGS674" s="3"/>
      <c r="AGT674" s="3"/>
      <c r="AGU674" s="3"/>
      <c r="AGV674" s="3"/>
      <c r="AGW674" s="3"/>
      <c r="AGX674" s="3"/>
      <c r="AGY674" s="3"/>
      <c r="AGZ674" s="3"/>
      <c r="AHA674" s="3"/>
      <c r="AHB674" s="3"/>
      <c r="AHC674" s="3"/>
      <c r="AHD674" s="3"/>
      <c r="AHE674" s="3"/>
      <c r="AHF674" s="3"/>
      <c r="AHG674" s="3"/>
      <c r="AHH674" s="3"/>
      <c r="AHI674" s="3"/>
      <c r="AHJ674" s="3"/>
      <c r="AHK674" s="3"/>
      <c r="AHL674" s="3"/>
      <c r="AHM674" s="3"/>
      <c r="AHN674" s="3"/>
      <c r="AHO674" s="3"/>
      <c r="AHP674" s="3"/>
      <c r="AHQ674" s="3"/>
      <c r="AHR674" s="3"/>
      <c r="AHS674" s="3"/>
      <c r="AHT674" s="3"/>
      <c r="AHU674" s="3"/>
      <c r="AHV674" s="3"/>
      <c r="AHW674" s="3"/>
      <c r="AHX674" s="3"/>
      <c r="AHY674" s="3"/>
      <c r="AHZ674" s="3"/>
      <c r="AIA674" s="3"/>
      <c r="AIB674" s="3"/>
      <c r="AIC674" s="3"/>
      <c r="AID674" s="3"/>
      <c r="AIE674" s="3"/>
      <c r="AIF674" s="3"/>
      <c r="AIG674" s="3"/>
      <c r="AIH674" s="3"/>
      <c r="AII674" s="3"/>
      <c r="AIJ674" s="3"/>
      <c r="AIK674" s="3"/>
      <c r="AIL674" s="3"/>
      <c r="AIM674" s="3"/>
      <c r="AIN674" s="3"/>
      <c r="AIO674" s="3"/>
      <c r="AIP674" s="3"/>
      <c r="AIQ674" s="3"/>
      <c r="AIR674" s="3"/>
      <c r="AIS674" s="3"/>
      <c r="AIT674" s="3"/>
      <c r="AIU674" s="3"/>
      <c r="AIV674" s="3"/>
      <c r="AIW674" s="3"/>
      <c r="AIX674" s="3"/>
      <c r="AIY674" s="3"/>
      <c r="AIZ674" s="3"/>
      <c r="AJA674" s="3"/>
      <c r="AJB674" s="3"/>
      <c r="AJC674" s="3"/>
      <c r="AJD674" s="3"/>
      <c r="AJE674" s="3"/>
      <c r="AJF674" s="3"/>
      <c r="AJG674" s="3"/>
      <c r="AJH674" s="3"/>
      <c r="AJI674" s="3"/>
      <c r="AJJ674" s="3"/>
      <c r="AJK674" s="3"/>
      <c r="AJL674" s="3"/>
      <c r="AJM674" s="3"/>
      <c r="AJN674" s="3"/>
      <c r="AJO674" s="3"/>
      <c r="AJP674" s="3"/>
      <c r="AJQ674" s="3"/>
      <c r="AJR674" s="3"/>
      <c r="AJS674" s="3"/>
      <c r="AJT674" s="3"/>
      <c r="AJU674" s="3"/>
      <c r="AJV674" s="3"/>
      <c r="AJW674" s="3"/>
      <c r="AJX674" s="3"/>
      <c r="AJY674" s="3"/>
      <c r="AJZ674" s="3"/>
      <c r="AKA674" s="3"/>
      <c r="AKB674" s="3"/>
      <c r="AKC674" s="3"/>
      <c r="AKD674" s="3"/>
      <c r="AKE674" s="3"/>
      <c r="AKF674" s="3"/>
      <c r="AKG674" s="3"/>
      <c r="AKH674" s="3"/>
      <c r="AKI674" s="3"/>
      <c r="AKJ674" s="3"/>
      <c r="AKK674" s="3"/>
      <c r="AKL674" s="3"/>
      <c r="AKM674" s="3"/>
      <c r="AKN674" s="3"/>
      <c r="AKO674" s="3"/>
      <c r="AKP674" s="3"/>
      <c r="AKQ674" s="3"/>
      <c r="AKR674" s="3"/>
      <c r="AKS674" s="3"/>
      <c r="AKT674" s="3"/>
      <c r="AKU674" s="3"/>
      <c r="AKV674" s="3"/>
      <c r="AKW674" s="3"/>
      <c r="AKX674" s="3"/>
      <c r="AKY674" s="3"/>
      <c r="AKZ674" s="3"/>
      <c r="ALA674" s="3"/>
      <c r="ALB674" s="3"/>
      <c r="ALC674" s="3"/>
      <c r="ALD674" s="3"/>
      <c r="ALE674" s="3"/>
      <c r="ALF674" s="3"/>
      <c r="ALG674" s="3"/>
      <c r="ALH674" s="3"/>
      <c r="ALI674" s="3"/>
      <c r="ALJ674" s="3"/>
      <c r="ALK674" s="3"/>
      <c r="ALL674" s="3"/>
      <c r="ALM674" s="3"/>
      <c r="ALN674" s="3"/>
      <c r="ALO674" s="3"/>
      <c r="ALP674" s="3"/>
      <c r="ALQ674" s="3"/>
      <c r="ALR674" s="3"/>
      <c r="ALS674" s="3"/>
      <c r="ALT674" s="3"/>
      <c r="ALU674" s="3"/>
      <c r="ALV674" s="3"/>
      <c r="ALW674" s="3"/>
      <c r="ALX674" s="3"/>
      <c r="ALY674" s="3"/>
      <c r="ALZ674" s="3"/>
      <c r="AMA674" s="3"/>
      <c r="AMB674" s="3"/>
      <c r="AMC674" s="3"/>
      <c r="AMD674" s="3"/>
      <c r="AME674" s="3"/>
      <c r="AMF674" s="3"/>
      <c r="AMG674" s="3"/>
      <c r="AMH674" s="3"/>
      <c r="AMI674" s="3"/>
      <c r="AMJ674" s="3"/>
      <c r="AMK674" s="3"/>
      <c r="AML674" s="3"/>
      <c r="AMM674" s="3"/>
    </row>
    <row r="675" spans="1:1027" ht="15" customHeight="1">
      <c r="A675" s="12">
        <v>259</v>
      </c>
      <c r="B675" s="13" t="s">
        <v>1140</v>
      </c>
      <c r="C675" s="14"/>
      <c r="D675" s="14" t="s">
        <v>1139</v>
      </c>
      <c r="E675" s="14" t="s">
        <v>215</v>
      </c>
      <c r="F675" s="15" t="s">
        <v>22</v>
      </c>
      <c r="G675" s="14"/>
      <c r="H675" s="58"/>
      <c r="I675" s="14"/>
      <c r="J675" s="14" t="s">
        <v>23</v>
      </c>
      <c r="K675" s="14"/>
      <c r="L675" s="14"/>
      <c r="M675" s="14" t="s">
        <v>689</v>
      </c>
      <c r="N675" s="25" t="s">
        <v>37</v>
      </c>
      <c r="O675" s="14" t="s">
        <v>189</v>
      </c>
      <c r="P675" s="14"/>
      <c r="Q675" s="14"/>
      <c r="R675" s="14" t="s">
        <v>654</v>
      </c>
    </row>
    <row r="676" spans="1:1027" ht="15" customHeight="1">
      <c r="A676" s="12">
        <v>1032</v>
      </c>
      <c r="B676" s="13" t="s">
        <v>1141</v>
      </c>
      <c r="C676" s="14"/>
      <c r="D676" s="14" t="s">
        <v>1139</v>
      </c>
      <c r="E676" s="14" t="s">
        <v>215</v>
      </c>
      <c r="F676" s="15" t="s">
        <v>22</v>
      </c>
      <c r="G676" s="21"/>
      <c r="H676" s="58"/>
      <c r="I676" s="14"/>
      <c r="J676" s="14" t="s">
        <v>23</v>
      </c>
      <c r="K676" s="14"/>
      <c r="L676" s="14"/>
      <c r="M676" s="14" t="s">
        <v>29</v>
      </c>
      <c r="N676" s="25" t="s">
        <v>37</v>
      </c>
      <c r="O676" s="14" t="s">
        <v>1142</v>
      </c>
      <c r="P676" s="14"/>
      <c r="Q676" s="14"/>
      <c r="R676" s="14" t="s">
        <v>851</v>
      </c>
    </row>
    <row r="677" spans="1:1027" ht="15" customHeight="1">
      <c r="A677" s="12">
        <v>1824</v>
      </c>
      <c r="B677" s="13" t="s">
        <v>1143</v>
      </c>
      <c r="C677" s="14"/>
      <c r="D677" s="14" t="s">
        <v>1139</v>
      </c>
      <c r="E677" s="14" t="s">
        <v>215</v>
      </c>
      <c r="F677" s="15" t="s">
        <v>22</v>
      </c>
      <c r="G677" s="14"/>
      <c r="H677" s="58">
        <v>2</v>
      </c>
      <c r="I677" s="14"/>
      <c r="J677" s="14" t="s">
        <v>23</v>
      </c>
      <c r="K677" s="14"/>
      <c r="L677" s="14"/>
      <c r="M677" s="14" t="s">
        <v>32</v>
      </c>
      <c r="N677" s="25" t="s">
        <v>37</v>
      </c>
      <c r="O677" s="14" t="s">
        <v>1144</v>
      </c>
      <c r="P677" s="14"/>
      <c r="Q677" s="14"/>
      <c r="R677" s="14" t="s">
        <v>1113</v>
      </c>
    </row>
    <row r="678" spans="1:1027" ht="15" customHeight="1">
      <c r="A678" s="12">
        <v>7</v>
      </c>
      <c r="B678" s="13" t="s">
        <v>1145</v>
      </c>
      <c r="C678" s="14"/>
      <c r="D678" s="14" t="s">
        <v>1146</v>
      </c>
      <c r="E678" s="14" t="s">
        <v>44</v>
      </c>
      <c r="F678" s="15" t="s">
        <v>22</v>
      </c>
      <c r="G678" s="14"/>
      <c r="H678" s="58"/>
      <c r="I678" s="14"/>
      <c r="J678" s="14" t="s">
        <v>23</v>
      </c>
      <c r="K678" s="15"/>
      <c r="L678" s="15"/>
      <c r="M678" s="14" t="s">
        <v>24</v>
      </c>
      <c r="N678" s="14" t="s">
        <v>25</v>
      </c>
      <c r="O678" s="14"/>
      <c r="P678" s="14"/>
      <c r="Q678" s="14"/>
      <c r="R678" s="17">
        <v>43599</v>
      </c>
      <c r="S678" s="12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  <c r="SS678" s="3"/>
      <c r="ST678" s="3"/>
      <c r="SU678" s="3"/>
      <c r="SV678" s="3"/>
      <c r="SW678" s="3"/>
      <c r="SX678" s="3"/>
      <c r="SY678" s="3"/>
      <c r="SZ678" s="3"/>
      <c r="TA678" s="3"/>
      <c r="TB678" s="3"/>
      <c r="TC678" s="3"/>
      <c r="TD678" s="3"/>
      <c r="TE678" s="3"/>
      <c r="TF678" s="3"/>
      <c r="TG678" s="3"/>
      <c r="TH678" s="3"/>
      <c r="TI678" s="3"/>
      <c r="TJ678" s="3"/>
      <c r="TK678" s="3"/>
      <c r="TL678" s="3"/>
      <c r="TM678" s="3"/>
      <c r="TN678" s="3"/>
      <c r="TO678" s="3"/>
      <c r="TP678" s="3"/>
      <c r="TQ678" s="3"/>
      <c r="TR678" s="3"/>
      <c r="TS678" s="3"/>
      <c r="TT678" s="3"/>
      <c r="TU678" s="3"/>
      <c r="TV678" s="3"/>
      <c r="TW678" s="3"/>
      <c r="TX678" s="3"/>
      <c r="TY678" s="3"/>
      <c r="TZ678" s="3"/>
      <c r="UA678" s="3"/>
      <c r="UB678" s="3"/>
      <c r="UC678" s="3"/>
      <c r="UD678" s="3"/>
      <c r="UE678" s="3"/>
      <c r="UF678" s="3"/>
      <c r="UG678" s="3"/>
      <c r="UH678" s="3"/>
      <c r="UI678" s="3"/>
      <c r="UJ678" s="3"/>
      <c r="UK678" s="3"/>
      <c r="UL678" s="3"/>
      <c r="UM678" s="3"/>
      <c r="UN678" s="3"/>
      <c r="UO678" s="3"/>
      <c r="UP678" s="3"/>
      <c r="UQ678" s="3"/>
      <c r="UR678" s="3"/>
      <c r="US678" s="3"/>
      <c r="UT678" s="3"/>
      <c r="UU678" s="3"/>
      <c r="UV678" s="3"/>
      <c r="UW678" s="3"/>
      <c r="UX678" s="3"/>
      <c r="UY678" s="3"/>
      <c r="UZ678" s="3"/>
      <c r="VA678" s="3"/>
      <c r="VB678" s="3"/>
      <c r="VC678" s="3"/>
      <c r="VD678" s="3"/>
      <c r="VE678" s="3"/>
      <c r="VF678" s="3"/>
      <c r="VG678" s="3"/>
      <c r="VH678" s="3"/>
      <c r="VI678" s="3"/>
      <c r="VJ678" s="3"/>
      <c r="VK678" s="3"/>
      <c r="VL678" s="3"/>
      <c r="VM678" s="3"/>
      <c r="VN678" s="3"/>
      <c r="VO678" s="3"/>
      <c r="VP678" s="3"/>
      <c r="VQ678" s="3"/>
      <c r="VR678" s="3"/>
      <c r="VS678" s="3"/>
      <c r="VT678" s="3"/>
      <c r="VU678" s="3"/>
      <c r="VV678" s="3"/>
      <c r="VW678" s="3"/>
      <c r="VX678" s="3"/>
      <c r="VY678" s="3"/>
      <c r="VZ678" s="3"/>
      <c r="WA678" s="3"/>
      <c r="WB678" s="3"/>
      <c r="WC678" s="3"/>
      <c r="WD678" s="3"/>
      <c r="WE678" s="3"/>
      <c r="WF678" s="3"/>
      <c r="WG678" s="3"/>
      <c r="WH678" s="3"/>
      <c r="WI678" s="3"/>
      <c r="WJ678" s="3"/>
      <c r="WK678" s="3"/>
      <c r="WL678" s="3"/>
      <c r="WM678" s="3"/>
      <c r="WN678" s="3"/>
      <c r="WO678" s="3"/>
      <c r="WP678" s="3"/>
      <c r="WQ678" s="3"/>
      <c r="WR678" s="3"/>
      <c r="WS678" s="3"/>
      <c r="WT678" s="3"/>
      <c r="WU678" s="3"/>
      <c r="WV678" s="3"/>
      <c r="WW678" s="3"/>
      <c r="WX678" s="3"/>
      <c r="WY678" s="3"/>
      <c r="WZ678" s="3"/>
      <c r="XA678" s="3"/>
      <c r="XB678" s="3"/>
      <c r="XC678" s="3"/>
      <c r="XD678" s="3"/>
      <c r="XE678" s="3"/>
      <c r="XF678" s="3"/>
      <c r="XG678" s="3"/>
      <c r="XH678" s="3"/>
      <c r="XI678" s="3"/>
      <c r="XJ678" s="3"/>
      <c r="XK678" s="3"/>
      <c r="XL678" s="3"/>
      <c r="XM678" s="3"/>
      <c r="XN678" s="3"/>
      <c r="XO678" s="3"/>
      <c r="XP678" s="3"/>
      <c r="XQ678" s="3"/>
      <c r="XR678" s="3"/>
      <c r="XS678" s="3"/>
      <c r="XT678" s="3"/>
      <c r="XU678" s="3"/>
      <c r="XV678" s="3"/>
      <c r="XW678" s="3"/>
      <c r="XX678" s="3"/>
      <c r="XY678" s="3"/>
      <c r="XZ678" s="3"/>
      <c r="YA678" s="3"/>
      <c r="YB678" s="3"/>
      <c r="YC678" s="3"/>
      <c r="YD678" s="3"/>
      <c r="YE678" s="3"/>
      <c r="YF678" s="3"/>
      <c r="YG678" s="3"/>
      <c r="YH678" s="3"/>
      <c r="YI678" s="3"/>
      <c r="YJ678" s="3"/>
      <c r="YK678" s="3"/>
      <c r="YL678" s="3"/>
      <c r="YM678" s="3"/>
      <c r="YN678" s="3"/>
      <c r="YO678" s="3"/>
      <c r="YP678" s="3"/>
      <c r="YQ678" s="3"/>
      <c r="YR678" s="3"/>
      <c r="YS678" s="3"/>
      <c r="YT678" s="3"/>
      <c r="YU678" s="3"/>
      <c r="YV678" s="3"/>
      <c r="YW678" s="3"/>
      <c r="YX678" s="3"/>
      <c r="YY678" s="3"/>
      <c r="YZ678" s="3"/>
      <c r="ZA678" s="3"/>
      <c r="ZB678" s="3"/>
      <c r="ZC678" s="3"/>
      <c r="ZD678" s="3"/>
      <c r="ZE678" s="3"/>
      <c r="ZF678" s="3"/>
      <c r="ZG678" s="3"/>
      <c r="ZH678" s="3"/>
      <c r="ZI678" s="3"/>
      <c r="ZJ678" s="3"/>
      <c r="ZK678" s="3"/>
      <c r="ZL678" s="3"/>
      <c r="ZM678" s="3"/>
      <c r="ZN678" s="3"/>
      <c r="ZO678" s="3"/>
      <c r="ZP678" s="3"/>
      <c r="ZQ678" s="3"/>
      <c r="ZR678" s="3"/>
      <c r="ZS678" s="3"/>
      <c r="ZT678" s="3"/>
      <c r="ZU678" s="3"/>
      <c r="ZV678" s="3"/>
      <c r="ZW678" s="3"/>
      <c r="ZX678" s="3"/>
      <c r="ZY678" s="3"/>
      <c r="ZZ678" s="3"/>
      <c r="AAA678" s="3"/>
      <c r="AAB678" s="3"/>
      <c r="AAC678" s="3"/>
      <c r="AAD678" s="3"/>
      <c r="AAE678" s="3"/>
      <c r="AAF678" s="3"/>
      <c r="AAG678" s="3"/>
      <c r="AAH678" s="3"/>
      <c r="AAI678" s="3"/>
      <c r="AAJ678" s="3"/>
      <c r="AAK678" s="3"/>
      <c r="AAL678" s="3"/>
      <c r="AAM678" s="3"/>
      <c r="AAN678" s="3"/>
      <c r="AAO678" s="3"/>
      <c r="AAP678" s="3"/>
      <c r="AAQ678" s="3"/>
      <c r="AAR678" s="3"/>
      <c r="AAS678" s="3"/>
      <c r="AAT678" s="3"/>
      <c r="AAU678" s="3"/>
      <c r="AAV678" s="3"/>
      <c r="AAW678" s="3"/>
      <c r="AAX678" s="3"/>
      <c r="AAY678" s="3"/>
      <c r="AAZ678" s="3"/>
      <c r="ABA678" s="3"/>
      <c r="ABB678" s="3"/>
      <c r="ABC678" s="3"/>
      <c r="ABD678" s="3"/>
      <c r="ABE678" s="3"/>
      <c r="ABF678" s="3"/>
      <c r="ABG678" s="3"/>
      <c r="ABH678" s="3"/>
      <c r="ABI678" s="3"/>
      <c r="ABJ678" s="3"/>
      <c r="ABK678" s="3"/>
      <c r="ABL678" s="3"/>
      <c r="ABM678" s="3"/>
      <c r="ABN678" s="3"/>
      <c r="ABO678" s="3"/>
      <c r="ABP678" s="3"/>
      <c r="ABQ678" s="3"/>
      <c r="ABR678" s="3"/>
      <c r="ABS678" s="3"/>
      <c r="ABT678" s="3"/>
      <c r="ABU678" s="3"/>
      <c r="ABV678" s="3"/>
      <c r="ABW678" s="3"/>
      <c r="ABX678" s="3"/>
      <c r="ABY678" s="3"/>
      <c r="ABZ678" s="3"/>
      <c r="ACA678" s="3"/>
      <c r="ACB678" s="3"/>
      <c r="ACC678" s="3"/>
      <c r="ACD678" s="3"/>
      <c r="ACE678" s="3"/>
      <c r="ACF678" s="3"/>
      <c r="ACG678" s="3"/>
      <c r="ACH678" s="3"/>
      <c r="ACI678" s="3"/>
      <c r="ACJ678" s="3"/>
      <c r="ACK678" s="3"/>
      <c r="ACL678" s="3"/>
      <c r="ACM678" s="3"/>
      <c r="ACN678" s="3"/>
      <c r="ACO678" s="3"/>
      <c r="ACP678" s="3"/>
      <c r="ACQ678" s="3"/>
      <c r="ACR678" s="3"/>
      <c r="ACS678" s="3"/>
      <c r="ACT678" s="3"/>
      <c r="ACU678" s="3"/>
      <c r="ACV678" s="3"/>
      <c r="ACW678" s="3"/>
      <c r="ACX678" s="3"/>
      <c r="ACY678" s="3"/>
      <c r="ACZ678" s="3"/>
      <c r="ADA678" s="3"/>
      <c r="ADB678" s="3"/>
      <c r="ADC678" s="3"/>
      <c r="ADD678" s="3"/>
      <c r="ADE678" s="3"/>
      <c r="ADF678" s="3"/>
      <c r="ADG678" s="3"/>
      <c r="ADH678" s="3"/>
      <c r="ADI678" s="3"/>
      <c r="ADJ678" s="3"/>
      <c r="ADK678" s="3"/>
      <c r="ADL678" s="3"/>
      <c r="ADM678" s="3"/>
      <c r="ADN678" s="3"/>
      <c r="ADO678" s="3"/>
      <c r="ADP678" s="3"/>
      <c r="ADQ678" s="3"/>
      <c r="ADR678" s="3"/>
      <c r="ADS678" s="3"/>
      <c r="ADT678" s="3"/>
      <c r="ADU678" s="3"/>
      <c r="ADV678" s="3"/>
      <c r="ADW678" s="3"/>
      <c r="ADX678" s="3"/>
      <c r="ADY678" s="3"/>
      <c r="ADZ678" s="3"/>
      <c r="AEA678" s="3"/>
      <c r="AEB678" s="3"/>
      <c r="AEC678" s="3"/>
      <c r="AED678" s="3"/>
      <c r="AEE678" s="3"/>
      <c r="AEF678" s="3"/>
      <c r="AEG678" s="3"/>
      <c r="AEH678" s="3"/>
      <c r="AEI678" s="3"/>
      <c r="AEJ678" s="3"/>
      <c r="AEK678" s="3"/>
      <c r="AEL678" s="3"/>
      <c r="AEM678" s="3"/>
      <c r="AEN678" s="3"/>
      <c r="AEO678" s="3"/>
      <c r="AEP678" s="3"/>
      <c r="AEQ678" s="3"/>
      <c r="AER678" s="3"/>
      <c r="AES678" s="3"/>
      <c r="AET678" s="3"/>
      <c r="AEU678" s="3"/>
      <c r="AEV678" s="3"/>
      <c r="AEW678" s="3"/>
      <c r="AEX678" s="3"/>
      <c r="AEY678" s="3"/>
      <c r="AEZ678" s="3"/>
      <c r="AFA678" s="3"/>
      <c r="AFB678" s="3"/>
      <c r="AFC678" s="3"/>
      <c r="AFD678" s="3"/>
      <c r="AFE678" s="3"/>
      <c r="AFF678" s="3"/>
      <c r="AFG678" s="3"/>
      <c r="AFH678" s="3"/>
      <c r="AFI678" s="3"/>
      <c r="AFJ678" s="3"/>
      <c r="AFK678" s="3"/>
      <c r="AFL678" s="3"/>
      <c r="AFM678" s="3"/>
      <c r="AFN678" s="3"/>
      <c r="AFO678" s="3"/>
      <c r="AFP678" s="3"/>
      <c r="AFQ678" s="3"/>
      <c r="AFR678" s="3"/>
      <c r="AFS678" s="3"/>
      <c r="AFT678" s="3"/>
      <c r="AFU678" s="3"/>
      <c r="AFV678" s="3"/>
      <c r="AFW678" s="3"/>
      <c r="AFX678" s="3"/>
      <c r="AFY678" s="3"/>
      <c r="AFZ678" s="3"/>
      <c r="AGA678" s="3"/>
      <c r="AGB678" s="3"/>
      <c r="AGC678" s="3"/>
      <c r="AGD678" s="3"/>
      <c r="AGE678" s="3"/>
      <c r="AGF678" s="3"/>
      <c r="AGG678" s="3"/>
      <c r="AGH678" s="3"/>
      <c r="AGI678" s="3"/>
      <c r="AGJ678" s="3"/>
      <c r="AGK678" s="3"/>
      <c r="AGL678" s="3"/>
      <c r="AGM678" s="3"/>
      <c r="AGN678" s="3"/>
      <c r="AGO678" s="3"/>
      <c r="AGP678" s="3"/>
      <c r="AGQ678" s="3"/>
      <c r="AGR678" s="3"/>
      <c r="AGS678" s="3"/>
      <c r="AGT678" s="3"/>
      <c r="AGU678" s="3"/>
      <c r="AGV678" s="3"/>
      <c r="AGW678" s="3"/>
      <c r="AGX678" s="3"/>
      <c r="AGY678" s="3"/>
      <c r="AGZ678" s="3"/>
      <c r="AHA678" s="3"/>
      <c r="AHB678" s="3"/>
      <c r="AHC678" s="3"/>
      <c r="AHD678" s="3"/>
      <c r="AHE678" s="3"/>
      <c r="AHF678" s="3"/>
      <c r="AHG678" s="3"/>
      <c r="AHH678" s="3"/>
      <c r="AHI678" s="3"/>
      <c r="AHJ678" s="3"/>
      <c r="AHK678" s="3"/>
      <c r="AHL678" s="3"/>
      <c r="AHM678" s="3"/>
      <c r="AHN678" s="3"/>
      <c r="AHO678" s="3"/>
      <c r="AHP678" s="3"/>
      <c r="AHQ678" s="3"/>
      <c r="AHR678" s="3"/>
      <c r="AHS678" s="3"/>
      <c r="AHT678" s="3"/>
      <c r="AHU678" s="3"/>
      <c r="AHV678" s="3"/>
      <c r="AHW678" s="3"/>
      <c r="AHX678" s="3"/>
      <c r="AHY678" s="3"/>
      <c r="AHZ678" s="3"/>
      <c r="AIA678" s="3"/>
      <c r="AIB678" s="3"/>
      <c r="AIC678" s="3"/>
      <c r="AID678" s="3"/>
      <c r="AIE678" s="3"/>
      <c r="AIF678" s="3"/>
      <c r="AIG678" s="3"/>
      <c r="AIH678" s="3"/>
      <c r="AII678" s="3"/>
      <c r="AIJ678" s="3"/>
      <c r="AIK678" s="3"/>
      <c r="AIL678" s="3"/>
      <c r="AIM678" s="3"/>
      <c r="AIN678" s="3"/>
      <c r="AIO678" s="3"/>
      <c r="AIP678" s="3"/>
      <c r="AIQ678" s="3"/>
      <c r="AIR678" s="3"/>
      <c r="AIS678" s="3"/>
      <c r="AIT678" s="3"/>
      <c r="AIU678" s="3"/>
      <c r="AIV678" s="3"/>
      <c r="AIW678" s="3"/>
      <c r="AIX678" s="3"/>
      <c r="AIY678" s="3"/>
      <c r="AIZ678" s="3"/>
      <c r="AJA678" s="3"/>
      <c r="AJB678" s="3"/>
      <c r="AJC678" s="3"/>
      <c r="AJD678" s="3"/>
      <c r="AJE678" s="3"/>
      <c r="AJF678" s="3"/>
      <c r="AJG678" s="3"/>
      <c r="AJH678" s="3"/>
      <c r="AJI678" s="3"/>
      <c r="AJJ678" s="3"/>
      <c r="AJK678" s="3"/>
      <c r="AJL678" s="3"/>
      <c r="AJM678" s="3"/>
      <c r="AJN678" s="3"/>
      <c r="AJO678" s="3"/>
      <c r="AJP678" s="3"/>
      <c r="AJQ678" s="3"/>
      <c r="AJR678" s="3"/>
      <c r="AJS678" s="3"/>
      <c r="AJT678" s="3"/>
      <c r="AJU678" s="3"/>
      <c r="AJV678" s="3"/>
      <c r="AJW678" s="3"/>
      <c r="AJX678" s="3"/>
      <c r="AJY678" s="3"/>
      <c r="AJZ678" s="3"/>
      <c r="AKA678" s="3"/>
      <c r="AKB678" s="3"/>
      <c r="AKC678" s="3"/>
      <c r="AKD678" s="3"/>
      <c r="AKE678" s="3"/>
      <c r="AKF678" s="3"/>
      <c r="AKG678" s="3"/>
      <c r="AKH678" s="3"/>
      <c r="AKI678" s="3"/>
      <c r="AKJ678" s="3"/>
      <c r="AKK678" s="3"/>
      <c r="AKL678" s="3"/>
      <c r="AKM678" s="3"/>
      <c r="AKN678" s="3"/>
      <c r="AKO678" s="3"/>
      <c r="AKP678" s="3"/>
      <c r="AKQ678" s="3"/>
      <c r="AKR678" s="3"/>
      <c r="AKS678" s="3"/>
      <c r="AKT678" s="3"/>
      <c r="AKU678" s="3"/>
      <c r="AKV678" s="3"/>
      <c r="AKW678" s="3"/>
      <c r="AKX678" s="3"/>
      <c r="AKY678" s="3"/>
      <c r="AKZ678" s="3"/>
      <c r="ALA678" s="3"/>
      <c r="ALB678" s="3"/>
      <c r="ALC678" s="3"/>
      <c r="ALD678" s="3"/>
      <c r="ALE678" s="3"/>
      <c r="ALF678" s="3"/>
      <c r="ALG678" s="3"/>
      <c r="ALH678" s="3"/>
      <c r="ALI678" s="3"/>
      <c r="ALJ678" s="3"/>
      <c r="ALK678" s="3"/>
      <c r="ALL678" s="3"/>
      <c r="ALM678" s="3"/>
      <c r="ALN678" s="3"/>
      <c r="ALO678" s="3"/>
      <c r="ALP678" s="3"/>
      <c r="ALQ678" s="3"/>
      <c r="ALR678" s="3"/>
      <c r="ALS678" s="3"/>
      <c r="ALT678" s="3"/>
      <c r="ALU678" s="3"/>
      <c r="ALV678" s="3"/>
      <c r="ALW678" s="3"/>
      <c r="ALX678" s="3"/>
      <c r="ALY678" s="3"/>
      <c r="ALZ678" s="3"/>
      <c r="AMA678" s="3"/>
      <c r="AMB678" s="3"/>
      <c r="AMC678" s="3"/>
      <c r="AMD678" s="3"/>
      <c r="AME678" s="3"/>
      <c r="AMF678" s="3"/>
      <c r="AMG678" s="3"/>
      <c r="AMH678" s="3"/>
      <c r="AMI678" s="3"/>
      <c r="AMJ678" s="3"/>
      <c r="AMK678" s="3"/>
      <c r="AML678" s="3"/>
      <c r="AMM678" s="3"/>
    </row>
    <row r="679" spans="1:1027" ht="15" customHeight="1">
      <c r="A679" s="12">
        <v>260</v>
      </c>
      <c r="B679" s="13" t="s">
        <v>1147</v>
      </c>
      <c r="C679" s="14"/>
      <c r="D679" s="14" t="s">
        <v>1146</v>
      </c>
      <c r="E679" s="14" t="s">
        <v>44</v>
      </c>
      <c r="F679" s="15" t="s">
        <v>22</v>
      </c>
      <c r="G679" s="14"/>
      <c r="H679" s="58"/>
      <c r="I679" s="14"/>
      <c r="J679" s="14" t="s">
        <v>23</v>
      </c>
      <c r="K679" s="14"/>
      <c r="L679" s="14"/>
      <c r="M679" s="14" t="s">
        <v>689</v>
      </c>
      <c r="N679" s="25" t="s">
        <v>37</v>
      </c>
      <c r="O679" s="14" t="s">
        <v>38</v>
      </c>
      <c r="P679" s="14"/>
      <c r="Q679" s="14"/>
      <c r="R679" s="14" t="s">
        <v>654</v>
      </c>
    </row>
    <row r="680" spans="1:1027" ht="15" customHeight="1">
      <c r="A680" s="12">
        <v>1825</v>
      </c>
      <c r="B680" s="13" t="s">
        <v>1148</v>
      </c>
      <c r="C680" s="14"/>
      <c r="D680" s="14" t="s">
        <v>1146</v>
      </c>
      <c r="E680" s="14" t="s">
        <v>44</v>
      </c>
      <c r="F680" s="15" t="s">
        <v>22</v>
      </c>
      <c r="G680" s="14"/>
      <c r="H680" s="58">
        <v>3</v>
      </c>
      <c r="I680" s="14"/>
      <c r="J680" s="14" t="s">
        <v>23</v>
      </c>
      <c r="K680" s="14"/>
      <c r="L680" s="14"/>
      <c r="M680" s="14" t="s">
        <v>32</v>
      </c>
      <c r="N680" s="25" t="s">
        <v>37</v>
      </c>
      <c r="O680" s="14" t="s">
        <v>1149</v>
      </c>
      <c r="P680" s="14"/>
      <c r="Q680" s="14"/>
      <c r="R680" s="14" t="s">
        <v>1113</v>
      </c>
    </row>
    <row r="681" spans="1:1027" ht="15" customHeight="1">
      <c r="A681" s="12">
        <v>261</v>
      </c>
      <c r="B681" s="13" t="s">
        <v>1150</v>
      </c>
      <c r="C681" s="14"/>
      <c r="D681" s="14" t="s">
        <v>1151</v>
      </c>
      <c r="E681" s="14" t="s">
        <v>44</v>
      </c>
      <c r="F681" s="15" t="s">
        <v>22</v>
      </c>
      <c r="G681" s="14"/>
      <c r="H681" s="58"/>
      <c r="I681" s="14"/>
      <c r="J681" s="14" t="s">
        <v>23</v>
      </c>
      <c r="K681" s="14"/>
      <c r="L681" s="14"/>
      <c r="M681" s="14" t="s">
        <v>689</v>
      </c>
      <c r="N681" s="14" t="s">
        <v>25</v>
      </c>
      <c r="O681" s="14"/>
      <c r="P681" s="14"/>
      <c r="Q681" s="14"/>
      <c r="R681" s="14" t="s">
        <v>654</v>
      </c>
    </row>
    <row r="682" spans="1:1027" ht="15" customHeight="1">
      <c r="A682" s="12">
        <v>1033</v>
      </c>
      <c r="B682" s="13" t="s">
        <v>1152</v>
      </c>
      <c r="C682" s="14"/>
      <c r="D682" s="14" t="s">
        <v>1151</v>
      </c>
      <c r="E682" s="14" t="s">
        <v>44</v>
      </c>
      <c r="F682" s="15" t="s">
        <v>22</v>
      </c>
      <c r="G682" s="21"/>
      <c r="H682" s="58"/>
      <c r="I682" s="14"/>
      <c r="J682" s="14" t="s">
        <v>23</v>
      </c>
      <c r="K682" s="14"/>
      <c r="L682" s="14"/>
      <c r="M682" s="14" t="s">
        <v>29</v>
      </c>
      <c r="N682" s="25" t="s">
        <v>37</v>
      </c>
      <c r="O682" s="14" t="s">
        <v>1153</v>
      </c>
      <c r="P682" s="14"/>
      <c r="Q682" s="14"/>
      <c r="R682" s="14" t="s">
        <v>851</v>
      </c>
    </row>
    <row r="683" spans="1:1027" ht="15" customHeight="1">
      <c r="A683" s="12">
        <v>1826</v>
      </c>
      <c r="B683" s="13" t="s">
        <v>1154</v>
      </c>
      <c r="C683" s="14"/>
      <c r="D683" s="14" t="s">
        <v>1151</v>
      </c>
      <c r="E683" s="14" t="s">
        <v>44</v>
      </c>
      <c r="F683" s="15" t="s">
        <v>22</v>
      </c>
      <c r="G683" s="14"/>
      <c r="H683" s="58">
        <v>2</v>
      </c>
      <c r="I683" s="14"/>
      <c r="J683" s="14" t="s">
        <v>23</v>
      </c>
      <c r="K683" s="14"/>
      <c r="L683" s="14"/>
      <c r="M683" s="14" t="s">
        <v>32</v>
      </c>
      <c r="N683" s="25" t="s">
        <v>37</v>
      </c>
      <c r="O683" s="14" t="s">
        <v>1155</v>
      </c>
      <c r="P683" s="14"/>
      <c r="Q683" s="14"/>
      <c r="R683" s="14" t="s">
        <v>1113</v>
      </c>
    </row>
    <row r="684" spans="1:1027" ht="15" customHeight="1">
      <c r="A684" s="12">
        <v>262</v>
      </c>
      <c r="B684" s="13" t="s">
        <v>1156</v>
      </c>
      <c r="C684" s="14"/>
      <c r="D684" s="14" t="s">
        <v>1157</v>
      </c>
      <c r="E684" s="14" t="s">
        <v>36</v>
      </c>
      <c r="F684" s="15" t="s">
        <v>22</v>
      </c>
      <c r="G684" s="14"/>
      <c r="H684" s="58"/>
      <c r="I684" s="14"/>
      <c r="J684" s="14" t="s">
        <v>23</v>
      </c>
      <c r="K684" s="14"/>
      <c r="L684" s="14"/>
      <c r="M684" s="14" t="s">
        <v>689</v>
      </c>
      <c r="N684" s="14" t="s">
        <v>25</v>
      </c>
      <c r="O684" s="14"/>
      <c r="P684" s="14"/>
      <c r="Q684" s="14"/>
      <c r="R684" s="14" t="s">
        <v>654</v>
      </c>
    </row>
    <row r="685" spans="1:1027" ht="15" customHeight="1">
      <c r="A685" s="12">
        <v>1034</v>
      </c>
      <c r="B685" s="13" t="s">
        <v>1158</v>
      </c>
      <c r="C685" s="14"/>
      <c r="D685" s="14" t="s">
        <v>1157</v>
      </c>
      <c r="E685" s="14" t="s">
        <v>36</v>
      </c>
      <c r="F685" s="15" t="s">
        <v>22</v>
      </c>
      <c r="G685" s="21"/>
      <c r="H685" s="58">
        <v>1</v>
      </c>
      <c r="I685" s="14"/>
      <c r="J685" s="14" t="s">
        <v>23</v>
      </c>
      <c r="K685" s="14"/>
      <c r="L685" s="14"/>
      <c r="M685" s="14" t="s">
        <v>29</v>
      </c>
      <c r="N685" s="14" t="s">
        <v>25</v>
      </c>
      <c r="O685" s="14"/>
      <c r="P685" s="14"/>
      <c r="Q685" s="14"/>
      <c r="R685" s="14" t="s">
        <v>851</v>
      </c>
    </row>
    <row r="686" spans="1:1027" ht="15" customHeight="1">
      <c r="A686" s="12">
        <v>1827</v>
      </c>
      <c r="B686" s="13" t="s">
        <v>1159</v>
      </c>
      <c r="C686" s="14"/>
      <c r="D686" s="14" t="s">
        <v>1157</v>
      </c>
      <c r="E686" s="14" t="s">
        <v>36</v>
      </c>
      <c r="F686" s="15" t="s">
        <v>22</v>
      </c>
      <c r="G686" s="14"/>
      <c r="H686" s="58">
        <v>1</v>
      </c>
      <c r="I686" s="14"/>
      <c r="J686" s="14" t="s">
        <v>23</v>
      </c>
      <c r="K686" s="14"/>
      <c r="L686" s="14"/>
      <c r="M686" s="14" t="s">
        <v>32</v>
      </c>
      <c r="N686" s="25" t="s">
        <v>37</v>
      </c>
      <c r="O686" s="14" t="s">
        <v>1160</v>
      </c>
      <c r="P686" s="14"/>
      <c r="Q686" s="14"/>
      <c r="R686" s="14" t="s">
        <v>1113</v>
      </c>
    </row>
    <row r="687" spans="1:1027" ht="15" customHeight="1">
      <c r="A687" s="12">
        <v>263</v>
      </c>
      <c r="B687" s="13" t="s">
        <v>1161</v>
      </c>
      <c r="C687" s="14"/>
      <c r="D687" s="14" t="s">
        <v>1162</v>
      </c>
      <c r="E687" s="14" t="s">
        <v>172</v>
      </c>
      <c r="F687" s="15" t="s">
        <v>22</v>
      </c>
      <c r="G687" s="14"/>
      <c r="H687" s="58"/>
      <c r="I687" s="14"/>
      <c r="J687" s="14" t="s">
        <v>23</v>
      </c>
      <c r="K687" s="14"/>
      <c r="L687" s="14"/>
      <c r="M687" s="14" t="s">
        <v>689</v>
      </c>
      <c r="N687" s="14" t="s">
        <v>25</v>
      </c>
      <c r="O687" s="14"/>
      <c r="P687" s="14"/>
      <c r="Q687" s="14"/>
      <c r="R687" s="14" t="s">
        <v>654</v>
      </c>
    </row>
    <row r="688" spans="1:1027" ht="15" customHeight="1">
      <c r="A688" s="12">
        <v>1035</v>
      </c>
      <c r="B688" s="13" t="s">
        <v>1163</v>
      </c>
      <c r="C688" s="14"/>
      <c r="D688" s="14" t="s">
        <v>1162</v>
      </c>
      <c r="E688" s="14" t="s">
        <v>172</v>
      </c>
      <c r="F688" s="15" t="s">
        <v>22</v>
      </c>
      <c r="G688" s="21"/>
      <c r="H688" s="58">
        <v>1</v>
      </c>
      <c r="I688" s="14"/>
      <c r="J688" s="14" t="s">
        <v>23</v>
      </c>
      <c r="K688" s="14"/>
      <c r="L688" s="14"/>
      <c r="M688" s="14" t="s">
        <v>29</v>
      </c>
      <c r="N688" s="14" t="s">
        <v>25</v>
      </c>
      <c r="O688" s="14"/>
      <c r="P688" s="14"/>
      <c r="Q688" s="14"/>
      <c r="R688" s="14" t="s">
        <v>851</v>
      </c>
    </row>
    <row r="689" spans="1:18" ht="15" customHeight="1">
      <c r="A689" s="12">
        <v>1828</v>
      </c>
      <c r="B689" s="13" t="s">
        <v>1164</v>
      </c>
      <c r="C689" s="14"/>
      <c r="D689" s="14" t="s">
        <v>1162</v>
      </c>
      <c r="E689" s="14" t="s">
        <v>172</v>
      </c>
      <c r="F689" s="15" t="s">
        <v>22</v>
      </c>
      <c r="G689" s="14"/>
      <c r="H689" s="58">
        <v>0</v>
      </c>
      <c r="I689" s="14"/>
      <c r="J689" s="14" t="s">
        <v>23</v>
      </c>
      <c r="K689" s="14"/>
      <c r="L689" s="14"/>
      <c r="M689" s="14" t="s">
        <v>32</v>
      </c>
      <c r="N689" s="22" t="s">
        <v>25</v>
      </c>
      <c r="O689" s="14"/>
      <c r="P689" s="14"/>
      <c r="Q689" s="14"/>
      <c r="R689" s="14" t="s">
        <v>1113</v>
      </c>
    </row>
    <row r="690" spans="1:18" ht="15" customHeight="1">
      <c r="A690" s="12">
        <v>264</v>
      </c>
      <c r="B690" s="13" t="s">
        <v>1165</v>
      </c>
      <c r="C690" s="14"/>
      <c r="D690" s="14" t="s">
        <v>1166</v>
      </c>
      <c r="E690" s="14" t="s">
        <v>21</v>
      </c>
      <c r="F690" s="15" t="s">
        <v>22</v>
      </c>
      <c r="G690" s="14"/>
      <c r="H690" s="58"/>
      <c r="I690" s="14"/>
      <c r="J690" s="14" t="s">
        <v>23</v>
      </c>
      <c r="K690" s="14"/>
      <c r="L690" s="14"/>
      <c r="M690" s="14" t="s">
        <v>689</v>
      </c>
      <c r="N690" s="14" t="s">
        <v>25</v>
      </c>
      <c r="O690" s="14"/>
      <c r="P690" s="14"/>
      <c r="Q690" s="14"/>
      <c r="R690" s="14" t="s">
        <v>654</v>
      </c>
    </row>
    <row r="691" spans="1:18" ht="15" customHeight="1">
      <c r="A691" s="12">
        <v>1036</v>
      </c>
      <c r="B691" s="13" t="s">
        <v>1167</v>
      </c>
      <c r="C691" s="14"/>
      <c r="D691" s="14" t="s">
        <v>1166</v>
      </c>
      <c r="E691" s="14" t="s">
        <v>21</v>
      </c>
      <c r="F691" s="15" t="s">
        <v>22</v>
      </c>
      <c r="G691" s="21"/>
      <c r="H691" s="58"/>
      <c r="I691" s="14"/>
      <c r="J691" s="14" t="s">
        <v>23</v>
      </c>
      <c r="K691" s="14"/>
      <c r="L691" s="14"/>
      <c r="M691" s="14" t="s">
        <v>29</v>
      </c>
      <c r="N691" s="14" t="s">
        <v>25</v>
      </c>
      <c r="O691" s="14"/>
      <c r="P691" s="14"/>
      <c r="Q691" s="14"/>
      <c r="R691" s="14" t="s">
        <v>851</v>
      </c>
    </row>
    <row r="692" spans="1:18" ht="15" customHeight="1">
      <c r="A692" s="12">
        <v>1829</v>
      </c>
      <c r="B692" s="13" t="s">
        <v>1168</v>
      </c>
      <c r="C692" s="14"/>
      <c r="D692" s="14" t="s">
        <v>1166</v>
      </c>
      <c r="E692" s="14" t="s">
        <v>21</v>
      </c>
      <c r="F692" s="15" t="s">
        <v>22</v>
      </c>
      <c r="G692" s="14"/>
      <c r="H692" s="58">
        <v>0</v>
      </c>
      <c r="I692" s="14"/>
      <c r="J692" s="14" t="s">
        <v>23</v>
      </c>
      <c r="K692" s="14"/>
      <c r="L692" s="14"/>
      <c r="M692" s="14" t="s">
        <v>32</v>
      </c>
      <c r="N692" s="22" t="s">
        <v>25</v>
      </c>
      <c r="O692" s="14"/>
      <c r="P692" s="14"/>
      <c r="Q692" s="14"/>
      <c r="R692" s="14" t="s">
        <v>1113</v>
      </c>
    </row>
    <row r="693" spans="1:18" ht="15" customHeight="1">
      <c r="A693" s="12">
        <v>265</v>
      </c>
      <c r="B693" s="13" t="s">
        <v>1169</v>
      </c>
      <c r="C693" s="14"/>
      <c r="D693" s="14" t="s">
        <v>1170</v>
      </c>
      <c r="E693" s="14" t="s">
        <v>44</v>
      </c>
      <c r="F693" s="15" t="s">
        <v>22</v>
      </c>
      <c r="G693" s="14"/>
      <c r="H693" s="58"/>
      <c r="I693" s="14"/>
      <c r="J693" s="14" t="s">
        <v>23</v>
      </c>
      <c r="K693" s="14"/>
      <c r="L693" s="14"/>
      <c r="M693" s="14" t="s">
        <v>689</v>
      </c>
      <c r="N693" s="25" t="s">
        <v>37</v>
      </c>
      <c r="O693" s="14" t="s">
        <v>45</v>
      </c>
      <c r="P693" s="14"/>
      <c r="Q693" s="14"/>
      <c r="R693" s="14" t="s">
        <v>654</v>
      </c>
    </row>
    <row r="694" spans="1:18" ht="15" customHeight="1">
      <c r="A694" s="12">
        <v>1037</v>
      </c>
      <c r="B694" s="13" t="s">
        <v>1171</v>
      </c>
      <c r="C694" s="14"/>
      <c r="D694" s="14" t="s">
        <v>1170</v>
      </c>
      <c r="E694" s="14" t="s">
        <v>44</v>
      </c>
      <c r="F694" s="15" t="s">
        <v>22</v>
      </c>
      <c r="G694" s="21"/>
      <c r="H694" s="58">
        <v>3</v>
      </c>
      <c r="I694" s="14"/>
      <c r="J694" s="14" t="s">
        <v>23</v>
      </c>
      <c r="K694" s="14"/>
      <c r="L694" s="14"/>
      <c r="M694" s="14" t="s">
        <v>29</v>
      </c>
      <c r="N694" s="25" t="s">
        <v>37</v>
      </c>
      <c r="O694" s="14" t="s">
        <v>956</v>
      </c>
      <c r="P694" s="14"/>
      <c r="Q694" s="14"/>
      <c r="R694" s="14" t="s">
        <v>851</v>
      </c>
    </row>
    <row r="695" spans="1:18" ht="15" customHeight="1">
      <c r="A695" s="12">
        <v>1830</v>
      </c>
      <c r="B695" s="13" t="s">
        <v>1172</v>
      </c>
      <c r="C695" s="14"/>
      <c r="D695" s="14" t="s">
        <v>1170</v>
      </c>
      <c r="E695" s="14" t="s">
        <v>44</v>
      </c>
      <c r="F695" s="15" t="s">
        <v>22</v>
      </c>
      <c r="G695" s="14"/>
      <c r="H695" s="58">
        <v>3</v>
      </c>
      <c r="I695" s="14"/>
      <c r="J695" s="14" t="s">
        <v>23</v>
      </c>
      <c r="K695" s="14"/>
      <c r="L695" s="14"/>
      <c r="M695" s="14" t="s">
        <v>32</v>
      </c>
      <c r="N695" s="25" t="s">
        <v>37</v>
      </c>
      <c r="O695" s="14" t="s">
        <v>406</v>
      </c>
      <c r="P695" s="14"/>
      <c r="Q695" s="14"/>
      <c r="R695" s="14" t="s">
        <v>1113</v>
      </c>
    </row>
    <row r="696" spans="1:18" ht="15" customHeight="1">
      <c r="A696" s="12">
        <v>266</v>
      </c>
      <c r="B696" s="13" t="s">
        <v>1173</v>
      </c>
      <c r="C696" s="14"/>
      <c r="D696" s="14" t="s">
        <v>1174</v>
      </c>
      <c r="E696" s="14" t="s">
        <v>21</v>
      </c>
      <c r="F696" s="15" t="s">
        <v>22</v>
      </c>
      <c r="G696" s="14"/>
      <c r="H696" s="58"/>
      <c r="I696" s="14"/>
      <c r="J696" s="14" t="s">
        <v>23</v>
      </c>
      <c r="K696" s="14"/>
      <c r="L696" s="14"/>
      <c r="M696" s="14" t="s">
        <v>689</v>
      </c>
      <c r="N696" s="14" t="s">
        <v>25</v>
      </c>
      <c r="O696" s="14"/>
      <c r="P696" s="14"/>
      <c r="Q696" s="14"/>
      <c r="R696" s="14" t="s">
        <v>654</v>
      </c>
    </row>
    <row r="697" spans="1:18" ht="15" customHeight="1">
      <c r="A697" s="12">
        <v>1038</v>
      </c>
      <c r="B697" s="13" t="s">
        <v>1175</v>
      </c>
      <c r="C697" s="14"/>
      <c r="D697" s="14" t="s">
        <v>1174</v>
      </c>
      <c r="E697" s="14" t="s">
        <v>21</v>
      </c>
      <c r="F697" s="15" t="s">
        <v>22</v>
      </c>
      <c r="G697" s="21"/>
      <c r="H697" s="58"/>
      <c r="I697" s="14"/>
      <c r="J697" s="14" t="s">
        <v>23</v>
      </c>
      <c r="K697" s="14"/>
      <c r="L697" s="14"/>
      <c r="M697" s="14" t="s">
        <v>29</v>
      </c>
      <c r="N697" s="14" t="s">
        <v>25</v>
      </c>
      <c r="O697" s="14"/>
      <c r="P697" s="14"/>
      <c r="Q697" s="14"/>
      <c r="R697" s="14" t="s">
        <v>851</v>
      </c>
    </row>
    <row r="698" spans="1:18" ht="15" customHeight="1">
      <c r="A698" s="12">
        <v>1831</v>
      </c>
      <c r="B698" s="13" t="s">
        <v>1176</v>
      </c>
      <c r="C698" s="14"/>
      <c r="D698" s="14" t="s">
        <v>1174</v>
      </c>
      <c r="E698" s="14" t="s">
        <v>21</v>
      </c>
      <c r="F698" s="15" t="s">
        <v>22</v>
      </c>
      <c r="G698" s="14"/>
      <c r="H698" s="58">
        <v>0</v>
      </c>
      <c r="I698" s="14"/>
      <c r="J698" s="14" t="s">
        <v>23</v>
      </c>
      <c r="K698" s="14"/>
      <c r="L698" s="14"/>
      <c r="M698" s="14" t="s">
        <v>32</v>
      </c>
      <c r="N698" s="22" t="s">
        <v>25</v>
      </c>
      <c r="O698" s="14"/>
      <c r="P698" s="14"/>
      <c r="Q698" s="14"/>
      <c r="R698" s="14" t="s">
        <v>1113</v>
      </c>
    </row>
    <row r="699" spans="1:18" ht="15" customHeight="1">
      <c r="A699" s="12">
        <v>267</v>
      </c>
      <c r="B699" s="13" t="s">
        <v>1177</v>
      </c>
      <c r="C699" s="14"/>
      <c r="D699" s="14" t="s">
        <v>1178</v>
      </c>
      <c r="E699" s="14" t="s">
        <v>21</v>
      </c>
      <c r="F699" s="15" t="s">
        <v>22</v>
      </c>
      <c r="G699" s="14"/>
      <c r="H699" s="58"/>
      <c r="I699" s="14"/>
      <c r="J699" s="14" t="s">
        <v>23</v>
      </c>
      <c r="K699" s="14"/>
      <c r="L699" s="14"/>
      <c r="M699" s="14" t="s">
        <v>689</v>
      </c>
      <c r="N699" s="14" t="s">
        <v>25</v>
      </c>
      <c r="O699" s="14"/>
      <c r="P699" s="14"/>
      <c r="Q699" s="14"/>
      <c r="R699" s="14" t="s">
        <v>654</v>
      </c>
    </row>
    <row r="700" spans="1:18" ht="15" customHeight="1">
      <c r="A700" s="12">
        <v>1039</v>
      </c>
      <c r="B700" s="13" t="s">
        <v>1179</v>
      </c>
      <c r="C700" s="14"/>
      <c r="D700" s="14" t="s">
        <v>1178</v>
      </c>
      <c r="E700" s="14" t="s">
        <v>21</v>
      </c>
      <c r="F700" s="15" t="s">
        <v>22</v>
      </c>
      <c r="G700" s="21"/>
      <c r="H700" s="58"/>
      <c r="I700" s="14"/>
      <c r="J700" s="14" t="s">
        <v>23</v>
      </c>
      <c r="K700" s="14"/>
      <c r="L700" s="14"/>
      <c r="M700" s="14" t="s">
        <v>29</v>
      </c>
      <c r="N700" s="25" t="s">
        <v>37</v>
      </c>
      <c r="O700" s="14" t="s">
        <v>1180</v>
      </c>
      <c r="P700" s="14"/>
      <c r="Q700" s="14"/>
      <c r="R700" s="14" t="s">
        <v>851</v>
      </c>
    </row>
    <row r="701" spans="1:18" ht="15" customHeight="1">
      <c r="A701" s="12">
        <v>1832</v>
      </c>
      <c r="B701" s="13" t="s">
        <v>1181</v>
      </c>
      <c r="C701" s="14"/>
      <c r="D701" s="14" t="s">
        <v>1178</v>
      </c>
      <c r="E701" s="14" t="s">
        <v>21</v>
      </c>
      <c r="F701" s="15" t="s">
        <v>22</v>
      </c>
      <c r="G701" s="14"/>
      <c r="H701" s="58">
        <v>1</v>
      </c>
      <c r="I701" s="14"/>
      <c r="J701" s="14" t="s">
        <v>23</v>
      </c>
      <c r="K701" s="14"/>
      <c r="L701" s="14"/>
      <c r="M701" s="14" t="s">
        <v>32</v>
      </c>
      <c r="N701" s="22" t="s">
        <v>25</v>
      </c>
      <c r="O701" s="14"/>
      <c r="P701" s="14"/>
      <c r="Q701" s="14"/>
      <c r="R701" s="14" t="s">
        <v>1113</v>
      </c>
    </row>
    <row r="702" spans="1:18" ht="15" customHeight="1">
      <c r="A702" s="12">
        <v>268</v>
      </c>
      <c r="B702" s="13" t="s">
        <v>1182</v>
      </c>
      <c r="C702" s="14"/>
      <c r="D702" s="14" t="s">
        <v>1183</v>
      </c>
      <c r="E702" s="14" t="s">
        <v>44</v>
      </c>
      <c r="F702" s="15" t="s">
        <v>22</v>
      </c>
      <c r="G702" s="14"/>
      <c r="H702" s="58"/>
      <c r="I702" s="14"/>
      <c r="J702" s="14" t="s">
        <v>23</v>
      </c>
      <c r="K702" s="14"/>
      <c r="L702" s="14"/>
      <c r="M702" s="14" t="s">
        <v>689</v>
      </c>
      <c r="N702" s="14" t="s">
        <v>25</v>
      </c>
      <c r="O702" s="14"/>
      <c r="P702" s="14"/>
      <c r="Q702" s="14"/>
      <c r="R702" s="14" t="s">
        <v>654</v>
      </c>
    </row>
    <row r="703" spans="1:18" ht="15" customHeight="1">
      <c r="A703" s="12">
        <v>1040</v>
      </c>
      <c r="B703" s="13" t="s">
        <v>1184</v>
      </c>
      <c r="C703" s="14"/>
      <c r="D703" s="14" t="s">
        <v>1183</v>
      </c>
      <c r="E703" s="14" t="s">
        <v>44</v>
      </c>
      <c r="F703" s="15" t="s">
        <v>22</v>
      </c>
      <c r="G703" s="21"/>
      <c r="H703" s="58"/>
      <c r="I703" s="14"/>
      <c r="J703" s="14" t="s">
        <v>23</v>
      </c>
      <c r="K703" s="14"/>
      <c r="L703" s="14"/>
      <c r="M703" s="14" t="s">
        <v>29</v>
      </c>
      <c r="N703" s="14" t="s">
        <v>25</v>
      </c>
      <c r="O703" s="14"/>
      <c r="P703" s="14"/>
      <c r="Q703" s="14"/>
      <c r="R703" s="14" t="s">
        <v>851</v>
      </c>
    </row>
    <row r="704" spans="1:18" ht="15" customHeight="1">
      <c r="A704" s="12">
        <v>1833</v>
      </c>
      <c r="B704" s="13" t="s">
        <v>1185</v>
      </c>
      <c r="C704" s="14"/>
      <c r="D704" s="14" t="s">
        <v>1183</v>
      </c>
      <c r="E704" s="14" t="s">
        <v>44</v>
      </c>
      <c r="F704" s="15" t="s">
        <v>22</v>
      </c>
      <c r="G704" s="14"/>
      <c r="H704" s="58">
        <v>1</v>
      </c>
      <c r="I704" s="14"/>
      <c r="J704" s="14" t="s">
        <v>23</v>
      </c>
      <c r="K704" s="14"/>
      <c r="L704" s="14"/>
      <c r="M704" s="14" t="s">
        <v>32</v>
      </c>
      <c r="N704" s="25" t="s">
        <v>37</v>
      </c>
      <c r="O704" s="14" t="s">
        <v>1186</v>
      </c>
      <c r="P704" s="14"/>
      <c r="Q704" s="14"/>
      <c r="R704" s="14" t="s">
        <v>1113</v>
      </c>
    </row>
    <row r="705" spans="1:18" ht="15" customHeight="1">
      <c r="A705" s="12">
        <v>269</v>
      </c>
      <c r="B705" s="13" t="s">
        <v>1187</v>
      </c>
      <c r="C705" s="14"/>
      <c r="D705" s="14" t="s">
        <v>1188</v>
      </c>
      <c r="E705" s="14" t="s">
        <v>21</v>
      </c>
      <c r="F705" s="15" t="s">
        <v>22</v>
      </c>
      <c r="G705" s="14"/>
      <c r="H705" s="58"/>
      <c r="I705" s="14"/>
      <c r="J705" s="14" t="s">
        <v>23</v>
      </c>
      <c r="K705" s="14"/>
      <c r="L705" s="14"/>
      <c r="M705" s="14" t="s">
        <v>689</v>
      </c>
      <c r="N705" s="14" t="s">
        <v>25</v>
      </c>
      <c r="O705" s="14"/>
      <c r="P705" s="14"/>
      <c r="Q705" s="14"/>
      <c r="R705" s="14" t="s">
        <v>654</v>
      </c>
    </row>
    <row r="706" spans="1:18" ht="15" customHeight="1">
      <c r="A706" s="12">
        <v>1834</v>
      </c>
      <c r="B706" s="13" t="s">
        <v>1189</v>
      </c>
      <c r="C706" s="14"/>
      <c r="D706" s="14" t="s">
        <v>1188</v>
      </c>
      <c r="E706" s="14" t="s">
        <v>21</v>
      </c>
      <c r="F706" s="15" t="s">
        <v>22</v>
      </c>
      <c r="G706" s="14"/>
      <c r="H706" s="58">
        <v>0</v>
      </c>
      <c r="I706" s="14"/>
      <c r="J706" s="14" t="s">
        <v>23</v>
      </c>
      <c r="K706" s="14"/>
      <c r="L706" s="14"/>
      <c r="M706" s="14" t="s">
        <v>32</v>
      </c>
      <c r="N706" s="22" t="s">
        <v>25</v>
      </c>
      <c r="O706" s="14"/>
      <c r="P706" s="14"/>
      <c r="Q706" s="14"/>
      <c r="R706" s="14" t="s">
        <v>1113</v>
      </c>
    </row>
    <row r="707" spans="1:18" ht="15" customHeight="1">
      <c r="A707" s="12">
        <v>270</v>
      </c>
      <c r="B707" s="13" t="s">
        <v>1190</v>
      </c>
      <c r="C707" s="14"/>
      <c r="D707" s="14" t="s">
        <v>1191</v>
      </c>
      <c r="E707" s="14" t="s">
        <v>172</v>
      </c>
      <c r="F707" s="15" t="s">
        <v>22</v>
      </c>
      <c r="G707" s="14"/>
      <c r="H707" s="58"/>
      <c r="I707" s="14"/>
      <c r="J707" s="14" t="s">
        <v>23</v>
      </c>
      <c r="K707" s="14"/>
      <c r="L707" s="14"/>
      <c r="M707" s="14" t="s">
        <v>689</v>
      </c>
      <c r="N707" s="14" t="s">
        <v>25</v>
      </c>
      <c r="O707" s="14"/>
      <c r="P707" s="14"/>
      <c r="Q707" s="14"/>
      <c r="R707" s="14" t="s">
        <v>654</v>
      </c>
    </row>
    <row r="708" spans="1:18" ht="15" customHeight="1">
      <c r="A708" s="12">
        <v>1041</v>
      </c>
      <c r="B708" s="13" t="s">
        <v>1192</v>
      </c>
      <c r="C708" s="14"/>
      <c r="D708" s="14" t="s">
        <v>1191</v>
      </c>
      <c r="E708" s="14" t="s">
        <v>172</v>
      </c>
      <c r="F708" s="15" t="s">
        <v>22</v>
      </c>
      <c r="G708" s="21"/>
      <c r="H708" s="58"/>
      <c r="I708" s="14"/>
      <c r="J708" s="14" t="s">
        <v>23</v>
      </c>
      <c r="K708" s="14"/>
      <c r="L708" s="14"/>
      <c r="M708" s="14" t="s">
        <v>29</v>
      </c>
      <c r="N708" s="14" t="s">
        <v>25</v>
      </c>
      <c r="O708" s="14"/>
      <c r="P708" s="14"/>
      <c r="Q708" s="14"/>
      <c r="R708" s="14" t="s">
        <v>851</v>
      </c>
    </row>
    <row r="709" spans="1:18" ht="15" customHeight="1">
      <c r="A709" s="12">
        <v>1835</v>
      </c>
      <c r="B709" s="13" t="s">
        <v>1193</v>
      </c>
      <c r="C709" s="14"/>
      <c r="D709" s="14" t="s">
        <v>1191</v>
      </c>
      <c r="E709" s="14" t="s">
        <v>172</v>
      </c>
      <c r="F709" s="15" t="s">
        <v>22</v>
      </c>
      <c r="G709" s="14"/>
      <c r="H709" s="58">
        <v>0</v>
      </c>
      <c r="I709" s="14"/>
      <c r="J709" s="14" t="s">
        <v>23</v>
      </c>
      <c r="K709" s="14"/>
      <c r="L709" s="14"/>
      <c r="M709" s="14" t="s">
        <v>32</v>
      </c>
      <c r="N709" s="22" t="s">
        <v>25</v>
      </c>
      <c r="O709" s="14"/>
      <c r="P709" s="14"/>
      <c r="Q709" s="14"/>
      <c r="R709" s="14" t="s">
        <v>1113</v>
      </c>
    </row>
    <row r="710" spans="1:18" ht="15" customHeight="1">
      <c r="A710" s="12">
        <v>271</v>
      </c>
      <c r="B710" s="13" t="s">
        <v>1194</v>
      </c>
      <c r="C710" s="14"/>
      <c r="D710" s="14" t="s">
        <v>1195</v>
      </c>
      <c r="E710" s="14" t="s">
        <v>21</v>
      </c>
      <c r="F710" s="15" t="s">
        <v>22</v>
      </c>
      <c r="G710" s="14"/>
      <c r="H710" s="58"/>
      <c r="I710" s="14"/>
      <c r="J710" s="14" t="s">
        <v>23</v>
      </c>
      <c r="K710" s="14"/>
      <c r="L710" s="14"/>
      <c r="M710" s="14" t="s">
        <v>689</v>
      </c>
      <c r="N710" s="14" t="s">
        <v>25</v>
      </c>
      <c r="O710" s="14"/>
      <c r="P710" s="14"/>
      <c r="Q710" s="14"/>
      <c r="R710" s="14" t="s">
        <v>654</v>
      </c>
    </row>
    <row r="711" spans="1:18" ht="15" customHeight="1">
      <c r="A711" s="12">
        <v>1836</v>
      </c>
      <c r="B711" s="13" t="s">
        <v>1196</v>
      </c>
      <c r="C711" s="14"/>
      <c r="D711" s="14" t="s">
        <v>1195</v>
      </c>
      <c r="E711" s="14" t="s">
        <v>21</v>
      </c>
      <c r="F711" s="15" t="s">
        <v>22</v>
      </c>
      <c r="G711" s="14"/>
      <c r="H711" s="58">
        <v>0</v>
      </c>
      <c r="I711" s="14"/>
      <c r="J711" s="14" t="s">
        <v>23</v>
      </c>
      <c r="K711" s="14"/>
      <c r="L711" s="14"/>
      <c r="M711" s="14" t="s">
        <v>32</v>
      </c>
      <c r="N711" s="22" t="s">
        <v>25</v>
      </c>
      <c r="O711" s="14"/>
      <c r="P711" s="14"/>
      <c r="Q711" s="14"/>
      <c r="R711" s="14" t="s">
        <v>1113</v>
      </c>
    </row>
    <row r="712" spans="1:18" ht="15" customHeight="1">
      <c r="A712" s="12">
        <v>272</v>
      </c>
      <c r="B712" s="13" t="s">
        <v>1197</v>
      </c>
      <c r="C712" s="14"/>
      <c r="D712" s="14" t="s">
        <v>1198</v>
      </c>
      <c r="E712" s="14" t="s">
        <v>1102</v>
      </c>
      <c r="F712" s="15" t="s">
        <v>22</v>
      </c>
      <c r="G712" s="14"/>
      <c r="H712" s="58"/>
      <c r="I712" s="14"/>
      <c r="J712" s="14" t="s">
        <v>23</v>
      </c>
      <c r="K712" s="14"/>
      <c r="L712" s="14"/>
      <c r="M712" s="14" t="s">
        <v>689</v>
      </c>
      <c r="N712" s="14" t="s">
        <v>25</v>
      </c>
      <c r="O712" s="14"/>
      <c r="P712" s="14"/>
      <c r="Q712" s="14"/>
      <c r="R712" s="14" t="s">
        <v>654</v>
      </c>
    </row>
    <row r="713" spans="1:18" ht="15" customHeight="1">
      <c r="A713" s="12">
        <v>1042</v>
      </c>
      <c r="B713" s="13" t="s">
        <v>1199</v>
      </c>
      <c r="C713" s="14"/>
      <c r="D713" s="14" t="s">
        <v>1198</v>
      </c>
      <c r="E713" s="14" t="s">
        <v>1200</v>
      </c>
      <c r="F713" s="15" t="s">
        <v>22</v>
      </c>
      <c r="G713" s="21"/>
      <c r="H713" s="58"/>
      <c r="I713" s="14"/>
      <c r="J713" s="14" t="s">
        <v>23</v>
      </c>
      <c r="K713" s="14"/>
      <c r="L713" s="14"/>
      <c r="M713" s="14" t="s">
        <v>29</v>
      </c>
      <c r="N713" s="14" t="s">
        <v>25</v>
      </c>
      <c r="O713" s="14"/>
      <c r="P713" s="14"/>
      <c r="Q713" s="14"/>
      <c r="R713" s="14" t="s">
        <v>851</v>
      </c>
    </row>
    <row r="714" spans="1:18" ht="15" customHeight="1">
      <c r="A714" s="12">
        <v>1837</v>
      </c>
      <c r="B714" s="13" t="s">
        <v>1201</v>
      </c>
      <c r="C714" s="14"/>
      <c r="D714" s="14" t="s">
        <v>1198</v>
      </c>
      <c r="E714" s="14" t="s">
        <v>1102</v>
      </c>
      <c r="F714" s="15" t="s">
        <v>22</v>
      </c>
      <c r="G714" s="14"/>
      <c r="H714" s="58">
        <v>0</v>
      </c>
      <c r="I714" s="14"/>
      <c r="J714" s="14" t="s">
        <v>23</v>
      </c>
      <c r="K714" s="14"/>
      <c r="L714" s="14"/>
      <c r="M714" s="14" t="s">
        <v>32</v>
      </c>
      <c r="N714" s="22" t="s">
        <v>25</v>
      </c>
      <c r="O714" s="14"/>
      <c r="P714" s="14"/>
      <c r="Q714" s="14"/>
      <c r="R714" s="14" t="s">
        <v>1113</v>
      </c>
    </row>
    <row r="715" spans="1:18" ht="15" customHeight="1">
      <c r="A715" s="12">
        <v>273</v>
      </c>
      <c r="B715" s="13" t="s">
        <v>1202</v>
      </c>
      <c r="C715" s="14"/>
      <c r="D715" s="14" t="s">
        <v>1203</v>
      </c>
      <c r="E715" s="14" t="s">
        <v>21</v>
      </c>
      <c r="F715" s="15" t="s">
        <v>22</v>
      </c>
      <c r="G715" s="14"/>
      <c r="H715" s="58"/>
      <c r="I715" s="14"/>
      <c r="J715" s="14" t="s">
        <v>23</v>
      </c>
      <c r="K715" s="14"/>
      <c r="L715" s="14"/>
      <c r="M715" s="14" t="s">
        <v>689</v>
      </c>
      <c r="N715" s="14" t="s">
        <v>25</v>
      </c>
      <c r="O715" s="14"/>
      <c r="P715" s="14"/>
      <c r="Q715" s="14"/>
      <c r="R715" s="14" t="s">
        <v>654</v>
      </c>
    </row>
    <row r="716" spans="1:18" ht="15" customHeight="1">
      <c r="A716" s="12">
        <v>1043</v>
      </c>
      <c r="B716" s="13" t="s">
        <v>1204</v>
      </c>
      <c r="C716" s="14"/>
      <c r="D716" s="14" t="s">
        <v>1203</v>
      </c>
      <c r="E716" s="14" t="s">
        <v>21</v>
      </c>
      <c r="F716" s="15" t="s">
        <v>22</v>
      </c>
      <c r="G716" s="21"/>
      <c r="H716" s="58"/>
      <c r="I716" s="14"/>
      <c r="J716" s="14" t="s">
        <v>23</v>
      </c>
      <c r="K716" s="14"/>
      <c r="L716" s="14"/>
      <c r="M716" s="14" t="s">
        <v>29</v>
      </c>
      <c r="N716" s="14" t="s">
        <v>25</v>
      </c>
      <c r="O716" s="14"/>
      <c r="P716" s="14"/>
      <c r="Q716" s="14"/>
      <c r="R716" s="14" t="s">
        <v>851</v>
      </c>
    </row>
    <row r="717" spans="1:18" ht="15" customHeight="1">
      <c r="A717" s="12">
        <v>1838</v>
      </c>
      <c r="B717" s="13" t="s">
        <v>1205</v>
      </c>
      <c r="C717" s="14"/>
      <c r="D717" s="14" t="s">
        <v>1203</v>
      </c>
      <c r="E717" s="14" t="s">
        <v>21</v>
      </c>
      <c r="F717" s="15" t="s">
        <v>22</v>
      </c>
      <c r="G717" s="14"/>
      <c r="H717" s="58">
        <v>0</v>
      </c>
      <c r="I717" s="14"/>
      <c r="J717" s="14" t="s">
        <v>23</v>
      </c>
      <c r="K717" s="14"/>
      <c r="L717" s="14"/>
      <c r="M717" s="14" t="s">
        <v>32</v>
      </c>
      <c r="N717" s="22" t="s">
        <v>25</v>
      </c>
      <c r="O717" s="14"/>
      <c r="P717" s="14"/>
      <c r="Q717" s="14"/>
      <c r="R717" s="14" t="s">
        <v>1113</v>
      </c>
    </row>
    <row r="718" spans="1:18" ht="15" customHeight="1">
      <c r="A718" s="12">
        <v>274</v>
      </c>
      <c r="B718" s="13" t="s">
        <v>1206</v>
      </c>
      <c r="C718" s="14"/>
      <c r="D718" s="14" t="s">
        <v>1207</v>
      </c>
      <c r="E718" s="14"/>
      <c r="F718" s="15" t="s">
        <v>22</v>
      </c>
      <c r="G718" s="14"/>
      <c r="H718" s="58"/>
      <c r="I718" s="14"/>
      <c r="J718" s="14" t="s">
        <v>23</v>
      </c>
      <c r="K718" s="14"/>
      <c r="L718" s="14"/>
      <c r="M718" s="14" t="s">
        <v>689</v>
      </c>
      <c r="N718" s="14" t="s">
        <v>25</v>
      </c>
      <c r="O718" s="14"/>
      <c r="P718" s="14"/>
      <c r="Q718" s="14"/>
      <c r="R718" s="14" t="s">
        <v>654</v>
      </c>
    </row>
    <row r="719" spans="1:18" ht="15" customHeight="1">
      <c r="A719" s="12">
        <v>1044</v>
      </c>
      <c r="B719" s="13" t="s">
        <v>1208</v>
      </c>
      <c r="C719" s="14"/>
      <c r="D719" s="14" t="s">
        <v>1207</v>
      </c>
      <c r="E719" s="14"/>
      <c r="F719" s="15" t="s">
        <v>22</v>
      </c>
      <c r="G719" s="21"/>
      <c r="H719" s="58"/>
      <c r="I719" s="14"/>
      <c r="J719" s="14" t="s">
        <v>23</v>
      </c>
      <c r="K719" s="14"/>
      <c r="L719" s="14"/>
      <c r="M719" s="14" t="s">
        <v>29</v>
      </c>
      <c r="N719" s="14" t="s">
        <v>25</v>
      </c>
      <c r="O719" s="14"/>
      <c r="P719" s="14"/>
      <c r="Q719" s="14"/>
      <c r="R719" s="14" t="s">
        <v>851</v>
      </c>
    </row>
    <row r="720" spans="1:18" ht="15" customHeight="1">
      <c r="A720" s="12">
        <v>1839</v>
      </c>
      <c r="B720" s="13" t="s">
        <v>1209</v>
      </c>
      <c r="C720" s="14"/>
      <c r="D720" s="14" t="s">
        <v>1207</v>
      </c>
      <c r="E720" s="14" t="s">
        <v>172</v>
      </c>
      <c r="F720" s="15" t="s">
        <v>22</v>
      </c>
      <c r="G720" s="14"/>
      <c r="H720" s="58">
        <v>0</v>
      </c>
      <c r="I720" s="14"/>
      <c r="J720" s="14" t="s">
        <v>23</v>
      </c>
      <c r="K720" s="14"/>
      <c r="L720" s="14"/>
      <c r="M720" s="14" t="s">
        <v>32</v>
      </c>
      <c r="N720" s="22" t="s">
        <v>25</v>
      </c>
      <c r="O720" s="14"/>
      <c r="P720" s="14"/>
      <c r="Q720" s="14"/>
      <c r="R720" s="14" t="s">
        <v>1113</v>
      </c>
    </row>
    <row r="721" spans="1:18" ht="15" customHeight="1">
      <c r="A721" s="12">
        <v>275</v>
      </c>
      <c r="B721" s="13" t="s">
        <v>1210</v>
      </c>
      <c r="C721" s="14"/>
      <c r="D721" s="14" t="s">
        <v>1211</v>
      </c>
      <c r="E721" s="14"/>
      <c r="F721" s="15" t="s">
        <v>22</v>
      </c>
      <c r="G721" s="14"/>
      <c r="H721" s="58"/>
      <c r="I721" s="14"/>
      <c r="J721" s="14" t="s">
        <v>23</v>
      </c>
      <c r="K721" s="14"/>
      <c r="L721" s="14"/>
      <c r="M721" s="14" t="s">
        <v>689</v>
      </c>
      <c r="N721" s="14" t="s">
        <v>25</v>
      </c>
      <c r="O721" s="14"/>
      <c r="P721" s="14"/>
      <c r="Q721" s="14"/>
      <c r="R721" s="14" t="s">
        <v>654</v>
      </c>
    </row>
    <row r="722" spans="1:18" ht="15" customHeight="1">
      <c r="A722" s="12">
        <v>1045</v>
      </c>
      <c r="B722" s="13" t="s">
        <v>1212</v>
      </c>
      <c r="C722" s="14"/>
      <c r="D722" s="14" t="s">
        <v>1211</v>
      </c>
      <c r="E722" s="14"/>
      <c r="F722" s="15" t="s">
        <v>22</v>
      </c>
      <c r="G722" s="21"/>
      <c r="H722" s="58"/>
      <c r="I722" s="14"/>
      <c r="J722" s="14" t="s">
        <v>23</v>
      </c>
      <c r="K722" s="14"/>
      <c r="L722" s="14"/>
      <c r="M722" s="14" t="s">
        <v>29</v>
      </c>
      <c r="N722" s="14" t="s">
        <v>25</v>
      </c>
      <c r="O722" s="14"/>
      <c r="P722" s="14"/>
      <c r="Q722" s="14"/>
      <c r="R722" s="14" t="s">
        <v>851</v>
      </c>
    </row>
    <row r="723" spans="1:18" ht="15" customHeight="1">
      <c r="A723" s="12">
        <v>1840</v>
      </c>
      <c r="B723" s="13" t="s">
        <v>1213</v>
      </c>
      <c r="C723" s="14"/>
      <c r="D723" s="14" t="s">
        <v>1211</v>
      </c>
      <c r="E723" s="14" t="s">
        <v>172</v>
      </c>
      <c r="F723" s="15" t="s">
        <v>22</v>
      </c>
      <c r="G723" s="14"/>
      <c r="H723" s="58">
        <v>2</v>
      </c>
      <c r="I723" s="14"/>
      <c r="J723" s="14" t="s">
        <v>23</v>
      </c>
      <c r="K723" s="14"/>
      <c r="L723" s="14"/>
      <c r="M723" s="14" t="s">
        <v>32</v>
      </c>
      <c r="N723" s="25" t="s">
        <v>37</v>
      </c>
      <c r="O723" s="14" t="s">
        <v>1214</v>
      </c>
      <c r="P723" s="14"/>
      <c r="Q723" s="14"/>
      <c r="R723" s="14" t="s">
        <v>1113</v>
      </c>
    </row>
    <row r="724" spans="1:18" ht="15" customHeight="1">
      <c r="A724" s="12">
        <v>276</v>
      </c>
      <c r="B724" s="13" t="s">
        <v>1215</v>
      </c>
      <c r="C724" s="14"/>
      <c r="D724" s="14" t="s">
        <v>1216</v>
      </c>
      <c r="E724" s="14" t="s">
        <v>36</v>
      </c>
      <c r="F724" s="15" t="s">
        <v>22</v>
      </c>
      <c r="G724" s="14"/>
      <c r="H724" s="58"/>
      <c r="I724" s="14"/>
      <c r="J724" s="14" t="s">
        <v>23</v>
      </c>
      <c r="K724" s="14"/>
      <c r="L724" s="14"/>
      <c r="M724" s="14" t="s">
        <v>689</v>
      </c>
      <c r="N724" s="25" t="s">
        <v>37</v>
      </c>
      <c r="O724" s="14" t="s">
        <v>189</v>
      </c>
      <c r="P724" s="14"/>
      <c r="Q724" s="14"/>
      <c r="R724" s="14" t="s">
        <v>654</v>
      </c>
    </row>
    <row r="725" spans="1:18" ht="15" customHeight="1">
      <c r="A725" s="12">
        <v>1046</v>
      </c>
      <c r="B725" s="13" t="s">
        <v>1217</v>
      </c>
      <c r="C725" s="14"/>
      <c r="D725" s="14" t="s">
        <v>1216</v>
      </c>
      <c r="E725" s="14" t="s">
        <v>36</v>
      </c>
      <c r="F725" s="15" t="s">
        <v>22</v>
      </c>
      <c r="G725" s="21"/>
      <c r="H725" s="58">
        <v>1</v>
      </c>
      <c r="I725" s="14"/>
      <c r="J725" s="14" t="s">
        <v>23</v>
      </c>
      <c r="K725" s="14"/>
      <c r="L725" s="14"/>
      <c r="M725" s="14" t="s">
        <v>29</v>
      </c>
      <c r="N725" s="25" t="s">
        <v>37</v>
      </c>
      <c r="O725" s="14" t="s">
        <v>1218</v>
      </c>
      <c r="P725" s="14"/>
      <c r="Q725" s="14"/>
      <c r="R725" s="14" t="s">
        <v>851</v>
      </c>
    </row>
    <row r="726" spans="1:18" ht="15" customHeight="1">
      <c r="A726" s="12">
        <v>1841</v>
      </c>
      <c r="B726" s="13" t="s">
        <v>1219</v>
      </c>
      <c r="C726" s="14"/>
      <c r="D726" s="14" t="s">
        <v>1216</v>
      </c>
      <c r="E726" s="14" t="s">
        <v>36</v>
      </c>
      <c r="F726" s="15" t="s">
        <v>22</v>
      </c>
      <c r="G726" s="14"/>
      <c r="H726" s="58">
        <v>1</v>
      </c>
      <c r="I726" s="14"/>
      <c r="J726" s="14" t="s">
        <v>23</v>
      </c>
      <c r="K726" s="14"/>
      <c r="L726" s="14"/>
      <c r="M726" s="14" t="s">
        <v>32</v>
      </c>
      <c r="N726" s="22" t="s">
        <v>25</v>
      </c>
      <c r="O726" s="14"/>
      <c r="P726" s="14"/>
      <c r="Q726" s="14"/>
      <c r="R726" s="14" t="s">
        <v>1113</v>
      </c>
    </row>
    <row r="727" spans="1:18" ht="15" customHeight="1">
      <c r="A727" s="12">
        <v>277</v>
      </c>
      <c r="B727" s="13" t="s">
        <v>1220</v>
      </c>
      <c r="C727" s="14"/>
      <c r="D727" s="14" t="s">
        <v>1221</v>
      </c>
      <c r="E727" s="14" t="s">
        <v>21</v>
      </c>
      <c r="F727" s="15" t="s">
        <v>22</v>
      </c>
      <c r="G727" s="14"/>
      <c r="H727" s="58"/>
      <c r="I727" s="14"/>
      <c r="J727" s="14" t="s">
        <v>23</v>
      </c>
      <c r="K727" s="14"/>
      <c r="L727" s="14"/>
      <c r="M727" s="14" t="s">
        <v>689</v>
      </c>
      <c r="N727" s="14" t="s">
        <v>25</v>
      </c>
      <c r="O727" s="14"/>
      <c r="P727" s="14"/>
      <c r="Q727" s="14"/>
      <c r="R727" s="14" t="s">
        <v>654</v>
      </c>
    </row>
    <row r="728" spans="1:18" ht="15" customHeight="1">
      <c r="A728" s="12">
        <v>1047</v>
      </c>
      <c r="B728" s="13" t="s">
        <v>1222</v>
      </c>
      <c r="C728" s="14"/>
      <c r="D728" s="14" t="s">
        <v>1221</v>
      </c>
      <c r="E728" s="14" t="s">
        <v>21</v>
      </c>
      <c r="F728" s="15" t="s">
        <v>22</v>
      </c>
      <c r="G728" s="21"/>
      <c r="H728" s="58"/>
      <c r="I728" s="14"/>
      <c r="J728" s="14" t="s">
        <v>23</v>
      </c>
      <c r="K728" s="14"/>
      <c r="L728" s="14"/>
      <c r="M728" s="14" t="s">
        <v>29</v>
      </c>
      <c r="N728" s="14" t="s">
        <v>25</v>
      </c>
      <c r="O728" s="14"/>
      <c r="P728" s="14"/>
      <c r="Q728" s="14"/>
      <c r="R728" s="14" t="s">
        <v>851</v>
      </c>
    </row>
    <row r="729" spans="1:18" ht="15" customHeight="1">
      <c r="A729" s="12">
        <v>1842</v>
      </c>
      <c r="B729" s="13" t="s">
        <v>1223</v>
      </c>
      <c r="C729" s="14"/>
      <c r="D729" s="14" t="s">
        <v>1221</v>
      </c>
      <c r="E729" s="14" t="s">
        <v>21</v>
      </c>
      <c r="F729" s="15" t="s">
        <v>22</v>
      </c>
      <c r="G729" s="14"/>
      <c r="H729" s="58">
        <v>0</v>
      </c>
      <c r="I729" s="14"/>
      <c r="J729" s="14" t="s">
        <v>23</v>
      </c>
      <c r="K729" s="14"/>
      <c r="L729" s="14"/>
      <c r="M729" s="14" t="s">
        <v>32</v>
      </c>
      <c r="N729" s="22" t="s">
        <v>25</v>
      </c>
      <c r="O729" s="14"/>
      <c r="P729" s="14"/>
      <c r="Q729" s="14"/>
      <c r="R729" s="14" t="s">
        <v>1113</v>
      </c>
    </row>
    <row r="730" spans="1:18" ht="15" customHeight="1">
      <c r="A730" s="12">
        <v>278</v>
      </c>
      <c r="B730" s="13" t="s">
        <v>1224</v>
      </c>
      <c r="C730" s="14"/>
      <c r="D730" s="14" t="s">
        <v>1225</v>
      </c>
      <c r="E730" s="14" t="s">
        <v>21</v>
      </c>
      <c r="F730" s="15" t="s">
        <v>22</v>
      </c>
      <c r="G730" s="14"/>
      <c r="H730" s="58"/>
      <c r="I730" s="14"/>
      <c r="J730" s="14" t="s">
        <v>23</v>
      </c>
      <c r="K730" s="14"/>
      <c r="L730" s="14"/>
      <c r="M730" s="14" t="s">
        <v>689</v>
      </c>
      <c r="N730" s="14" t="s">
        <v>25</v>
      </c>
      <c r="O730" s="14"/>
      <c r="P730" s="14"/>
      <c r="Q730" s="14"/>
      <c r="R730" s="14" t="s">
        <v>654</v>
      </c>
    </row>
    <row r="731" spans="1:18" ht="15" customHeight="1">
      <c r="A731" s="12">
        <v>1048</v>
      </c>
      <c r="B731" s="13" t="s">
        <v>1226</v>
      </c>
      <c r="C731" s="14"/>
      <c r="D731" s="14" t="s">
        <v>1225</v>
      </c>
      <c r="E731" s="14" t="s">
        <v>21</v>
      </c>
      <c r="F731" s="15" t="s">
        <v>22</v>
      </c>
      <c r="G731" s="21"/>
      <c r="H731" s="58"/>
      <c r="I731" s="14"/>
      <c r="J731" s="14" t="s">
        <v>23</v>
      </c>
      <c r="K731" s="14"/>
      <c r="L731" s="14"/>
      <c r="M731" s="14" t="s">
        <v>29</v>
      </c>
      <c r="N731" s="14" t="s">
        <v>25</v>
      </c>
      <c r="O731" s="14"/>
      <c r="P731" s="14"/>
      <c r="Q731" s="14"/>
      <c r="R731" s="14" t="s">
        <v>851</v>
      </c>
    </row>
    <row r="732" spans="1:18" ht="15" customHeight="1">
      <c r="A732" s="12">
        <v>1843</v>
      </c>
      <c r="B732" s="13" t="s">
        <v>1227</v>
      </c>
      <c r="C732" s="14"/>
      <c r="D732" s="14" t="s">
        <v>1225</v>
      </c>
      <c r="E732" s="14" t="s">
        <v>21</v>
      </c>
      <c r="F732" s="15" t="s">
        <v>22</v>
      </c>
      <c r="G732" s="14"/>
      <c r="H732" s="58">
        <v>1</v>
      </c>
      <c r="I732" s="14"/>
      <c r="J732" s="14" t="s">
        <v>23</v>
      </c>
      <c r="K732" s="14"/>
      <c r="L732" s="14"/>
      <c r="M732" s="14" t="s">
        <v>32</v>
      </c>
      <c r="N732" s="22" t="s">
        <v>25</v>
      </c>
      <c r="O732" s="14"/>
      <c r="P732" s="14"/>
      <c r="Q732" s="14"/>
      <c r="R732" s="14" t="s">
        <v>1113</v>
      </c>
    </row>
    <row r="733" spans="1:18" ht="15" customHeight="1">
      <c r="A733" s="12">
        <v>279</v>
      </c>
      <c r="B733" s="13" t="s">
        <v>1228</v>
      </c>
      <c r="C733" s="14"/>
      <c r="D733" s="14" t="s">
        <v>1229</v>
      </c>
      <c r="E733" s="14" t="s">
        <v>21</v>
      </c>
      <c r="F733" s="15" t="s">
        <v>22</v>
      </c>
      <c r="G733" s="14"/>
      <c r="H733" s="58"/>
      <c r="I733" s="14"/>
      <c r="J733" s="14" t="s">
        <v>23</v>
      </c>
      <c r="K733" s="14"/>
      <c r="L733" s="14"/>
      <c r="M733" s="14" t="s">
        <v>689</v>
      </c>
      <c r="N733" s="14" t="s">
        <v>25</v>
      </c>
      <c r="O733" s="14"/>
      <c r="P733" s="14"/>
      <c r="Q733" s="14"/>
      <c r="R733" s="14" t="s">
        <v>654</v>
      </c>
    </row>
    <row r="734" spans="1:18" ht="15" customHeight="1">
      <c r="A734" s="12">
        <v>1049</v>
      </c>
      <c r="B734" s="13" t="s">
        <v>1230</v>
      </c>
      <c r="C734" s="14"/>
      <c r="D734" s="14" t="s">
        <v>1229</v>
      </c>
      <c r="E734" s="14" t="s">
        <v>21</v>
      </c>
      <c r="F734" s="15" t="s">
        <v>22</v>
      </c>
      <c r="G734" s="21"/>
      <c r="H734" s="58"/>
      <c r="I734" s="14"/>
      <c r="J734" s="14" t="s">
        <v>23</v>
      </c>
      <c r="K734" s="14"/>
      <c r="L734" s="14"/>
      <c r="M734" s="14" t="s">
        <v>29</v>
      </c>
      <c r="N734" s="14" t="s">
        <v>25</v>
      </c>
      <c r="O734" s="14"/>
      <c r="P734" s="14"/>
      <c r="Q734" s="14"/>
      <c r="R734" s="14" t="s">
        <v>851</v>
      </c>
    </row>
    <row r="735" spans="1:18" ht="15" customHeight="1">
      <c r="A735" s="12">
        <v>1844</v>
      </c>
      <c r="B735" s="13" t="s">
        <v>1231</v>
      </c>
      <c r="C735" s="14"/>
      <c r="D735" s="14" t="s">
        <v>1229</v>
      </c>
      <c r="E735" s="14" t="s">
        <v>21</v>
      </c>
      <c r="F735" s="15" t="s">
        <v>22</v>
      </c>
      <c r="G735" s="14"/>
      <c r="H735" s="58">
        <v>0</v>
      </c>
      <c r="I735" s="14"/>
      <c r="J735" s="14" t="s">
        <v>23</v>
      </c>
      <c r="K735" s="14"/>
      <c r="L735" s="14"/>
      <c r="M735" s="14" t="s">
        <v>32</v>
      </c>
      <c r="N735" s="22" t="s">
        <v>25</v>
      </c>
      <c r="O735" s="14"/>
      <c r="P735" s="14"/>
      <c r="Q735" s="14"/>
      <c r="R735" s="14" t="s">
        <v>1113</v>
      </c>
    </row>
    <row r="736" spans="1:18" ht="15" customHeight="1">
      <c r="A736" s="12">
        <v>280</v>
      </c>
      <c r="B736" s="13" t="s">
        <v>1232</v>
      </c>
      <c r="C736" s="14"/>
      <c r="D736" s="14" t="s">
        <v>1233</v>
      </c>
      <c r="E736" s="14" t="s">
        <v>21</v>
      </c>
      <c r="F736" s="15" t="s">
        <v>22</v>
      </c>
      <c r="G736" s="14"/>
      <c r="H736" s="58"/>
      <c r="I736" s="14"/>
      <c r="J736" s="14" t="s">
        <v>23</v>
      </c>
      <c r="K736" s="14"/>
      <c r="L736" s="14"/>
      <c r="M736" s="14" t="s">
        <v>689</v>
      </c>
      <c r="N736" s="14" t="s">
        <v>25</v>
      </c>
      <c r="O736" s="14"/>
      <c r="P736" s="14"/>
      <c r="Q736" s="14"/>
      <c r="R736" s="14" t="s">
        <v>654</v>
      </c>
    </row>
    <row r="737" spans="1:18" ht="15" customHeight="1">
      <c r="A737" s="12">
        <v>1050</v>
      </c>
      <c r="B737" s="13" t="s">
        <v>1234</v>
      </c>
      <c r="C737" s="14"/>
      <c r="D737" s="14" t="s">
        <v>1233</v>
      </c>
      <c r="E737" s="14" t="s">
        <v>21</v>
      </c>
      <c r="F737" s="15" t="s">
        <v>22</v>
      </c>
      <c r="G737" s="21"/>
      <c r="H737" s="58"/>
      <c r="I737" s="14"/>
      <c r="J737" s="14" t="s">
        <v>23</v>
      </c>
      <c r="K737" s="14"/>
      <c r="L737" s="14"/>
      <c r="M737" s="14" t="s">
        <v>29</v>
      </c>
      <c r="N737" s="14" t="s">
        <v>25</v>
      </c>
      <c r="O737" s="14"/>
      <c r="P737" s="14"/>
      <c r="Q737" s="14"/>
      <c r="R737" s="14" t="s">
        <v>851</v>
      </c>
    </row>
    <row r="738" spans="1:18" ht="15" customHeight="1">
      <c r="A738" s="12">
        <v>1845</v>
      </c>
      <c r="B738" s="13" t="s">
        <v>1235</v>
      </c>
      <c r="C738" s="14"/>
      <c r="D738" s="14" t="s">
        <v>1233</v>
      </c>
      <c r="E738" s="14" t="s">
        <v>21</v>
      </c>
      <c r="F738" s="15" t="s">
        <v>22</v>
      </c>
      <c r="G738" s="14"/>
      <c r="H738" s="58">
        <v>0</v>
      </c>
      <c r="I738" s="14"/>
      <c r="J738" s="14" t="s">
        <v>23</v>
      </c>
      <c r="K738" s="14"/>
      <c r="L738" s="14"/>
      <c r="M738" s="14" t="s">
        <v>32</v>
      </c>
      <c r="N738" s="22" t="s">
        <v>25</v>
      </c>
      <c r="O738" s="14"/>
      <c r="P738" s="14"/>
      <c r="Q738" s="14"/>
      <c r="R738" s="14" t="s">
        <v>1113</v>
      </c>
    </row>
    <row r="739" spans="1:18" ht="15" customHeight="1">
      <c r="A739" s="12">
        <v>281</v>
      </c>
      <c r="B739" s="13" t="s">
        <v>1236</v>
      </c>
      <c r="C739" s="14"/>
      <c r="D739" s="14" t="s">
        <v>1237</v>
      </c>
      <c r="E739" s="14" t="s">
        <v>21</v>
      </c>
      <c r="F739" s="15" t="s">
        <v>22</v>
      </c>
      <c r="G739" s="14"/>
      <c r="H739" s="58"/>
      <c r="I739" s="14"/>
      <c r="J739" s="14" t="s">
        <v>23</v>
      </c>
      <c r="K739" s="14"/>
      <c r="L739" s="14"/>
      <c r="M739" s="14" t="s">
        <v>689</v>
      </c>
      <c r="N739" s="14" t="s">
        <v>25</v>
      </c>
      <c r="O739" s="14"/>
      <c r="P739" s="14"/>
      <c r="Q739" s="14"/>
      <c r="R739" s="14" t="s">
        <v>654</v>
      </c>
    </row>
    <row r="740" spans="1:18" ht="15" customHeight="1">
      <c r="A740" s="12">
        <v>1051</v>
      </c>
      <c r="B740" s="13" t="s">
        <v>1238</v>
      </c>
      <c r="C740" s="14"/>
      <c r="D740" s="14" t="s">
        <v>1237</v>
      </c>
      <c r="E740" s="14" t="s">
        <v>21</v>
      </c>
      <c r="F740" s="15" t="s">
        <v>22</v>
      </c>
      <c r="G740" s="21"/>
      <c r="H740" s="58"/>
      <c r="I740" s="14"/>
      <c r="J740" s="14" t="s">
        <v>23</v>
      </c>
      <c r="K740" s="14"/>
      <c r="L740" s="14"/>
      <c r="M740" s="14" t="s">
        <v>29</v>
      </c>
      <c r="N740" s="14" t="s">
        <v>25</v>
      </c>
      <c r="O740" s="14"/>
      <c r="P740" s="14"/>
      <c r="Q740" s="14"/>
      <c r="R740" s="14" t="s">
        <v>851</v>
      </c>
    </row>
    <row r="741" spans="1:18" ht="15" customHeight="1">
      <c r="A741" s="12">
        <v>1846</v>
      </c>
      <c r="B741" s="13" t="s">
        <v>1239</v>
      </c>
      <c r="C741" s="14"/>
      <c r="D741" s="14" t="s">
        <v>1237</v>
      </c>
      <c r="E741" s="14" t="s">
        <v>21</v>
      </c>
      <c r="F741" s="15" t="s">
        <v>22</v>
      </c>
      <c r="G741" s="14"/>
      <c r="H741" s="58">
        <v>0</v>
      </c>
      <c r="I741" s="14"/>
      <c r="J741" s="14" t="s">
        <v>23</v>
      </c>
      <c r="K741" s="14"/>
      <c r="L741" s="14"/>
      <c r="M741" s="14" t="s">
        <v>32</v>
      </c>
      <c r="N741" s="22" t="s">
        <v>25</v>
      </c>
      <c r="O741" s="14"/>
      <c r="P741" s="14"/>
      <c r="Q741" s="14"/>
      <c r="R741" s="14" t="s">
        <v>1113</v>
      </c>
    </row>
    <row r="742" spans="1:18" ht="15" customHeight="1">
      <c r="A742" s="12">
        <v>282</v>
      </c>
      <c r="B742" s="13" t="s">
        <v>1240</v>
      </c>
      <c r="C742" s="14"/>
      <c r="D742" s="14" t="s">
        <v>1241</v>
      </c>
      <c r="E742" s="14" t="s">
        <v>21</v>
      </c>
      <c r="F742" s="15" t="s">
        <v>22</v>
      </c>
      <c r="G742" s="14"/>
      <c r="H742" s="58"/>
      <c r="I742" s="14"/>
      <c r="J742" s="14" t="s">
        <v>23</v>
      </c>
      <c r="K742" s="14"/>
      <c r="L742" s="14"/>
      <c r="M742" s="14" t="s">
        <v>689</v>
      </c>
      <c r="N742" s="14" t="s">
        <v>25</v>
      </c>
      <c r="O742" s="14"/>
      <c r="P742" s="14"/>
      <c r="Q742" s="14"/>
      <c r="R742" s="14" t="s">
        <v>1242</v>
      </c>
    </row>
    <row r="743" spans="1:18" ht="15" customHeight="1">
      <c r="A743" s="12">
        <v>1052</v>
      </c>
      <c r="B743" s="13" t="s">
        <v>1243</v>
      </c>
      <c r="C743" s="14"/>
      <c r="D743" s="14" t="s">
        <v>1241</v>
      </c>
      <c r="E743" s="14" t="s">
        <v>21</v>
      </c>
      <c r="F743" s="15" t="s">
        <v>22</v>
      </c>
      <c r="G743" s="21"/>
      <c r="H743" s="58"/>
      <c r="I743" s="14"/>
      <c r="J743" s="14" t="s">
        <v>23</v>
      </c>
      <c r="K743" s="14"/>
      <c r="L743" s="14"/>
      <c r="M743" s="14" t="s">
        <v>29</v>
      </c>
      <c r="N743" s="14" t="s">
        <v>25</v>
      </c>
      <c r="O743" s="14"/>
      <c r="P743" s="14"/>
      <c r="Q743" s="14"/>
      <c r="R743" s="14" t="s">
        <v>851</v>
      </c>
    </row>
    <row r="744" spans="1:18" ht="15" customHeight="1">
      <c r="A744" s="12">
        <v>1847</v>
      </c>
      <c r="B744" s="13" t="s">
        <v>1244</v>
      </c>
      <c r="C744" s="14"/>
      <c r="D744" s="14" t="s">
        <v>1241</v>
      </c>
      <c r="E744" s="14" t="s">
        <v>21</v>
      </c>
      <c r="F744" s="15" t="s">
        <v>22</v>
      </c>
      <c r="G744" s="14"/>
      <c r="H744" s="58">
        <v>0</v>
      </c>
      <c r="I744" s="14"/>
      <c r="J744" s="14" t="s">
        <v>23</v>
      </c>
      <c r="K744" s="14"/>
      <c r="L744" s="14"/>
      <c r="M744" s="14" t="s">
        <v>32</v>
      </c>
      <c r="N744" s="22" t="s">
        <v>25</v>
      </c>
      <c r="O744" s="14"/>
      <c r="P744" s="14"/>
      <c r="Q744" s="14"/>
      <c r="R744" s="14" t="s">
        <v>1113</v>
      </c>
    </row>
    <row r="745" spans="1:18" ht="15" customHeight="1">
      <c r="A745" s="12">
        <v>283</v>
      </c>
      <c r="B745" s="13" t="s">
        <v>1245</v>
      </c>
      <c r="C745" s="14"/>
      <c r="D745" s="14" t="s">
        <v>1246</v>
      </c>
      <c r="E745" s="14" t="s">
        <v>21</v>
      </c>
      <c r="F745" s="15" t="s">
        <v>22</v>
      </c>
      <c r="G745" s="14"/>
      <c r="H745" s="58"/>
      <c r="I745" s="14"/>
      <c r="J745" s="14" t="s">
        <v>23</v>
      </c>
      <c r="K745" s="14"/>
      <c r="L745" s="14"/>
      <c r="M745" s="14" t="s">
        <v>689</v>
      </c>
      <c r="N745" s="14" t="s">
        <v>25</v>
      </c>
      <c r="O745" s="14"/>
      <c r="P745" s="14"/>
      <c r="Q745" s="14"/>
      <c r="R745" s="14" t="s">
        <v>1242</v>
      </c>
    </row>
    <row r="746" spans="1:18" ht="15" customHeight="1">
      <c r="A746" s="12">
        <v>1053</v>
      </c>
      <c r="B746" s="13" t="s">
        <v>1247</v>
      </c>
      <c r="C746" s="14"/>
      <c r="D746" s="14" t="s">
        <v>1246</v>
      </c>
      <c r="E746" s="14" t="s">
        <v>21</v>
      </c>
      <c r="F746" s="15" t="s">
        <v>22</v>
      </c>
      <c r="G746" s="21"/>
      <c r="H746" s="58"/>
      <c r="I746" s="14"/>
      <c r="J746" s="14" t="s">
        <v>23</v>
      </c>
      <c r="K746" s="14"/>
      <c r="L746" s="14"/>
      <c r="M746" s="14" t="s">
        <v>29</v>
      </c>
      <c r="N746" s="14" t="s">
        <v>25</v>
      </c>
      <c r="O746" s="14"/>
      <c r="P746" s="14"/>
      <c r="Q746" s="14"/>
      <c r="R746" s="14" t="s">
        <v>851</v>
      </c>
    </row>
    <row r="747" spans="1:18" ht="15" customHeight="1">
      <c r="A747" s="12">
        <v>1848</v>
      </c>
      <c r="B747" s="13" t="s">
        <v>1248</v>
      </c>
      <c r="C747" s="14"/>
      <c r="D747" s="14" t="s">
        <v>1246</v>
      </c>
      <c r="E747" s="14" t="s">
        <v>21</v>
      </c>
      <c r="F747" s="15" t="s">
        <v>22</v>
      </c>
      <c r="G747" s="14"/>
      <c r="H747" s="58">
        <v>0</v>
      </c>
      <c r="I747" s="14"/>
      <c r="J747" s="14" t="s">
        <v>23</v>
      </c>
      <c r="K747" s="14"/>
      <c r="L747" s="14"/>
      <c r="M747" s="14" t="s">
        <v>32</v>
      </c>
      <c r="N747" s="22" t="s">
        <v>25</v>
      </c>
      <c r="O747" s="14"/>
      <c r="P747" s="14"/>
      <c r="Q747" s="14"/>
      <c r="R747" s="14" t="s">
        <v>1113</v>
      </c>
    </row>
    <row r="748" spans="1:18" ht="15" customHeight="1">
      <c r="A748" s="12">
        <v>284</v>
      </c>
      <c r="B748" s="13" t="s">
        <v>1249</v>
      </c>
      <c r="C748" s="14"/>
      <c r="D748" s="14" t="s">
        <v>1250</v>
      </c>
      <c r="E748" s="14" t="s">
        <v>21</v>
      </c>
      <c r="F748" s="15" t="s">
        <v>22</v>
      </c>
      <c r="G748" s="14"/>
      <c r="H748" s="58"/>
      <c r="I748" s="14"/>
      <c r="J748" s="14" t="s">
        <v>23</v>
      </c>
      <c r="K748" s="14"/>
      <c r="L748" s="14"/>
      <c r="M748" s="14" t="s">
        <v>689</v>
      </c>
      <c r="N748" s="14" t="s">
        <v>25</v>
      </c>
      <c r="O748" s="14"/>
      <c r="P748" s="14"/>
      <c r="Q748" s="14"/>
      <c r="R748" s="14" t="s">
        <v>1242</v>
      </c>
    </row>
    <row r="749" spans="1:18" ht="15" customHeight="1">
      <c r="A749" s="12">
        <v>1054</v>
      </c>
      <c r="B749" s="13" t="s">
        <v>1251</v>
      </c>
      <c r="C749" s="14"/>
      <c r="D749" s="14" t="s">
        <v>1250</v>
      </c>
      <c r="E749" s="14" t="s">
        <v>21</v>
      </c>
      <c r="F749" s="15" t="s">
        <v>22</v>
      </c>
      <c r="G749" s="21"/>
      <c r="H749" s="58"/>
      <c r="I749" s="14"/>
      <c r="J749" s="14" t="s">
        <v>23</v>
      </c>
      <c r="K749" s="14"/>
      <c r="L749" s="14"/>
      <c r="M749" s="14" t="s">
        <v>29</v>
      </c>
      <c r="N749" s="14" t="s">
        <v>25</v>
      </c>
      <c r="O749" s="14"/>
      <c r="P749" s="14"/>
      <c r="Q749" s="14"/>
      <c r="R749" s="14" t="s">
        <v>851</v>
      </c>
    </row>
    <row r="750" spans="1:18" ht="15" customHeight="1">
      <c r="A750" s="12">
        <v>1849</v>
      </c>
      <c r="B750" s="13" t="s">
        <v>1252</v>
      </c>
      <c r="C750" s="14"/>
      <c r="D750" s="14" t="s">
        <v>1250</v>
      </c>
      <c r="E750" s="14" t="s">
        <v>21</v>
      </c>
      <c r="F750" s="15" t="s">
        <v>22</v>
      </c>
      <c r="G750" s="14"/>
      <c r="H750" s="58">
        <v>0</v>
      </c>
      <c r="I750" s="14"/>
      <c r="J750" s="14" t="s">
        <v>23</v>
      </c>
      <c r="K750" s="14"/>
      <c r="L750" s="14"/>
      <c r="M750" s="14" t="s">
        <v>32</v>
      </c>
      <c r="N750" s="22" t="s">
        <v>25</v>
      </c>
      <c r="O750" s="14"/>
      <c r="P750" s="14"/>
      <c r="Q750" s="14"/>
      <c r="R750" s="14" t="s">
        <v>1113</v>
      </c>
    </row>
    <row r="751" spans="1:18" ht="15" customHeight="1">
      <c r="A751" s="12">
        <v>285</v>
      </c>
      <c r="B751" s="13" t="s">
        <v>1253</v>
      </c>
      <c r="C751" s="14"/>
      <c r="D751" s="14" t="s">
        <v>1254</v>
      </c>
      <c r="E751" s="14" t="s">
        <v>44</v>
      </c>
      <c r="F751" s="15" t="s">
        <v>22</v>
      </c>
      <c r="G751" s="14"/>
      <c r="H751" s="58"/>
      <c r="I751" s="14"/>
      <c r="J751" s="14" t="s">
        <v>23</v>
      </c>
      <c r="K751" s="14"/>
      <c r="L751" s="14"/>
      <c r="M751" s="14" t="s">
        <v>689</v>
      </c>
      <c r="N751" s="14" t="s">
        <v>25</v>
      </c>
      <c r="O751" s="14"/>
      <c r="P751" s="14"/>
      <c r="Q751" s="14"/>
      <c r="R751" s="14" t="s">
        <v>1242</v>
      </c>
    </row>
    <row r="752" spans="1:18" ht="15" customHeight="1">
      <c r="A752" s="12">
        <v>1055</v>
      </c>
      <c r="B752" s="13" t="s">
        <v>1255</v>
      </c>
      <c r="C752" s="14"/>
      <c r="D752" s="14" t="s">
        <v>1254</v>
      </c>
      <c r="E752" s="14" t="s">
        <v>44</v>
      </c>
      <c r="F752" s="15" t="s">
        <v>22</v>
      </c>
      <c r="G752" s="21"/>
      <c r="H752" s="58"/>
      <c r="I752" s="14"/>
      <c r="J752" s="14" t="s">
        <v>23</v>
      </c>
      <c r="K752" s="14"/>
      <c r="L752" s="14"/>
      <c r="M752" s="14" t="s">
        <v>29</v>
      </c>
      <c r="N752" s="25" t="s">
        <v>37</v>
      </c>
      <c r="O752" s="14" t="s">
        <v>1256</v>
      </c>
      <c r="P752" s="14"/>
      <c r="Q752" s="14"/>
      <c r="R752" s="14" t="s">
        <v>851</v>
      </c>
    </row>
    <row r="753" spans="1:18" ht="15" customHeight="1">
      <c r="A753" s="12">
        <v>1850</v>
      </c>
      <c r="B753" s="13" t="s">
        <v>1257</v>
      </c>
      <c r="C753" s="14"/>
      <c r="D753" s="14" t="s">
        <v>1254</v>
      </c>
      <c r="E753" s="14" t="s">
        <v>44</v>
      </c>
      <c r="F753" s="15" t="s">
        <v>22</v>
      </c>
      <c r="G753" s="14"/>
      <c r="H753" s="58">
        <v>2</v>
      </c>
      <c r="I753" s="14"/>
      <c r="J753" s="14" t="s">
        <v>23</v>
      </c>
      <c r="K753" s="14"/>
      <c r="L753" s="14"/>
      <c r="M753" s="14" t="s">
        <v>32</v>
      </c>
      <c r="N753" s="22" t="s">
        <v>25</v>
      </c>
      <c r="O753" s="14"/>
      <c r="P753" s="14"/>
      <c r="Q753" s="14"/>
      <c r="R753" s="14" t="s">
        <v>1113</v>
      </c>
    </row>
    <row r="754" spans="1:18" ht="15" customHeight="1">
      <c r="A754" s="12">
        <v>286</v>
      </c>
      <c r="B754" s="13" t="s">
        <v>1258</v>
      </c>
      <c r="C754" s="14"/>
      <c r="D754" s="14" t="s">
        <v>1259</v>
      </c>
      <c r="E754" s="14" t="s">
        <v>21</v>
      </c>
      <c r="F754" s="15" t="s">
        <v>22</v>
      </c>
      <c r="G754" s="14"/>
      <c r="H754" s="58"/>
      <c r="I754" s="14"/>
      <c r="J754" s="14" t="s">
        <v>23</v>
      </c>
      <c r="K754" s="14"/>
      <c r="L754" s="14"/>
      <c r="M754" s="14" t="s">
        <v>689</v>
      </c>
      <c r="N754" s="14" t="s">
        <v>25</v>
      </c>
      <c r="O754" s="14"/>
      <c r="P754" s="14"/>
      <c r="Q754" s="14"/>
      <c r="R754" s="14" t="s">
        <v>1242</v>
      </c>
    </row>
    <row r="755" spans="1:18" ht="15" customHeight="1">
      <c r="A755" s="12">
        <v>1056</v>
      </c>
      <c r="B755" s="13" t="s">
        <v>1260</v>
      </c>
      <c r="C755" s="14"/>
      <c r="D755" s="14" t="s">
        <v>1259</v>
      </c>
      <c r="E755" s="14" t="s">
        <v>21</v>
      </c>
      <c r="F755" s="15" t="s">
        <v>22</v>
      </c>
      <c r="G755" s="21"/>
      <c r="H755" s="58"/>
      <c r="I755" s="14"/>
      <c r="J755" s="14" t="s">
        <v>23</v>
      </c>
      <c r="K755" s="14"/>
      <c r="L755" s="14"/>
      <c r="M755" s="14" t="s">
        <v>29</v>
      </c>
      <c r="N755" s="14" t="s">
        <v>25</v>
      </c>
      <c r="O755" s="14"/>
      <c r="P755" s="14"/>
      <c r="Q755" s="14"/>
      <c r="R755" s="14" t="s">
        <v>851</v>
      </c>
    </row>
    <row r="756" spans="1:18" ht="15" customHeight="1">
      <c r="A756" s="12">
        <v>1851</v>
      </c>
      <c r="B756" s="13" t="s">
        <v>1261</v>
      </c>
      <c r="C756" s="14"/>
      <c r="D756" s="14" t="s">
        <v>1259</v>
      </c>
      <c r="E756" s="14" t="s">
        <v>21</v>
      </c>
      <c r="F756" s="15" t="s">
        <v>22</v>
      </c>
      <c r="G756" s="14"/>
      <c r="H756" s="58">
        <v>0</v>
      </c>
      <c r="I756" s="14"/>
      <c r="J756" s="14" t="s">
        <v>23</v>
      </c>
      <c r="K756" s="14"/>
      <c r="L756" s="14"/>
      <c r="M756" s="14" t="s">
        <v>32</v>
      </c>
      <c r="N756" s="22" t="s">
        <v>25</v>
      </c>
      <c r="O756" s="14"/>
      <c r="P756" s="14"/>
      <c r="Q756" s="14"/>
      <c r="R756" s="14" t="s">
        <v>1113</v>
      </c>
    </row>
    <row r="757" spans="1:18" ht="15" customHeight="1">
      <c r="A757" s="12">
        <v>287</v>
      </c>
      <c r="B757" s="13" t="s">
        <v>1262</v>
      </c>
      <c r="C757" s="14"/>
      <c r="D757" s="14" t="s">
        <v>1263</v>
      </c>
      <c r="E757" s="14" t="s">
        <v>44</v>
      </c>
      <c r="F757" s="15" t="s">
        <v>22</v>
      </c>
      <c r="G757" s="14"/>
      <c r="H757" s="58"/>
      <c r="I757" s="14"/>
      <c r="J757" s="14" t="s">
        <v>23</v>
      </c>
      <c r="K757" s="14"/>
      <c r="L757" s="14"/>
      <c r="M757" s="14" t="s">
        <v>689</v>
      </c>
      <c r="N757" s="14" t="s">
        <v>25</v>
      </c>
      <c r="O757" s="14"/>
      <c r="P757" s="14"/>
      <c r="Q757" s="14"/>
      <c r="R757" s="14" t="s">
        <v>1242</v>
      </c>
    </row>
    <row r="758" spans="1:18" ht="15" customHeight="1">
      <c r="A758" s="12">
        <v>1057</v>
      </c>
      <c r="B758" s="13" t="s">
        <v>1264</v>
      </c>
      <c r="C758" s="14"/>
      <c r="D758" s="14" t="s">
        <v>1263</v>
      </c>
      <c r="E758" s="14" t="s">
        <v>44</v>
      </c>
      <c r="F758" s="15" t="s">
        <v>22</v>
      </c>
      <c r="G758" s="21"/>
      <c r="H758" s="58">
        <v>1</v>
      </c>
      <c r="I758" s="14"/>
      <c r="J758" s="14" t="s">
        <v>23</v>
      </c>
      <c r="K758" s="14"/>
      <c r="L758" s="14"/>
      <c r="M758" s="14" t="s">
        <v>29</v>
      </c>
      <c r="N758" s="14" t="s">
        <v>25</v>
      </c>
      <c r="O758" s="14"/>
      <c r="P758" s="14"/>
      <c r="Q758" s="14"/>
      <c r="R758" s="14" t="s">
        <v>851</v>
      </c>
    </row>
    <row r="759" spans="1:18" ht="15" customHeight="1">
      <c r="A759" s="12">
        <v>1852</v>
      </c>
      <c r="B759" s="13" t="s">
        <v>1265</v>
      </c>
      <c r="C759" s="14"/>
      <c r="D759" s="14" t="s">
        <v>1263</v>
      </c>
      <c r="E759" s="14" t="s">
        <v>44</v>
      </c>
      <c r="F759" s="15" t="s">
        <v>22</v>
      </c>
      <c r="G759" s="14"/>
      <c r="H759" s="58">
        <v>0</v>
      </c>
      <c r="I759" s="14"/>
      <c r="J759" s="14" t="s">
        <v>23</v>
      </c>
      <c r="K759" s="14"/>
      <c r="L759" s="14"/>
      <c r="M759" s="14" t="s">
        <v>32</v>
      </c>
      <c r="N759" s="22" t="s">
        <v>25</v>
      </c>
      <c r="O759" s="14"/>
      <c r="P759" s="14"/>
      <c r="Q759" s="14"/>
      <c r="R759" s="14" t="s">
        <v>1113</v>
      </c>
    </row>
    <row r="760" spans="1:18" ht="15" customHeight="1">
      <c r="A760" s="12">
        <v>288</v>
      </c>
      <c r="B760" s="13" t="s">
        <v>1266</v>
      </c>
      <c r="C760" s="14"/>
      <c r="D760" s="14" t="s">
        <v>1267</v>
      </c>
      <c r="E760" s="14" t="s">
        <v>44</v>
      </c>
      <c r="F760" s="15" t="s">
        <v>22</v>
      </c>
      <c r="G760" s="14"/>
      <c r="H760" s="58"/>
      <c r="I760" s="14"/>
      <c r="J760" s="14" t="s">
        <v>23</v>
      </c>
      <c r="K760" s="14"/>
      <c r="L760" s="14"/>
      <c r="M760" s="14" t="s">
        <v>689</v>
      </c>
      <c r="N760" s="25" t="s">
        <v>37</v>
      </c>
      <c r="O760" s="14" t="s">
        <v>179</v>
      </c>
      <c r="P760" s="14"/>
      <c r="Q760" s="14"/>
      <c r="R760" s="14" t="s">
        <v>1242</v>
      </c>
    </row>
    <row r="761" spans="1:18" ht="15" customHeight="1">
      <c r="A761" s="12">
        <v>1058</v>
      </c>
      <c r="B761" s="13" t="s">
        <v>1268</v>
      </c>
      <c r="C761" s="14"/>
      <c r="D761" s="14" t="s">
        <v>1267</v>
      </c>
      <c r="E761" s="14" t="s">
        <v>44</v>
      </c>
      <c r="F761" s="15" t="s">
        <v>22</v>
      </c>
      <c r="G761" s="21"/>
      <c r="H761" s="58"/>
      <c r="I761" s="14"/>
      <c r="J761" s="14" t="s">
        <v>23</v>
      </c>
      <c r="K761" s="14"/>
      <c r="L761" s="14"/>
      <c r="M761" s="14" t="s">
        <v>29</v>
      </c>
      <c r="N761" s="25" t="s">
        <v>37</v>
      </c>
      <c r="O761" s="14" t="s">
        <v>1269</v>
      </c>
      <c r="P761" s="14"/>
      <c r="Q761" s="14"/>
      <c r="R761" s="14" t="s">
        <v>851</v>
      </c>
    </row>
    <row r="762" spans="1:18" ht="15" customHeight="1">
      <c r="A762" s="12">
        <v>1853</v>
      </c>
      <c r="B762" s="13" t="s">
        <v>1270</v>
      </c>
      <c r="C762" s="14"/>
      <c r="D762" s="14" t="s">
        <v>1267</v>
      </c>
      <c r="E762" s="14" t="s">
        <v>44</v>
      </c>
      <c r="F762" s="15" t="s">
        <v>22</v>
      </c>
      <c r="G762" s="14"/>
      <c r="H762" s="58">
        <v>3</v>
      </c>
      <c r="I762" s="14"/>
      <c r="J762" s="14" t="s">
        <v>23</v>
      </c>
      <c r="K762" s="14"/>
      <c r="L762" s="14"/>
      <c r="M762" s="14" t="s">
        <v>32</v>
      </c>
      <c r="N762" s="25" t="s">
        <v>37</v>
      </c>
      <c r="O762" s="14" t="s">
        <v>1271</v>
      </c>
      <c r="P762" s="14"/>
      <c r="Q762" s="14"/>
      <c r="R762" s="14" t="s">
        <v>1113</v>
      </c>
    </row>
    <row r="763" spans="1:18" ht="15" customHeight="1">
      <c r="A763" s="12">
        <v>289</v>
      </c>
      <c r="B763" s="13" t="s">
        <v>1272</v>
      </c>
      <c r="C763" s="14"/>
      <c r="D763" s="14" t="s">
        <v>1273</v>
      </c>
      <c r="E763" s="14" t="s">
        <v>172</v>
      </c>
      <c r="F763" s="15" t="s">
        <v>22</v>
      </c>
      <c r="G763" s="14"/>
      <c r="H763" s="58"/>
      <c r="I763" s="14"/>
      <c r="J763" s="14" t="s">
        <v>23</v>
      </c>
      <c r="K763" s="14"/>
      <c r="L763" s="14"/>
      <c r="M763" s="14" t="s">
        <v>689</v>
      </c>
      <c r="N763" s="14" t="s">
        <v>25</v>
      </c>
      <c r="O763" s="14"/>
      <c r="P763" s="14"/>
      <c r="Q763" s="14"/>
      <c r="R763" s="14" t="s">
        <v>1242</v>
      </c>
    </row>
    <row r="764" spans="1:18" ht="15" customHeight="1">
      <c r="A764" s="12">
        <v>1059</v>
      </c>
      <c r="B764" s="13" t="s">
        <v>1274</v>
      </c>
      <c r="C764" s="14"/>
      <c r="D764" s="14" t="s">
        <v>1273</v>
      </c>
      <c r="E764" s="14" t="s">
        <v>172</v>
      </c>
      <c r="F764" s="15" t="s">
        <v>22</v>
      </c>
      <c r="G764" s="21"/>
      <c r="H764" s="58"/>
      <c r="I764" s="14"/>
      <c r="J764" s="14" t="s">
        <v>23</v>
      </c>
      <c r="K764" s="14"/>
      <c r="L764" s="14"/>
      <c r="M764" s="14" t="s">
        <v>29</v>
      </c>
      <c r="N764" s="14" t="s">
        <v>25</v>
      </c>
      <c r="O764" s="14"/>
      <c r="P764" s="14"/>
      <c r="Q764" s="14"/>
      <c r="R764" s="14" t="s">
        <v>851</v>
      </c>
    </row>
    <row r="765" spans="1:18" ht="15" customHeight="1">
      <c r="A765" s="12">
        <v>1854</v>
      </c>
      <c r="B765" s="13" t="s">
        <v>1275</v>
      </c>
      <c r="C765" s="14"/>
      <c r="D765" s="14" t="s">
        <v>1273</v>
      </c>
      <c r="E765" s="14" t="s">
        <v>172</v>
      </c>
      <c r="F765" s="15" t="s">
        <v>22</v>
      </c>
      <c r="G765" s="14"/>
      <c r="H765" s="58">
        <v>0</v>
      </c>
      <c r="I765" s="14"/>
      <c r="J765" s="14" t="s">
        <v>23</v>
      </c>
      <c r="K765" s="14"/>
      <c r="L765" s="14"/>
      <c r="M765" s="14" t="s">
        <v>32</v>
      </c>
      <c r="N765" s="22" t="s">
        <v>25</v>
      </c>
      <c r="O765" s="14"/>
      <c r="P765" s="14"/>
      <c r="Q765" s="14"/>
      <c r="R765" s="14" t="s">
        <v>1113</v>
      </c>
    </row>
    <row r="766" spans="1:18" ht="15" customHeight="1">
      <c r="A766" s="12">
        <v>290</v>
      </c>
      <c r="B766" s="13" t="s">
        <v>1276</v>
      </c>
      <c r="C766" s="14"/>
      <c r="D766" s="14" t="s">
        <v>1277</v>
      </c>
      <c r="E766" s="14" t="s">
        <v>1278</v>
      </c>
      <c r="F766" s="15" t="s">
        <v>22</v>
      </c>
      <c r="G766" s="14"/>
      <c r="H766" s="58"/>
      <c r="I766" s="14"/>
      <c r="J766" s="14" t="s">
        <v>23</v>
      </c>
      <c r="K766" s="14"/>
      <c r="L766" s="14"/>
      <c r="M766" s="14" t="s">
        <v>689</v>
      </c>
      <c r="N766" s="14" t="s">
        <v>25</v>
      </c>
      <c r="O766" s="14"/>
      <c r="P766" s="14"/>
      <c r="Q766" s="14"/>
      <c r="R766" s="14" t="s">
        <v>1242</v>
      </c>
    </row>
    <row r="767" spans="1:18" ht="15" customHeight="1">
      <c r="A767" s="12">
        <v>1060</v>
      </c>
      <c r="B767" s="13" t="s">
        <v>1279</v>
      </c>
      <c r="C767" s="14"/>
      <c r="D767" s="14" t="s">
        <v>1277</v>
      </c>
      <c r="E767" s="14" t="s">
        <v>172</v>
      </c>
      <c r="F767" s="15" t="s">
        <v>22</v>
      </c>
      <c r="G767" s="21"/>
      <c r="H767" s="58"/>
      <c r="I767" s="14"/>
      <c r="J767" s="14" t="s">
        <v>23</v>
      </c>
      <c r="K767" s="14"/>
      <c r="L767" s="14"/>
      <c r="M767" s="14" t="s">
        <v>29</v>
      </c>
      <c r="N767" s="14" t="s">
        <v>25</v>
      </c>
      <c r="O767" s="14"/>
      <c r="P767" s="14"/>
      <c r="Q767" s="14"/>
      <c r="R767" s="14" t="s">
        <v>851</v>
      </c>
    </row>
    <row r="768" spans="1:18" ht="15" customHeight="1">
      <c r="A768" s="12">
        <v>1855</v>
      </c>
      <c r="B768" s="13" t="s">
        <v>1280</v>
      </c>
      <c r="C768" s="14"/>
      <c r="D768" s="14" t="s">
        <v>1277</v>
      </c>
      <c r="E768" s="14" t="s">
        <v>172</v>
      </c>
      <c r="F768" s="15" t="s">
        <v>22</v>
      </c>
      <c r="G768" s="14"/>
      <c r="H768" s="58">
        <v>1</v>
      </c>
      <c r="I768" s="14"/>
      <c r="J768" s="14" t="s">
        <v>23</v>
      </c>
      <c r="K768" s="14"/>
      <c r="L768" s="14"/>
      <c r="M768" s="14" t="s">
        <v>32</v>
      </c>
      <c r="N768" s="22" t="s">
        <v>25</v>
      </c>
      <c r="O768" s="14"/>
      <c r="P768" s="14"/>
      <c r="Q768" s="14"/>
      <c r="R768" s="14" t="s">
        <v>1113</v>
      </c>
    </row>
    <row r="769" spans="1:18" ht="15" customHeight="1">
      <c r="A769" s="12">
        <v>291</v>
      </c>
      <c r="B769" s="13" t="s">
        <v>1281</v>
      </c>
      <c r="C769" s="14"/>
      <c r="D769" s="14" t="s">
        <v>1282</v>
      </c>
      <c r="E769" s="14" t="s">
        <v>36</v>
      </c>
      <c r="F769" s="15" t="s">
        <v>22</v>
      </c>
      <c r="G769" s="14"/>
      <c r="H769" s="58"/>
      <c r="I769" s="14"/>
      <c r="J769" s="14" t="s">
        <v>23</v>
      </c>
      <c r="K769" s="14"/>
      <c r="L769" s="14"/>
      <c r="M769" s="14" t="s">
        <v>689</v>
      </c>
      <c r="N769" s="14" t="s">
        <v>25</v>
      </c>
      <c r="O769" s="14"/>
      <c r="P769" s="14"/>
      <c r="Q769" s="14"/>
      <c r="R769" s="14" t="s">
        <v>1242</v>
      </c>
    </row>
    <row r="770" spans="1:18" ht="15" customHeight="1">
      <c r="A770" s="12">
        <v>1061</v>
      </c>
      <c r="B770" s="13" t="s">
        <v>1283</v>
      </c>
      <c r="C770" s="14"/>
      <c r="D770" s="14" t="s">
        <v>1282</v>
      </c>
      <c r="E770" s="14" t="s">
        <v>36</v>
      </c>
      <c r="F770" s="15" t="s">
        <v>22</v>
      </c>
      <c r="G770" s="21"/>
      <c r="H770" s="58"/>
      <c r="I770" s="14"/>
      <c r="J770" s="14" t="s">
        <v>23</v>
      </c>
      <c r="K770" s="14"/>
      <c r="L770" s="14"/>
      <c r="M770" s="14" t="s">
        <v>29</v>
      </c>
      <c r="N770" s="25" t="s">
        <v>37</v>
      </c>
      <c r="O770" s="14" t="s">
        <v>1284</v>
      </c>
      <c r="P770" s="14"/>
      <c r="Q770" s="14"/>
      <c r="R770" s="14" t="s">
        <v>851</v>
      </c>
    </row>
    <row r="771" spans="1:18" ht="15" customHeight="1">
      <c r="A771" s="12">
        <v>1856</v>
      </c>
      <c r="B771" s="13" t="s">
        <v>1285</v>
      </c>
      <c r="C771" s="14"/>
      <c r="D771" s="14" t="s">
        <v>1282</v>
      </c>
      <c r="E771" s="14" t="s">
        <v>36</v>
      </c>
      <c r="F771" s="15" t="s">
        <v>22</v>
      </c>
      <c r="G771" s="14"/>
      <c r="H771" s="58">
        <v>1</v>
      </c>
      <c r="I771" s="14"/>
      <c r="J771" s="14" t="s">
        <v>23</v>
      </c>
      <c r="K771" s="14"/>
      <c r="L771" s="14"/>
      <c r="M771" s="14" t="s">
        <v>32</v>
      </c>
      <c r="N771" s="25" t="s">
        <v>37</v>
      </c>
      <c r="O771" s="14" t="s">
        <v>1286</v>
      </c>
      <c r="P771" s="14"/>
      <c r="Q771" s="14"/>
      <c r="R771" s="14" t="s">
        <v>1113</v>
      </c>
    </row>
    <row r="772" spans="1:18" ht="15" customHeight="1">
      <c r="A772" s="12">
        <v>292</v>
      </c>
      <c r="B772" s="13" t="s">
        <v>1287</v>
      </c>
      <c r="C772" s="14"/>
      <c r="D772" s="14" t="s">
        <v>1288</v>
      </c>
      <c r="E772" s="14" t="s">
        <v>36</v>
      </c>
      <c r="F772" s="15" t="s">
        <v>22</v>
      </c>
      <c r="G772" s="14"/>
      <c r="H772" s="58"/>
      <c r="I772" s="14"/>
      <c r="J772" s="14" t="s">
        <v>23</v>
      </c>
      <c r="K772" s="14"/>
      <c r="L772" s="14"/>
      <c r="M772" s="14" t="s">
        <v>689</v>
      </c>
      <c r="N772" s="25" t="s">
        <v>37</v>
      </c>
      <c r="O772" s="14" t="s">
        <v>179</v>
      </c>
      <c r="P772" s="14"/>
      <c r="Q772" s="14"/>
      <c r="R772" s="14" t="s">
        <v>1242</v>
      </c>
    </row>
    <row r="773" spans="1:18" ht="15" customHeight="1">
      <c r="A773" s="12">
        <v>1062</v>
      </c>
      <c r="B773" s="13" t="s">
        <v>1289</v>
      </c>
      <c r="C773" s="14"/>
      <c r="D773" s="14" t="s">
        <v>1288</v>
      </c>
      <c r="E773" s="14" t="s">
        <v>36</v>
      </c>
      <c r="F773" s="15" t="s">
        <v>22</v>
      </c>
      <c r="G773" s="21"/>
      <c r="H773" s="58">
        <v>1</v>
      </c>
      <c r="I773" s="14"/>
      <c r="J773" s="14" t="s">
        <v>23</v>
      </c>
      <c r="K773" s="14"/>
      <c r="L773" s="14"/>
      <c r="M773" s="14" t="s">
        <v>29</v>
      </c>
      <c r="N773" s="25" t="s">
        <v>37</v>
      </c>
      <c r="O773" s="14" t="s">
        <v>1290</v>
      </c>
      <c r="P773" s="14"/>
      <c r="Q773" s="14"/>
      <c r="R773" s="14" t="s">
        <v>851</v>
      </c>
    </row>
    <row r="774" spans="1:18" ht="15" customHeight="1">
      <c r="A774" s="12">
        <v>1857</v>
      </c>
      <c r="B774" s="13" t="s">
        <v>1291</v>
      </c>
      <c r="C774" s="14"/>
      <c r="D774" s="14" t="s">
        <v>1288</v>
      </c>
      <c r="E774" s="14" t="s">
        <v>36</v>
      </c>
      <c r="F774" s="15" t="s">
        <v>22</v>
      </c>
      <c r="G774" s="14"/>
      <c r="H774" s="58">
        <v>3</v>
      </c>
      <c r="I774" s="14"/>
      <c r="J774" s="14" t="s">
        <v>23</v>
      </c>
      <c r="K774" s="14"/>
      <c r="L774" s="14"/>
      <c r="M774" s="14" t="s">
        <v>32</v>
      </c>
      <c r="N774" s="25" t="s">
        <v>37</v>
      </c>
      <c r="O774" s="14" t="s">
        <v>406</v>
      </c>
      <c r="P774" s="14"/>
      <c r="Q774" s="14"/>
      <c r="R774" s="14" t="s">
        <v>1113</v>
      </c>
    </row>
    <row r="775" spans="1:18" ht="15" customHeight="1">
      <c r="A775" s="12">
        <v>293</v>
      </c>
      <c r="B775" s="13" t="s">
        <v>1292</v>
      </c>
      <c r="C775" s="14"/>
      <c r="D775" s="14" t="s">
        <v>1293</v>
      </c>
      <c r="E775" s="14" t="s">
        <v>44</v>
      </c>
      <c r="F775" s="15" t="s">
        <v>22</v>
      </c>
      <c r="G775" s="14"/>
      <c r="H775" s="58"/>
      <c r="I775" s="14"/>
      <c r="J775" s="14" t="s">
        <v>23</v>
      </c>
      <c r="K775" s="14"/>
      <c r="L775" s="14"/>
      <c r="M775" s="14" t="s">
        <v>689</v>
      </c>
      <c r="N775" s="14" t="s">
        <v>25</v>
      </c>
      <c r="O775" s="14"/>
      <c r="P775" s="14"/>
      <c r="Q775" s="14"/>
      <c r="R775" s="14" t="s">
        <v>1242</v>
      </c>
    </row>
    <row r="776" spans="1:18" ht="15" customHeight="1">
      <c r="A776" s="12">
        <v>1063</v>
      </c>
      <c r="B776" s="13" t="s">
        <v>1294</v>
      </c>
      <c r="C776" s="14"/>
      <c r="D776" s="14" t="s">
        <v>1293</v>
      </c>
      <c r="E776" s="14" t="s">
        <v>44</v>
      </c>
      <c r="F776" s="15" t="s">
        <v>22</v>
      </c>
      <c r="G776" s="21"/>
      <c r="H776" s="58"/>
      <c r="I776" s="14"/>
      <c r="J776" s="14" t="s">
        <v>23</v>
      </c>
      <c r="K776" s="14"/>
      <c r="L776" s="14"/>
      <c r="M776" s="14" t="s">
        <v>29</v>
      </c>
      <c r="N776" s="14" t="s">
        <v>25</v>
      </c>
      <c r="O776" s="14"/>
      <c r="P776" s="14"/>
      <c r="Q776" s="14"/>
      <c r="R776" s="14" t="s">
        <v>851</v>
      </c>
    </row>
    <row r="777" spans="1:18" ht="15" customHeight="1">
      <c r="A777" s="12">
        <v>1858</v>
      </c>
      <c r="B777" s="13" t="s">
        <v>1295</v>
      </c>
      <c r="C777" s="14"/>
      <c r="D777" s="14" t="s">
        <v>1293</v>
      </c>
      <c r="E777" s="14" t="s">
        <v>44</v>
      </c>
      <c r="F777" s="15" t="s">
        <v>22</v>
      </c>
      <c r="G777" s="14"/>
      <c r="H777" s="58">
        <v>0</v>
      </c>
      <c r="I777" s="14"/>
      <c r="J777" s="14" t="s">
        <v>23</v>
      </c>
      <c r="K777" s="14"/>
      <c r="L777" s="14"/>
      <c r="M777" s="14" t="s">
        <v>32</v>
      </c>
      <c r="N777" s="22" t="s">
        <v>25</v>
      </c>
      <c r="O777" s="14"/>
      <c r="P777" s="14"/>
      <c r="Q777" s="14"/>
      <c r="R777" s="14" t="s">
        <v>1113</v>
      </c>
    </row>
    <row r="778" spans="1:18" ht="15" customHeight="1">
      <c r="A778" s="12">
        <v>294</v>
      </c>
      <c r="B778" s="13" t="s">
        <v>1296</v>
      </c>
      <c r="C778" s="14"/>
      <c r="D778" s="14" t="s">
        <v>1297</v>
      </c>
      <c r="E778" s="14" t="s">
        <v>768</v>
      </c>
      <c r="F778" s="15" t="s">
        <v>22</v>
      </c>
      <c r="G778" s="14"/>
      <c r="H778" s="58"/>
      <c r="I778" s="14"/>
      <c r="J778" s="14" t="s">
        <v>23</v>
      </c>
      <c r="K778" s="14"/>
      <c r="L778" s="14"/>
      <c r="M778" s="14" t="s">
        <v>689</v>
      </c>
      <c r="N778" s="25" t="s">
        <v>37</v>
      </c>
      <c r="O778" s="14" t="s">
        <v>80</v>
      </c>
      <c r="P778" s="14"/>
      <c r="Q778" s="14"/>
      <c r="R778" s="14" t="s">
        <v>1242</v>
      </c>
    </row>
    <row r="779" spans="1:18" ht="15" customHeight="1">
      <c r="A779" s="12">
        <v>1064</v>
      </c>
      <c r="B779" s="13" t="s">
        <v>1298</v>
      </c>
      <c r="C779" s="14"/>
      <c r="D779" s="14" t="s">
        <v>1297</v>
      </c>
      <c r="E779" s="14" t="s">
        <v>768</v>
      </c>
      <c r="F779" s="15" t="s">
        <v>22</v>
      </c>
      <c r="G779" s="21"/>
      <c r="H779" s="58"/>
      <c r="I779" s="14"/>
      <c r="J779" s="14" t="s">
        <v>23</v>
      </c>
      <c r="K779" s="14"/>
      <c r="L779" s="14"/>
      <c r="M779" s="14" t="s">
        <v>29</v>
      </c>
      <c r="N779" s="25" t="s">
        <v>37</v>
      </c>
      <c r="O779" s="14" t="s">
        <v>614</v>
      </c>
      <c r="P779" s="14"/>
      <c r="Q779" s="14"/>
      <c r="R779" s="14" t="s">
        <v>851</v>
      </c>
    </row>
    <row r="780" spans="1:18" ht="15" customHeight="1">
      <c r="A780" s="12">
        <v>1859</v>
      </c>
      <c r="B780" s="13" t="s">
        <v>1299</v>
      </c>
      <c r="C780" s="14"/>
      <c r="D780" s="14" t="s">
        <v>1297</v>
      </c>
      <c r="E780" s="14" t="s">
        <v>768</v>
      </c>
      <c r="F780" s="15" t="s">
        <v>22</v>
      </c>
      <c r="G780" s="14"/>
      <c r="H780" s="58">
        <v>1</v>
      </c>
      <c r="I780" s="14"/>
      <c r="J780" s="14" t="s">
        <v>23</v>
      </c>
      <c r="K780" s="14"/>
      <c r="L780" s="14"/>
      <c r="M780" s="14" t="s">
        <v>32</v>
      </c>
      <c r="N780" s="25" t="s">
        <v>37</v>
      </c>
      <c r="O780" s="14" t="s">
        <v>1300</v>
      </c>
      <c r="P780" s="14"/>
      <c r="Q780" s="14"/>
      <c r="R780" s="14" t="s">
        <v>1113</v>
      </c>
    </row>
    <row r="781" spans="1:18" ht="15" customHeight="1">
      <c r="A781" s="12">
        <v>295</v>
      </c>
      <c r="B781" s="13" t="s">
        <v>1301</v>
      </c>
      <c r="C781" s="14"/>
      <c r="D781" s="14" t="s">
        <v>1302</v>
      </c>
      <c r="E781" s="14" t="s">
        <v>580</v>
      </c>
      <c r="F781" s="15" t="s">
        <v>22</v>
      </c>
      <c r="G781" s="14"/>
      <c r="H781" s="58"/>
      <c r="I781" s="14"/>
      <c r="J781" s="14" t="s">
        <v>23</v>
      </c>
      <c r="K781" s="14"/>
      <c r="L781" s="14"/>
      <c r="M781" s="14" t="s">
        <v>689</v>
      </c>
      <c r="N781" s="14" t="s">
        <v>25</v>
      </c>
      <c r="O781" s="14"/>
      <c r="P781" s="14"/>
      <c r="Q781" s="14"/>
      <c r="R781" s="14" t="s">
        <v>1242</v>
      </c>
    </row>
    <row r="782" spans="1:18" ht="15" customHeight="1">
      <c r="A782" s="12">
        <v>1065</v>
      </c>
      <c r="B782" s="13" t="s">
        <v>1303</v>
      </c>
      <c r="C782" s="14"/>
      <c r="D782" s="14" t="s">
        <v>1302</v>
      </c>
      <c r="E782" s="14" t="s">
        <v>580</v>
      </c>
      <c r="F782" s="15" t="s">
        <v>22</v>
      </c>
      <c r="G782" s="21"/>
      <c r="H782" s="58"/>
      <c r="I782" s="14"/>
      <c r="J782" s="14" t="s">
        <v>23</v>
      </c>
      <c r="K782" s="14"/>
      <c r="L782" s="14"/>
      <c r="M782" s="14" t="s">
        <v>29</v>
      </c>
      <c r="N782" s="14" t="s">
        <v>25</v>
      </c>
      <c r="O782" s="14"/>
      <c r="P782" s="14"/>
      <c r="Q782" s="14"/>
      <c r="R782" s="14" t="s">
        <v>851</v>
      </c>
    </row>
    <row r="783" spans="1:18" ht="15" customHeight="1">
      <c r="A783" s="12">
        <v>1860</v>
      </c>
      <c r="B783" s="13" t="s">
        <v>1304</v>
      </c>
      <c r="C783" s="14"/>
      <c r="D783" s="14" t="s">
        <v>1302</v>
      </c>
      <c r="E783" s="14" t="s">
        <v>580</v>
      </c>
      <c r="F783" s="15" t="s">
        <v>22</v>
      </c>
      <c r="G783" s="14"/>
      <c r="H783" s="58">
        <v>0</v>
      </c>
      <c r="I783" s="14"/>
      <c r="J783" s="14" t="s">
        <v>23</v>
      </c>
      <c r="K783" s="14"/>
      <c r="L783" s="14"/>
      <c r="M783" s="14" t="s">
        <v>32</v>
      </c>
      <c r="N783" s="22" t="s">
        <v>25</v>
      </c>
      <c r="O783" s="14"/>
      <c r="P783" s="14"/>
      <c r="Q783" s="14"/>
      <c r="R783" s="14" t="s">
        <v>1113</v>
      </c>
    </row>
    <row r="784" spans="1:18" ht="15" customHeight="1">
      <c r="A784" s="12">
        <v>296</v>
      </c>
      <c r="B784" s="13" t="s">
        <v>1305</v>
      </c>
      <c r="C784" s="14"/>
      <c r="D784" s="14" t="s">
        <v>1306</v>
      </c>
      <c r="E784" s="14" t="s">
        <v>21</v>
      </c>
      <c r="F784" s="15" t="s">
        <v>22</v>
      </c>
      <c r="G784" s="14"/>
      <c r="H784" s="58"/>
      <c r="I784" s="14"/>
      <c r="J784" s="14" t="s">
        <v>23</v>
      </c>
      <c r="K784" s="14"/>
      <c r="L784" s="14"/>
      <c r="M784" s="14" t="s">
        <v>689</v>
      </c>
      <c r="N784" s="14" t="s">
        <v>25</v>
      </c>
      <c r="O784" s="14"/>
      <c r="P784" s="14"/>
      <c r="Q784" s="14"/>
      <c r="R784" s="14" t="s">
        <v>1242</v>
      </c>
    </row>
    <row r="785" spans="1:18" ht="16.5" customHeight="1">
      <c r="A785" s="12">
        <v>1066</v>
      </c>
      <c r="B785" s="13" t="s">
        <v>1307</v>
      </c>
      <c r="C785" s="14"/>
      <c r="D785" s="14" t="s">
        <v>1306</v>
      </c>
      <c r="E785" s="14" t="s">
        <v>21</v>
      </c>
      <c r="F785" s="15" t="s">
        <v>22</v>
      </c>
      <c r="G785" s="21"/>
      <c r="H785" s="58"/>
      <c r="I785" s="14"/>
      <c r="J785" s="14" t="s">
        <v>23</v>
      </c>
      <c r="K785" s="14"/>
      <c r="L785" s="14"/>
      <c r="M785" s="14" t="s">
        <v>29</v>
      </c>
      <c r="N785" s="14" t="s">
        <v>25</v>
      </c>
      <c r="O785" s="14"/>
      <c r="P785" s="14"/>
      <c r="Q785" s="14"/>
      <c r="R785" s="14" t="s">
        <v>851</v>
      </c>
    </row>
    <row r="786" spans="1:18" ht="15" customHeight="1">
      <c r="A786" s="12">
        <v>1861</v>
      </c>
      <c r="B786" s="13" t="s">
        <v>1308</v>
      </c>
      <c r="C786" s="14"/>
      <c r="D786" s="14" t="s">
        <v>1306</v>
      </c>
      <c r="E786" s="14" t="s">
        <v>21</v>
      </c>
      <c r="F786" s="15" t="s">
        <v>22</v>
      </c>
      <c r="G786" s="14"/>
      <c r="H786" s="58">
        <v>0</v>
      </c>
      <c r="I786" s="14"/>
      <c r="J786" s="14" t="s">
        <v>23</v>
      </c>
      <c r="K786" s="14"/>
      <c r="L786" s="14"/>
      <c r="M786" s="14" t="s">
        <v>32</v>
      </c>
      <c r="N786" s="22" t="s">
        <v>25</v>
      </c>
      <c r="O786" s="14"/>
      <c r="P786" s="14"/>
      <c r="Q786" s="14"/>
      <c r="R786" s="14" t="s">
        <v>1113</v>
      </c>
    </row>
    <row r="787" spans="1:18" ht="15" customHeight="1">
      <c r="A787" s="12">
        <v>297</v>
      </c>
      <c r="B787" s="13" t="s">
        <v>1309</v>
      </c>
      <c r="C787" s="14"/>
      <c r="D787" s="14" t="s">
        <v>1310</v>
      </c>
      <c r="E787" s="14" t="s">
        <v>36</v>
      </c>
      <c r="F787" s="15" t="s">
        <v>22</v>
      </c>
      <c r="G787" s="14"/>
      <c r="H787" s="58"/>
      <c r="I787" s="14"/>
      <c r="J787" s="14" t="s">
        <v>23</v>
      </c>
      <c r="K787" s="14"/>
      <c r="L787" s="14"/>
      <c r="M787" s="14" t="s">
        <v>689</v>
      </c>
      <c r="N787" s="14" t="s">
        <v>25</v>
      </c>
      <c r="O787" s="14"/>
      <c r="P787" s="14"/>
      <c r="Q787" s="14"/>
      <c r="R787" s="14" t="s">
        <v>1242</v>
      </c>
    </row>
    <row r="788" spans="1:18" ht="15" customHeight="1">
      <c r="A788" s="12">
        <v>1067</v>
      </c>
      <c r="B788" s="13" t="s">
        <v>1311</v>
      </c>
      <c r="C788" s="14"/>
      <c r="D788" s="14" t="s">
        <v>1310</v>
      </c>
      <c r="E788" s="14" t="s">
        <v>36</v>
      </c>
      <c r="F788" s="15" t="s">
        <v>22</v>
      </c>
      <c r="G788" s="21"/>
      <c r="H788" s="58"/>
      <c r="I788" s="14"/>
      <c r="J788" s="14" t="s">
        <v>23</v>
      </c>
      <c r="K788" s="14"/>
      <c r="L788" s="14"/>
      <c r="M788" s="14" t="s">
        <v>29</v>
      </c>
      <c r="N788" s="25" t="s">
        <v>37</v>
      </c>
      <c r="O788" s="14" t="s">
        <v>1312</v>
      </c>
      <c r="P788" s="14"/>
      <c r="Q788" s="14"/>
      <c r="R788" s="14" t="s">
        <v>851</v>
      </c>
    </row>
    <row r="789" spans="1:18" ht="15" customHeight="1">
      <c r="A789" s="12">
        <v>1862</v>
      </c>
      <c r="B789" s="13" t="s">
        <v>1313</v>
      </c>
      <c r="C789" s="14"/>
      <c r="D789" s="14" t="s">
        <v>1310</v>
      </c>
      <c r="E789" s="14" t="s">
        <v>36</v>
      </c>
      <c r="F789" s="15" t="s">
        <v>22</v>
      </c>
      <c r="G789" s="14"/>
      <c r="H789" s="58">
        <v>2</v>
      </c>
      <c r="I789" s="14"/>
      <c r="J789" s="14" t="s">
        <v>23</v>
      </c>
      <c r="K789" s="14"/>
      <c r="L789" s="14"/>
      <c r="M789" s="14" t="s">
        <v>32</v>
      </c>
      <c r="N789" s="25" t="s">
        <v>37</v>
      </c>
      <c r="O789" s="14" t="s">
        <v>47</v>
      </c>
      <c r="P789" s="14"/>
      <c r="Q789" s="14"/>
      <c r="R789" s="14" t="s">
        <v>1113</v>
      </c>
    </row>
    <row r="790" spans="1:18" ht="15" customHeight="1">
      <c r="A790" s="12">
        <v>298</v>
      </c>
      <c r="B790" s="13" t="s">
        <v>1314</v>
      </c>
      <c r="C790" s="14"/>
      <c r="D790" s="14" t="s">
        <v>1315</v>
      </c>
      <c r="E790" s="14" t="s">
        <v>21</v>
      </c>
      <c r="F790" s="15" t="s">
        <v>22</v>
      </c>
      <c r="G790" s="14"/>
      <c r="H790" s="58"/>
      <c r="I790" s="14"/>
      <c r="J790" s="14" t="s">
        <v>23</v>
      </c>
      <c r="K790" s="14"/>
      <c r="L790" s="14"/>
      <c r="M790" s="14" t="s">
        <v>689</v>
      </c>
      <c r="N790" s="14" t="s">
        <v>25</v>
      </c>
      <c r="O790" s="14"/>
      <c r="P790" s="14"/>
      <c r="Q790" s="14"/>
      <c r="R790" s="14" t="s">
        <v>1242</v>
      </c>
    </row>
    <row r="791" spans="1:18" ht="14.25" customHeight="1">
      <c r="A791" s="12">
        <v>1068</v>
      </c>
      <c r="B791" s="13" t="s">
        <v>1316</v>
      </c>
      <c r="C791" s="14"/>
      <c r="D791" s="14" t="s">
        <v>1315</v>
      </c>
      <c r="E791" s="14" t="s">
        <v>21</v>
      </c>
      <c r="F791" s="15" t="s">
        <v>22</v>
      </c>
      <c r="G791" s="21"/>
      <c r="H791" s="58"/>
      <c r="I791" s="14"/>
      <c r="J791" s="14" t="s">
        <v>23</v>
      </c>
      <c r="K791" s="14"/>
      <c r="L791" s="14"/>
      <c r="M791" s="14" t="s">
        <v>29</v>
      </c>
      <c r="N791" s="14" t="s">
        <v>25</v>
      </c>
      <c r="O791" s="14"/>
      <c r="P791" s="14"/>
      <c r="Q791" s="14"/>
      <c r="R791" s="14" t="s">
        <v>851</v>
      </c>
    </row>
    <row r="792" spans="1:18" ht="15" customHeight="1">
      <c r="A792" s="12">
        <v>1863</v>
      </c>
      <c r="B792" s="13" t="s">
        <v>1317</v>
      </c>
      <c r="C792" s="14"/>
      <c r="D792" s="14" t="s">
        <v>1315</v>
      </c>
      <c r="E792" s="14" t="s">
        <v>21</v>
      </c>
      <c r="F792" s="15" t="s">
        <v>22</v>
      </c>
      <c r="G792" s="14"/>
      <c r="H792" s="58">
        <v>0</v>
      </c>
      <c r="I792" s="14"/>
      <c r="J792" s="14" t="s">
        <v>23</v>
      </c>
      <c r="K792" s="14"/>
      <c r="L792" s="14"/>
      <c r="M792" s="14" t="s">
        <v>32</v>
      </c>
      <c r="N792" s="22" t="s">
        <v>25</v>
      </c>
      <c r="O792" s="14"/>
      <c r="P792" s="14"/>
      <c r="Q792" s="14"/>
      <c r="R792" s="14" t="s">
        <v>1113</v>
      </c>
    </row>
    <row r="793" spans="1:18" ht="15" customHeight="1">
      <c r="A793" s="12">
        <v>299</v>
      </c>
      <c r="B793" s="13" t="s">
        <v>1318</v>
      </c>
      <c r="C793" s="14"/>
      <c r="D793" s="14" t="s">
        <v>1319</v>
      </c>
      <c r="E793" s="14" t="s">
        <v>172</v>
      </c>
      <c r="F793" s="15" t="s">
        <v>22</v>
      </c>
      <c r="G793" s="14"/>
      <c r="H793" s="58"/>
      <c r="I793" s="14"/>
      <c r="J793" s="14" t="s">
        <v>23</v>
      </c>
      <c r="K793" s="14"/>
      <c r="L793" s="14"/>
      <c r="M793" s="14" t="s">
        <v>689</v>
      </c>
      <c r="N793" s="25" t="s">
        <v>37</v>
      </c>
      <c r="O793" s="14" t="s">
        <v>179</v>
      </c>
      <c r="P793" s="14"/>
      <c r="Q793" s="14"/>
      <c r="R793" s="14" t="s">
        <v>1242</v>
      </c>
    </row>
    <row r="794" spans="1:18" ht="15" customHeight="1">
      <c r="A794" s="12">
        <v>1069</v>
      </c>
      <c r="B794" s="13" t="s">
        <v>1320</v>
      </c>
      <c r="C794" s="14"/>
      <c r="D794" s="14" t="s">
        <v>1319</v>
      </c>
      <c r="E794" s="14" t="s">
        <v>172</v>
      </c>
      <c r="F794" s="15" t="s">
        <v>22</v>
      </c>
      <c r="G794" s="21"/>
      <c r="H794" s="58"/>
      <c r="I794" s="14"/>
      <c r="J794" s="14" t="s">
        <v>23</v>
      </c>
      <c r="K794" s="14"/>
      <c r="L794" s="14"/>
      <c r="M794" s="14" t="s">
        <v>29</v>
      </c>
      <c r="N794" s="25" t="s">
        <v>289</v>
      </c>
      <c r="O794" s="14" t="s">
        <v>189</v>
      </c>
      <c r="P794" s="14"/>
      <c r="Q794" s="14"/>
      <c r="R794" s="14" t="s">
        <v>851</v>
      </c>
    </row>
    <row r="795" spans="1:18" ht="15" customHeight="1">
      <c r="A795" s="12">
        <v>1864</v>
      </c>
      <c r="B795" s="13" t="s">
        <v>1321</v>
      </c>
      <c r="C795" s="14"/>
      <c r="D795" s="14" t="s">
        <v>1319</v>
      </c>
      <c r="E795" s="14" t="s">
        <v>172</v>
      </c>
      <c r="F795" s="15" t="s">
        <v>22</v>
      </c>
      <c r="G795" s="14"/>
      <c r="H795" s="58">
        <v>1</v>
      </c>
      <c r="I795" s="14"/>
      <c r="J795" s="14" t="s">
        <v>23</v>
      </c>
      <c r="K795" s="14"/>
      <c r="L795" s="14"/>
      <c r="M795" s="14" t="s">
        <v>32</v>
      </c>
      <c r="N795" s="25" t="s">
        <v>37</v>
      </c>
      <c r="O795" s="14" t="s">
        <v>1322</v>
      </c>
      <c r="P795" s="14"/>
      <c r="Q795" s="14"/>
      <c r="R795" s="14" t="s">
        <v>1113</v>
      </c>
    </row>
    <row r="796" spans="1:18" ht="15" customHeight="1">
      <c r="A796" s="12">
        <v>300</v>
      </c>
      <c r="B796" s="13" t="s">
        <v>1323</v>
      </c>
      <c r="C796" s="14"/>
      <c r="D796" s="14" t="s">
        <v>1324</v>
      </c>
      <c r="E796" s="14" t="s">
        <v>21</v>
      </c>
      <c r="F796" s="15" t="s">
        <v>22</v>
      </c>
      <c r="G796" s="14"/>
      <c r="H796" s="58"/>
      <c r="I796" s="14"/>
      <c r="J796" s="14" t="s">
        <v>23</v>
      </c>
      <c r="K796" s="14"/>
      <c r="L796" s="14"/>
      <c r="M796" s="14" t="s">
        <v>689</v>
      </c>
      <c r="N796" s="14" t="s">
        <v>25</v>
      </c>
      <c r="O796" s="14"/>
      <c r="P796" s="14"/>
      <c r="Q796" s="14"/>
      <c r="R796" s="14" t="s">
        <v>1242</v>
      </c>
    </row>
    <row r="797" spans="1:18" ht="15" customHeight="1">
      <c r="A797" s="12">
        <v>1070</v>
      </c>
      <c r="B797" s="13" t="s">
        <v>1325</v>
      </c>
      <c r="C797" s="14"/>
      <c r="D797" s="14" t="s">
        <v>1324</v>
      </c>
      <c r="E797" s="14" t="s">
        <v>21</v>
      </c>
      <c r="F797" s="15" t="s">
        <v>22</v>
      </c>
      <c r="G797" s="21"/>
      <c r="H797" s="58"/>
      <c r="I797" s="14"/>
      <c r="J797" s="14" t="s">
        <v>23</v>
      </c>
      <c r="K797" s="14"/>
      <c r="L797" s="14"/>
      <c r="M797" s="14" t="s">
        <v>29</v>
      </c>
      <c r="N797" s="14" t="s">
        <v>25</v>
      </c>
      <c r="O797" s="14"/>
      <c r="P797" s="14"/>
      <c r="Q797" s="14"/>
      <c r="R797" s="14" t="s">
        <v>851</v>
      </c>
    </row>
    <row r="798" spans="1:18" ht="15" customHeight="1">
      <c r="A798" s="12">
        <v>1865</v>
      </c>
      <c r="B798" s="13" t="s">
        <v>1326</v>
      </c>
      <c r="C798" s="14"/>
      <c r="D798" s="14" t="s">
        <v>1324</v>
      </c>
      <c r="E798" s="14" t="s">
        <v>21</v>
      </c>
      <c r="F798" s="15" t="s">
        <v>22</v>
      </c>
      <c r="G798" s="14"/>
      <c r="H798" s="58">
        <v>0</v>
      </c>
      <c r="I798" s="14"/>
      <c r="J798" s="14" t="s">
        <v>23</v>
      </c>
      <c r="K798" s="14"/>
      <c r="L798" s="14"/>
      <c r="M798" s="14" t="s">
        <v>32</v>
      </c>
      <c r="N798" s="22" t="s">
        <v>25</v>
      </c>
      <c r="O798" s="14"/>
      <c r="P798" s="14"/>
      <c r="Q798" s="14"/>
      <c r="R798" s="14" t="s">
        <v>1113</v>
      </c>
    </row>
    <row r="799" spans="1:18" ht="15" customHeight="1">
      <c r="A799" s="12">
        <v>301</v>
      </c>
      <c r="B799" s="13" t="s">
        <v>1327</v>
      </c>
      <c r="C799" s="14"/>
      <c r="D799" s="14" t="s">
        <v>1328</v>
      </c>
      <c r="E799" s="14" t="s">
        <v>44</v>
      </c>
      <c r="F799" s="15" t="s">
        <v>22</v>
      </c>
      <c r="G799" s="14"/>
      <c r="H799" s="58"/>
      <c r="I799" s="14"/>
      <c r="J799" s="14" t="s">
        <v>23</v>
      </c>
      <c r="K799" s="14"/>
      <c r="L799" s="14"/>
      <c r="M799" s="14" t="s">
        <v>689</v>
      </c>
      <c r="N799" s="14" t="s">
        <v>25</v>
      </c>
      <c r="O799" s="14"/>
      <c r="P799" s="14"/>
      <c r="Q799" s="14"/>
      <c r="R799" s="14" t="s">
        <v>1242</v>
      </c>
    </row>
    <row r="800" spans="1:18" ht="15" customHeight="1">
      <c r="A800" s="12">
        <v>1071</v>
      </c>
      <c r="B800" s="13" t="s">
        <v>1329</v>
      </c>
      <c r="C800" s="14"/>
      <c r="D800" s="14" t="s">
        <v>1328</v>
      </c>
      <c r="E800" s="14" t="s">
        <v>44</v>
      </c>
      <c r="F800" s="15" t="s">
        <v>22</v>
      </c>
      <c r="G800" s="21"/>
      <c r="H800" s="58"/>
      <c r="I800" s="14"/>
      <c r="J800" s="14" t="s">
        <v>23</v>
      </c>
      <c r="K800" s="14"/>
      <c r="L800" s="14"/>
      <c r="M800" s="14" t="s">
        <v>29</v>
      </c>
      <c r="N800" s="14" t="s">
        <v>25</v>
      </c>
      <c r="O800" s="14"/>
      <c r="P800" s="14"/>
      <c r="Q800" s="14"/>
      <c r="R800" s="14" t="s">
        <v>851</v>
      </c>
    </row>
    <row r="801" spans="1:1027" ht="15" customHeight="1">
      <c r="A801" s="12">
        <v>1866</v>
      </c>
      <c r="B801" s="13" t="s">
        <v>1330</v>
      </c>
      <c r="C801" s="14"/>
      <c r="D801" s="14" t="s">
        <v>1328</v>
      </c>
      <c r="E801" s="14" t="s">
        <v>44</v>
      </c>
      <c r="F801" s="15" t="s">
        <v>22</v>
      </c>
      <c r="G801" s="14"/>
      <c r="H801" s="58">
        <v>0</v>
      </c>
      <c r="I801" s="14"/>
      <c r="J801" s="14" t="s">
        <v>23</v>
      </c>
      <c r="K801" s="14"/>
      <c r="L801" s="14"/>
      <c r="M801" s="14" t="s">
        <v>32</v>
      </c>
      <c r="N801" s="22" t="s">
        <v>25</v>
      </c>
      <c r="O801" s="14"/>
      <c r="P801" s="14"/>
      <c r="Q801" s="14"/>
      <c r="R801" s="14" t="s">
        <v>1113</v>
      </c>
    </row>
    <row r="802" spans="1:1027" ht="15" customHeight="1">
      <c r="A802" s="12">
        <v>302</v>
      </c>
      <c r="B802" s="13" t="s">
        <v>1331</v>
      </c>
      <c r="C802" s="14"/>
      <c r="D802" s="14" t="s">
        <v>1332</v>
      </c>
      <c r="E802" s="14" t="s">
        <v>21</v>
      </c>
      <c r="F802" s="15" t="s">
        <v>22</v>
      </c>
      <c r="G802" s="14"/>
      <c r="H802" s="58"/>
      <c r="I802" s="14"/>
      <c r="J802" s="14" t="s">
        <v>23</v>
      </c>
      <c r="K802" s="14"/>
      <c r="L802" s="14"/>
      <c r="M802" s="14" t="s">
        <v>689</v>
      </c>
      <c r="N802" s="14" t="s">
        <v>25</v>
      </c>
      <c r="O802" s="14"/>
      <c r="P802" s="14"/>
      <c r="Q802" s="14"/>
      <c r="R802" s="14" t="s">
        <v>1242</v>
      </c>
    </row>
    <row r="803" spans="1:1027" ht="15" customHeight="1">
      <c r="A803" s="12">
        <v>1072</v>
      </c>
      <c r="B803" s="13" t="s">
        <v>1333</v>
      </c>
      <c r="C803" s="14"/>
      <c r="D803" s="14" t="s">
        <v>1332</v>
      </c>
      <c r="E803" s="14" t="s">
        <v>21</v>
      </c>
      <c r="F803" s="15" t="s">
        <v>22</v>
      </c>
      <c r="G803" s="21"/>
      <c r="H803" s="58"/>
      <c r="I803" s="14"/>
      <c r="J803" s="14" t="s">
        <v>23</v>
      </c>
      <c r="K803" s="14"/>
      <c r="L803" s="14"/>
      <c r="M803" s="14" t="s">
        <v>29</v>
      </c>
      <c r="N803" s="14" t="s">
        <v>25</v>
      </c>
      <c r="O803" s="14"/>
      <c r="P803" s="14"/>
      <c r="Q803" s="14"/>
      <c r="R803" s="14" t="s">
        <v>851</v>
      </c>
    </row>
    <row r="804" spans="1:1027" ht="15" customHeight="1">
      <c r="A804" s="12">
        <v>1867</v>
      </c>
      <c r="B804" s="13" t="s">
        <v>1334</v>
      </c>
      <c r="C804" s="14"/>
      <c r="D804" s="14" t="s">
        <v>1332</v>
      </c>
      <c r="E804" s="14" t="s">
        <v>21</v>
      </c>
      <c r="F804" s="15" t="s">
        <v>22</v>
      </c>
      <c r="G804" s="14"/>
      <c r="H804" s="58">
        <v>0</v>
      </c>
      <c r="I804" s="14"/>
      <c r="J804" s="14" t="s">
        <v>23</v>
      </c>
      <c r="K804" s="14"/>
      <c r="L804" s="14"/>
      <c r="M804" s="14" t="s">
        <v>32</v>
      </c>
      <c r="N804" s="22" t="s">
        <v>25</v>
      </c>
      <c r="O804" s="14"/>
      <c r="P804" s="14"/>
      <c r="Q804" s="14"/>
      <c r="R804" s="14" t="s">
        <v>1113</v>
      </c>
    </row>
    <row r="805" spans="1:1027" ht="15" customHeight="1">
      <c r="A805" s="12">
        <v>303</v>
      </c>
      <c r="B805" s="27" t="s">
        <v>1335</v>
      </c>
      <c r="C805" s="14"/>
      <c r="D805" s="14" t="s">
        <v>1336</v>
      </c>
      <c r="E805" s="14" t="s">
        <v>580</v>
      </c>
      <c r="F805" s="15" t="s">
        <v>22</v>
      </c>
      <c r="G805" s="14"/>
      <c r="H805" s="58"/>
      <c r="I805" s="14"/>
      <c r="J805" s="14" t="s">
        <v>23</v>
      </c>
      <c r="K805" s="14"/>
      <c r="L805" s="14"/>
      <c r="M805" s="14" t="s">
        <v>689</v>
      </c>
      <c r="N805" s="14" t="s">
        <v>25</v>
      </c>
      <c r="O805" s="14"/>
      <c r="P805" s="14"/>
      <c r="Q805" s="14"/>
      <c r="R805" s="14" t="s">
        <v>1242</v>
      </c>
    </row>
    <row r="806" spans="1:1027" ht="15" customHeight="1">
      <c r="A806" s="12">
        <v>304</v>
      </c>
      <c r="B806" s="13" t="s">
        <v>1337</v>
      </c>
      <c r="C806" s="14"/>
      <c r="D806" s="14" t="s">
        <v>1338</v>
      </c>
      <c r="E806" s="14" t="s">
        <v>768</v>
      </c>
      <c r="F806" s="15" t="s">
        <v>22</v>
      </c>
      <c r="G806" s="14"/>
      <c r="H806" s="58"/>
      <c r="I806" s="14"/>
      <c r="J806" s="14" t="s">
        <v>23</v>
      </c>
      <c r="K806" s="14"/>
      <c r="L806" s="14"/>
      <c r="M806" s="14" t="s">
        <v>689</v>
      </c>
      <c r="N806" s="14" t="s">
        <v>25</v>
      </c>
      <c r="O806" s="14"/>
      <c r="P806" s="14"/>
      <c r="Q806" s="14"/>
      <c r="R806" s="14" t="s">
        <v>1242</v>
      </c>
    </row>
    <row r="807" spans="1:1027" ht="15" customHeight="1">
      <c r="A807" s="12">
        <v>1073</v>
      </c>
      <c r="B807" s="13" t="s">
        <v>1339</v>
      </c>
      <c r="C807" s="14"/>
      <c r="D807" s="14" t="s">
        <v>1338</v>
      </c>
      <c r="E807" s="14" t="s">
        <v>768</v>
      </c>
      <c r="F807" s="15" t="s">
        <v>22</v>
      </c>
      <c r="G807" s="21"/>
      <c r="H807" s="58"/>
      <c r="I807" s="14"/>
      <c r="J807" s="14" t="s">
        <v>23</v>
      </c>
      <c r="K807" s="14"/>
      <c r="L807" s="14"/>
      <c r="M807" s="14" t="s">
        <v>29</v>
      </c>
      <c r="N807" s="14" t="s">
        <v>25</v>
      </c>
      <c r="O807" s="14"/>
      <c r="P807" s="14"/>
      <c r="Q807" s="14"/>
      <c r="R807" s="14" t="s">
        <v>851</v>
      </c>
    </row>
    <row r="808" spans="1:1027" ht="15" customHeight="1">
      <c r="A808" s="12">
        <v>1868</v>
      </c>
      <c r="B808" s="13" t="s">
        <v>1340</v>
      </c>
      <c r="C808" s="14"/>
      <c r="D808" s="14" t="s">
        <v>1338</v>
      </c>
      <c r="E808" s="14" t="s">
        <v>768</v>
      </c>
      <c r="F808" s="15" t="s">
        <v>22</v>
      </c>
      <c r="G808" s="14"/>
      <c r="H808" s="58">
        <v>0</v>
      </c>
      <c r="I808" s="14"/>
      <c r="J808" s="14" t="s">
        <v>23</v>
      </c>
      <c r="K808" s="14"/>
      <c r="L808" s="14"/>
      <c r="M808" s="14" t="s">
        <v>32</v>
      </c>
      <c r="N808" s="22" t="s">
        <v>25</v>
      </c>
      <c r="O808" s="14"/>
      <c r="P808" s="14"/>
      <c r="Q808" s="14"/>
      <c r="R808" s="14" t="s">
        <v>1113</v>
      </c>
    </row>
    <row r="809" spans="1:1027" ht="15" customHeight="1">
      <c r="A809" s="12">
        <v>305</v>
      </c>
      <c r="B809" s="13" t="s">
        <v>1341</v>
      </c>
      <c r="C809" s="14"/>
      <c r="D809" s="14" t="s">
        <v>1342</v>
      </c>
      <c r="E809" s="14" t="s">
        <v>580</v>
      </c>
      <c r="F809" s="15" t="s">
        <v>22</v>
      </c>
      <c r="G809" s="14"/>
      <c r="H809" s="58"/>
      <c r="I809" s="14"/>
      <c r="J809" s="14" t="s">
        <v>23</v>
      </c>
      <c r="K809" s="14"/>
      <c r="L809" s="14"/>
      <c r="M809" s="14" t="s">
        <v>689</v>
      </c>
      <c r="N809" s="14" t="s">
        <v>25</v>
      </c>
      <c r="O809" s="14"/>
      <c r="P809" s="14"/>
      <c r="Q809" s="14"/>
      <c r="R809" s="14" t="s">
        <v>1242</v>
      </c>
    </row>
    <row r="810" spans="1:1027" ht="15" customHeight="1">
      <c r="A810" s="12">
        <v>1074</v>
      </c>
      <c r="B810" s="13" t="s">
        <v>1343</v>
      </c>
      <c r="C810" s="14"/>
      <c r="D810" s="14" t="s">
        <v>1342</v>
      </c>
      <c r="E810" s="14" t="s">
        <v>580</v>
      </c>
      <c r="F810" s="15" t="s">
        <v>22</v>
      </c>
      <c r="G810" s="21"/>
      <c r="H810" s="58"/>
      <c r="I810" s="14"/>
      <c r="J810" s="14" t="s">
        <v>23</v>
      </c>
      <c r="K810" s="14"/>
      <c r="L810" s="14"/>
      <c r="M810" s="14" t="s">
        <v>29</v>
      </c>
      <c r="N810" s="14" t="s">
        <v>25</v>
      </c>
      <c r="O810" s="14"/>
      <c r="P810" s="14"/>
      <c r="Q810" s="14"/>
      <c r="R810" s="14" t="s">
        <v>851</v>
      </c>
    </row>
    <row r="811" spans="1:1027" ht="15" customHeight="1">
      <c r="A811" s="12">
        <v>1869</v>
      </c>
      <c r="B811" s="13" t="s">
        <v>1344</v>
      </c>
      <c r="C811" s="14"/>
      <c r="D811" s="14" t="s">
        <v>1342</v>
      </c>
      <c r="E811" s="14" t="s">
        <v>580</v>
      </c>
      <c r="F811" s="15" t="s">
        <v>22</v>
      </c>
      <c r="G811" s="14"/>
      <c r="H811" s="58">
        <v>0</v>
      </c>
      <c r="I811" s="14"/>
      <c r="J811" s="14" t="s">
        <v>23</v>
      </c>
      <c r="K811" s="14"/>
      <c r="L811" s="14"/>
      <c r="M811" s="14" t="s">
        <v>32</v>
      </c>
      <c r="N811" s="22" t="s">
        <v>25</v>
      </c>
      <c r="O811" s="14"/>
      <c r="P811" s="14"/>
      <c r="Q811" s="14"/>
      <c r="R811" s="14" t="s">
        <v>1113</v>
      </c>
    </row>
    <row r="812" spans="1:1027" ht="15" customHeight="1">
      <c r="A812" s="12">
        <v>18</v>
      </c>
      <c r="B812" s="13" t="s">
        <v>1345</v>
      </c>
      <c r="C812" s="14"/>
      <c r="D812" s="14" t="s">
        <v>1346</v>
      </c>
      <c r="E812" s="14" t="s">
        <v>580</v>
      </c>
      <c r="F812" s="15" t="s">
        <v>22</v>
      </c>
      <c r="G812" s="14"/>
      <c r="H812" s="58"/>
      <c r="I812" s="14"/>
      <c r="J812" s="14" t="s">
        <v>23</v>
      </c>
      <c r="K812" s="15"/>
      <c r="L812" s="15"/>
      <c r="M812" s="14" t="s">
        <v>24</v>
      </c>
      <c r="N812" s="14" t="s">
        <v>25</v>
      </c>
      <c r="O812" s="14"/>
      <c r="P812" s="14"/>
      <c r="Q812" s="14"/>
      <c r="R812" s="17">
        <v>43599</v>
      </c>
      <c r="S812" s="12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  <c r="TF812" s="3"/>
      <c r="TG812" s="3"/>
      <c r="TH812" s="3"/>
      <c r="TI812" s="3"/>
      <c r="TJ812" s="3"/>
      <c r="TK812" s="3"/>
      <c r="TL812" s="3"/>
      <c r="TM812" s="3"/>
      <c r="TN812" s="3"/>
      <c r="TO812" s="3"/>
      <c r="TP812" s="3"/>
      <c r="TQ812" s="3"/>
      <c r="TR812" s="3"/>
      <c r="TS812" s="3"/>
      <c r="TT812" s="3"/>
      <c r="TU812" s="3"/>
      <c r="TV812" s="3"/>
      <c r="TW812" s="3"/>
      <c r="TX812" s="3"/>
      <c r="TY812" s="3"/>
      <c r="TZ812" s="3"/>
      <c r="UA812" s="3"/>
      <c r="UB812" s="3"/>
      <c r="UC812" s="3"/>
      <c r="UD812" s="3"/>
      <c r="UE812" s="3"/>
      <c r="UF812" s="3"/>
      <c r="UG812" s="3"/>
      <c r="UH812" s="3"/>
      <c r="UI812" s="3"/>
      <c r="UJ812" s="3"/>
      <c r="UK812" s="3"/>
      <c r="UL812" s="3"/>
      <c r="UM812" s="3"/>
      <c r="UN812" s="3"/>
      <c r="UO812" s="3"/>
      <c r="UP812" s="3"/>
      <c r="UQ812" s="3"/>
      <c r="UR812" s="3"/>
      <c r="US812" s="3"/>
      <c r="UT812" s="3"/>
      <c r="UU812" s="3"/>
      <c r="UV812" s="3"/>
      <c r="UW812" s="3"/>
      <c r="UX812" s="3"/>
      <c r="UY812" s="3"/>
      <c r="UZ812" s="3"/>
      <c r="VA812" s="3"/>
      <c r="VB812" s="3"/>
      <c r="VC812" s="3"/>
      <c r="VD812" s="3"/>
      <c r="VE812" s="3"/>
      <c r="VF812" s="3"/>
      <c r="VG812" s="3"/>
      <c r="VH812" s="3"/>
      <c r="VI812" s="3"/>
      <c r="VJ812" s="3"/>
      <c r="VK812" s="3"/>
      <c r="VL812" s="3"/>
      <c r="VM812" s="3"/>
      <c r="VN812" s="3"/>
      <c r="VO812" s="3"/>
      <c r="VP812" s="3"/>
      <c r="VQ812" s="3"/>
      <c r="VR812" s="3"/>
      <c r="VS812" s="3"/>
      <c r="VT812" s="3"/>
      <c r="VU812" s="3"/>
      <c r="VV812" s="3"/>
      <c r="VW812" s="3"/>
      <c r="VX812" s="3"/>
      <c r="VY812" s="3"/>
      <c r="VZ812" s="3"/>
      <c r="WA812" s="3"/>
      <c r="WB812" s="3"/>
      <c r="WC812" s="3"/>
      <c r="WD812" s="3"/>
      <c r="WE812" s="3"/>
      <c r="WF812" s="3"/>
      <c r="WG812" s="3"/>
      <c r="WH812" s="3"/>
      <c r="WI812" s="3"/>
      <c r="WJ812" s="3"/>
      <c r="WK812" s="3"/>
      <c r="WL812" s="3"/>
      <c r="WM812" s="3"/>
      <c r="WN812" s="3"/>
      <c r="WO812" s="3"/>
      <c r="WP812" s="3"/>
      <c r="WQ812" s="3"/>
      <c r="WR812" s="3"/>
      <c r="WS812" s="3"/>
      <c r="WT812" s="3"/>
      <c r="WU812" s="3"/>
      <c r="WV812" s="3"/>
      <c r="WW812" s="3"/>
      <c r="WX812" s="3"/>
      <c r="WY812" s="3"/>
      <c r="WZ812" s="3"/>
      <c r="XA812" s="3"/>
      <c r="XB812" s="3"/>
      <c r="XC812" s="3"/>
      <c r="XD812" s="3"/>
      <c r="XE812" s="3"/>
      <c r="XF812" s="3"/>
      <c r="XG812" s="3"/>
      <c r="XH812" s="3"/>
      <c r="XI812" s="3"/>
      <c r="XJ812" s="3"/>
      <c r="XK812" s="3"/>
      <c r="XL812" s="3"/>
      <c r="XM812" s="3"/>
      <c r="XN812" s="3"/>
      <c r="XO812" s="3"/>
      <c r="XP812" s="3"/>
      <c r="XQ812" s="3"/>
      <c r="XR812" s="3"/>
      <c r="XS812" s="3"/>
      <c r="XT812" s="3"/>
      <c r="XU812" s="3"/>
      <c r="XV812" s="3"/>
      <c r="XW812" s="3"/>
      <c r="XX812" s="3"/>
      <c r="XY812" s="3"/>
      <c r="XZ812" s="3"/>
      <c r="YA812" s="3"/>
      <c r="YB812" s="3"/>
      <c r="YC812" s="3"/>
      <c r="YD812" s="3"/>
      <c r="YE812" s="3"/>
      <c r="YF812" s="3"/>
      <c r="YG812" s="3"/>
      <c r="YH812" s="3"/>
      <c r="YI812" s="3"/>
      <c r="YJ812" s="3"/>
      <c r="YK812" s="3"/>
      <c r="YL812" s="3"/>
      <c r="YM812" s="3"/>
      <c r="YN812" s="3"/>
      <c r="YO812" s="3"/>
      <c r="YP812" s="3"/>
      <c r="YQ812" s="3"/>
      <c r="YR812" s="3"/>
      <c r="YS812" s="3"/>
      <c r="YT812" s="3"/>
      <c r="YU812" s="3"/>
      <c r="YV812" s="3"/>
      <c r="YW812" s="3"/>
      <c r="YX812" s="3"/>
      <c r="YY812" s="3"/>
      <c r="YZ812" s="3"/>
      <c r="ZA812" s="3"/>
      <c r="ZB812" s="3"/>
      <c r="ZC812" s="3"/>
      <c r="ZD812" s="3"/>
      <c r="ZE812" s="3"/>
      <c r="ZF812" s="3"/>
      <c r="ZG812" s="3"/>
      <c r="ZH812" s="3"/>
      <c r="ZI812" s="3"/>
      <c r="ZJ812" s="3"/>
      <c r="ZK812" s="3"/>
      <c r="ZL812" s="3"/>
      <c r="ZM812" s="3"/>
      <c r="ZN812" s="3"/>
      <c r="ZO812" s="3"/>
      <c r="ZP812" s="3"/>
      <c r="ZQ812" s="3"/>
      <c r="ZR812" s="3"/>
      <c r="ZS812" s="3"/>
      <c r="ZT812" s="3"/>
      <c r="ZU812" s="3"/>
      <c r="ZV812" s="3"/>
      <c r="ZW812" s="3"/>
      <c r="ZX812" s="3"/>
      <c r="ZY812" s="3"/>
      <c r="ZZ812" s="3"/>
      <c r="AAA812" s="3"/>
      <c r="AAB812" s="3"/>
      <c r="AAC812" s="3"/>
      <c r="AAD812" s="3"/>
      <c r="AAE812" s="3"/>
      <c r="AAF812" s="3"/>
      <c r="AAG812" s="3"/>
      <c r="AAH812" s="3"/>
      <c r="AAI812" s="3"/>
      <c r="AAJ812" s="3"/>
      <c r="AAK812" s="3"/>
      <c r="AAL812" s="3"/>
      <c r="AAM812" s="3"/>
      <c r="AAN812" s="3"/>
      <c r="AAO812" s="3"/>
      <c r="AAP812" s="3"/>
      <c r="AAQ812" s="3"/>
      <c r="AAR812" s="3"/>
      <c r="AAS812" s="3"/>
      <c r="AAT812" s="3"/>
      <c r="AAU812" s="3"/>
      <c r="AAV812" s="3"/>
      <c r="AAW812" s="3"/>
      <c r="AAX812" s="3"/>
      <c r="AAY812" s="3"/>
      <c r="AAZ812" s="3"/>
      <c r="ABA812" s="3"/>
      <c r="ABB812" s="3"/>
      <c r="ABC812" s="3"/>
      <c r="ABD812" s="3"/>
      <c r="ABE812" s="3"/>
      <c r="ABF812" s="3"/>
      <c r="ABG812" s="3"/>
      <c r="ABH812" s="3"/>
      <c r="ABI812" s="3"/>
      <c r="ABJ812" s="3"/>
      <c r="ABK812" s="3"/>
      <c r="ABL812" s="3"/>
      <c r="ABM812" s="3"/>
      <c r="ABN812" s="3"/>
      <c r="ABO812" s="3"/>
      <c r="ABP812" s="3"/>
      <c r="ABQ812" s="3"/>
      <c r="ABR812" s="3"/>
      <c r="ABS812" s="3"/>
      <c r="ABT812" s="3"/>
      <c r="ABU812" s="3"/>
      <c r="ABV812" s="3"/>
      <c r="ABW812" s="3"/>
      <c r="ABX812" s="3"/>
      <c r="ABY812" s="3"/>
      <c r="ABZ812" s="3"/>
      <c r="ACA812" s="3"/>
      <c r="ACB812" s="3"/>
      <c r="ACC812" s="3"/>
      <c r="ACD812" s="3"/>
      <c r="ACE812" s="3"/>
      <c r="ACF812" s="3"/>
      <c r="ACG812" s="3"/>
      <c r="ACH812" s="3"/>
      <c r="ACI812" s="3"/>
      <c r="ACJ812" s="3"/>
      <c r="ACK812" s="3"/>
      <c r="ACL812" s="3"/>
      <c r="ACM812" s="3"/>
      <c r="ACN812" s="3"/>
      <c r="ACO812" s="3"/>
      <c r="ACP812" s="3"/>
      <c r="ACQ812" s="3"/>
      <c r="ACR812" s="3"/>
      <c r="ACS812" s="3"/>
      <c r="ACT812" s="3"/>
      <c r="ACU812" s="3"/>
      <c r="ACV812" s="3"/>
      <c r="ACW812" s="3"/>
      <c r="ACX812" s="3"/>
      <c r="ACY812" s="3"/>
      <c r="ACZ812" s="3"/>
      <c r="ADA812" s="3"/>
      <c r="ADB812" s="3"/>
      <c r="ADC812" s="3"/>
      <c r="ADD812" s="3"/>
      <c r="ADE812" s="3"/>
      <c r="ADF812" s="3"/>
      <c r="ADG812" s="3"/>
      <c r="ADH812" s="3"/>
      <c r="ADI812" s="3"/>
      <c r="ADJ812" s="3"/>
      <c r="ADK812" s="3"/>
      <c r="ADL812" s="3"/>
      <c r="ADM812" s="3"/>
      <c r="ADN812" s="3"/>
      <c r="ADO812" s="3"/>
      <c r="ADP812" s="3"/>
      <c r="ADQ812" s="3"/>
      <c r="ADR812" s="3"/>
      <c r="ADS812" s="3"/>
      <c r="ADT812" s="3"/>
      <c r="ADU812" s="3"/>
      <c r="ADV812" s="3"/>
      <c r="ADW812" s="3"/>
      <c r="ADX812" s="3"/>
      <c r="ADY812" s="3"/>
      <c r="ADZ812" s="3"/>
      <c r="AEA812" s="3"/>
      <c r="AEB812" s="3"/>
      <c r="AEC812" s="3"/>
      <c r="AED812" s="3"/>
      <c r="AEE812" s="3"/>
      <c r="AEF812" s="3"/>
      <c r="AEG812" s="3"/>
      <c r="AEH812" s="3"/>
      <c r="AEI812" s="3"/>
      <c r="AEJ812" s="3"/>
      <c r="AEK812" s="3"/>
      <c r="AEL812" s="3"/>
      <c r="AEM812" s="3"/>
      <c r="AEN812" s="3"/>
      <c r="AEO812" s="3"/>
      <c r="AEP812" s="3"/>
      <c r="AEQ812" s="3"/>
      <c r="AER812" s="3"/>
      <c r="AES812" s="3"/>
      <c r="AET812" s="3"/>
      <c r="AEU812" s="3"/>
      <c r="AEV812" s="3"/>
      <c r="AEW812" s="3"/>
      <c r="AEX812" s="3"/>
      <c r="AEY812" s="3"/>
      <c r="AEZ812" s="3"/>
      <c r="AFA812" s="3"/>
      <c r="AFB812" s="3"/>
      <c r="AFC812" s="3"/>
      <c r="AFD812" s="3"/>
      <c r="AFE812" s="3"/>
      <c r="AFF812" s="3"/>
      <c r="AFG812" s="3"/>
      <c r="AFH812" s="3"/>
      <c r="AFI812" s="3"/>
      <c r="AFJ812" s="3"/>
      <c r="AFK812" s="3"/>
      <c r="AFL812" s="3"/>
      <c r="AFM812" s="3"/>
      <c r="AFN812" s="3"/>
      <c r="AFO812" s="3"/>
      <c r="AFP812" s="3"/>
      <c r="AFQ812" s="3"/>
      <c r="AFR812" s="3"/>
      <c r="AFS812" s="3"/>
      <c r="AFT812" s="3"/>
      <c r="AFU812" s="3"/>
      <c r="AFV812" s="3"/>
      <c r="AFW812" s="3"/>
      <c r="AFX812" s="3"/>
      <c r="AFY812" s="3"/>
      <c r="AFZ812" s="3"/>
      <c r="AGA812" s="3"/>
      <c r="AGB812" s="3"/>
      <c r="AGC812" s="3"/>
      <c r="AGD812" s="3"/>
      <c r="AGE812" s="3"/>
      <c r="AGF812" s="3"/>
      <c r="AGG812" s="3"/>
      <c r="AGH812" s="3"/>
      <c r="AGI812" s="3"/>
      <c r="AGJ812" s="3"/>
      <c r="AGK812" s="3"/>
      <c r="AGL812" s="3"/>
      <c r="AGM812" s="3"/>
      <c r="AGN812" s="3"/>
      <c r="AGO812" s="3"/>
      <c r="AGP812" s="3"/>
      <c r="AGQ812" s="3"/>
      <c r="AGR812" s="3"/>
      <c r="AGS812" s="3"/>
      <c r="AGT812" s="3"/>
      <c r="AGU812" s="3"/>
      <c r="AGV812" s="3"/>
      <c r="AGW812" s="3"/>
      <c r="AGX812" s="3"/>
      <c r="AGY812" s="3"/>
      <c r="AGZ812" s="3"/>
      <c r="AHA812" s="3"/>
      <c r="AHB812" s="3"/>
      <c r="AHC812" s="3"/>
      <c r="AHD812" s="3"/>
      <c r="AHE812" s="3"/>
      <c r="AHF812" s="3"/>
      <c r="AHG812" s="3"/>
      <c r="AHH812" s="3"/>
      <c r="AHI812" s="3"/>
      <c r="AHJ812" s="3"/>
      <c r="AHK812" s="3"/>
      <c r="AHL812" s="3"/>
      <c r="AHM812" s="3"/>
      <c r="AHN812" s="3"/>
      <c r="AHO812" s="3"/>
      <c r="AHP812" s="3"/>
      <c r="AHQ812" s="3"/>
      <c r="AHR812" s="3"/>
      <c r="AHS812" s="3"/>
      <c r="AHT812" s="3"/>
      <c r="AHU812" s="3"/>
      <c r="AHV812" s="3"/>
      <c r="AHW812" s="3"/>
      <c r="AHX812" s="3"/>
      <c r="AHY812" s="3"/>
      <c r="AHZ812" s="3"/>
      <c r="AIA812" s="3"/>
      <c r="AIB812" s="3"/>
      <c r="AIC812" s="3"/>
      <c r="AID812" s="3"/>
      <c r="AIE812" s="3"/>
      <c r="AIF812" s="3"/>
      <c r="AIG812" s="3"/>
      <c r="AIH812" s="3"/>
      <c r="AII812" s="3"/>
      <c r="AIJ812" s="3"/>
      <c r="AIK812" s="3"/>
      <c r="AIL812" s="3"/>
      <c r="AIM812" s="3"/>
      <c r="AIN812" s="3"/>
      <c r="AIO812" s="3"/>
      <c r="AIP812" s="3"/>
      <c r="AIQ812" s="3"/>
      <c r="AIR812" s="3"/>
      <c r="AIS812" s="3"/>
      <c r="AIT812" s="3"/>
      <c r="AIU812" s="3"/>
      <c r="AIV812" s="3"/>
      <c r="AIW812" s="3"/>
      <c r="AIX812" s="3"/>
      <c r="AIY812" s="3"/>
      <c r="AIZ812" s="3"/>
      <c r="AJA812" s="3"/>
      <c r="AJB812" s="3"/>
      <c r="AJC812" s="3"/>
      <c r="AJD812" s="3"/>
      <c r="AJE812" s="3"/>
      <c r="AJF812" s="3"/>
      <c r="AJG812" s="3"/>
      <c r="AJH812" s="3"/>
      <c r="AJI812" s="3"/>
      <c r="AJJ812" s="3"/>
      <c r="AJK812" s="3"/>
      <c r="AJL812" s="3"/>
      <c r="AJM812" s="3"/>
      <c r="AJN812" s="3"/>
      <c r="AJO812" s="3"/>
      <c r="AJP812" s="3"/>
      <c r="AJQ812" s="3"/>
      <c r="AJR812" s="3"/>
      <c r="AJS812" s="3"/>
      <c r="AJT812" s="3"/>
      <c r="AJU812" s="3"/>
      <c r="AJV812" s="3"/>
      <c r="AJW812" s="3"/>
      <c r="AJX812" s="3"/>
      <c r="AJY812" s="3"/>
      <c r="AJZ812" s="3"/>
      <c r="AKA812" s="3"/>
      <c r="AKB812" s="3"/>
      <c r="AKC812" s="3"/>
      <c r="AKD812" s="3"/>
      <c r="AKE812" s="3"/>
      <c r="AKF812" s="3"/>
      <c r="AKG812" s="3"/>
      <c r="AKH812" s="3"/>
      <c r="AKI812" s="3"/>
      <c r="AKJ812" s="3"/>
      <c r="AKK812" s="3"/>
      <c r="AKL812" s="3"/>
      <c r="AKM812" s="3"/>
      <c r="AKN812" s="3"/>
      <c r="AKO812" s="3"/>
      <c r="AKP812" s="3"/>
      <c r="AKQ812" s="3"/>
      <c r="AKR812" s="3"/>
      <c r="AKS812" s="3"/>
      <c r="AKT812" s="3"/>
      <c r="AKU812" s="3"/>
      <c r="AKV812" s="3"/>
      <c r="AKW812" s="3"/>
      <c r="AKX812" s="3"/>
      <c r="AKY812" s="3"/>
      <c r="AKZ812" s="3"/>
      <c r="ALA812" s="3"/>
      <c r="ALB812" s="3"/>
      <c r="ALC812" s="3"/>
      <c r="ALD812" s="3"/>
      <c r="ALE812" s="3"/>
      <c r="ALF812" s="3"/>
      <c r="ALG812" s="3"/>
      <c r="ALH812" s="3"/>
      <c r="ALI812" s="3"/>
      <c r="ALJ812" s="3"/>
      <c r="ALK812" s="3"/>
      <c r="ALL812" s="3"/>
      <c r="ALM812" s="3"/>
      <c r="ALN812" s="3"/>
      <c r="ALO812" s="3"/>
      <c r="ALP812" s="3"/>
      <c r="ALQ812" s="3"/>
      <c r="ALR812" s="3"/>
      <c r="ALS812" s="3"/>
      <c r="ALT812" s="3"/>
      <c r="ALU812" s="3"/>
      <c r="ALV812" s="3"/>
      <c r="ALW812" s="3"/>
      <c r="ALX812" s="3"/>
      <c r="ALY812" s="3"/>
      <c r="ALZ812" s="3"/>
      <c r="AMA812" s="3"/>
      <c r="AMB812" s="3"/>
      <c r="AMC812" s="3"/>
      <c r="AMD812" s="3"/>
      <c r="AME812" s="3"/>
      <c r="AMF812" s="3"/>
      <c r="AMG812" s="3"/>
      <c r="AMH812" s="3"/>
      <c r="AMI812" s="3"/>
      <c r="AMJ812" s="3"/>
      <c r="AMK812" s="3"/>
      <c r="AML812" s="3"/>
      <c r="AMM812" s="3"/>
    </row>
    <row r="813" spans="1:1027" ht="15" customHeight="1">
      <c r="A813" s="12">
        <v>306</v>
      </c>
      <c r="B813" s="13" t="s">
        <v>1347</v>
      </c>
      <c r="C813" s="14"/>
      <c r="D813" s="14" t="s">
        <v>1346</v>
      </c>
      <c r="E813" s="14" t="s">
        <v>580</v>
      </c>
      <c r="F813" s="15" t="s">
        <v>22</v>
      </c>
      <c r="G813" s="14"/>
      <c r="H813" s="58"/>
      <c r="I813" s="14"/>
      <c r="J813" s="14" t="s">
        <v>23</v>
      </c>
      <c r="K813" s="14"/>
      <c r="L813" s="14"/>
      <c r="M813" s="14" t="s">
        <v>689</v>
      </c>
      <c r="N813" s="14" t="s">
        <v>25</v>
      </c>
      <c r="O813" s="14"/>
      <c r="P813" s="14"/>
      <c r="Q813" s="14"/>
      <c r="R813" s="14" t="s">
        <v>1242</v>
      </c>
    </row>
    <row r="814" spans="1:1027" ht="15" customHeight="1">
      <c r="A814" s="12">
        <v>1075</v>
      </c>
      <c r="B814" s="13" t="s">
        <v>1348</v>
      </c>
      <c r="C814" s="14"/>
      <c r="D814" s="14" t="s">
        <v>1346</v>
      </c>
      <c r="E814" s="14" t="s">
        <v>580</v>
      </c>
      <c r="F814" s="15" t="s">
        <v>22</v>
      </c>
      <c r="G814" s="21"/>
      <c r="H814" s="58"/>
      <c r="I814" s="14"/>
      <c r="J814" s="14" t="s">
        <v>23</v>
      </c>
      <c r="K814" s="14"/>
      <c r="L814" s="14"/>
      <c r="M814" s="14" t="s">
        <v>29</v>
      </c>
      <c r="N814" s="14" t="s">
        <v>25</v>
      </c>
      <c r="O814" s="14"/>
      <c r="P814" s="14"/>
      <c r="Q814" s="14"/>
      <c r="R814" s="14" t="s">
        <v>851</v>
      </c>
    </row>
    <row r="815" spans="1:1027" ht="15" customHeight="1">
      <c r="A815" s="12">
        <v>1870</v>
      </c>
      <c r="B815" s="13" t="s">
        <v>1349</v>
      </c>
      <c r="C815" s="14"/>
      <c r="D815" s="14" t="s">
        <v>1346</v>
      </c>
      <c r="E815" s="14" t="s">
        <v>580</v>
      </c>
      <c r="F815" s="15" t="s">
        <v>22</v>
      </c>
      <c r="G815" s="14"/>
      <c r="H815" s="58">
        <v>0</v>
      </c>
      <c r="I815" s="14"/>
      <c r="J815" s="14" t="s">
        <v>23</v>
      </c>
      <c r="K815" s="14"/>
      <c r="L815" s="14"/>
      <c r="M815" s="14" t="s">
        <v>32</v>
      </c>
      <c r="N815" s="22" t="s">
        <v>25</v>
      </c>
      <c r="O815" s="14"/>
      <c r="P815" s="14"/>
      <c r="Q815" s="14"/>
      <c r="R815" s="14" t="s">
        <v>1113</v>
      </c>
    </row>
    <row r="816" spans="1:1027" ht="15" customHeight="1">
      <c r="A816" s="12">
        <v>307</v>
      </c>
      <c r="B816" s="13" t="s">
        <v>1350</v>
      </c>
      <c r="C816" s="14"/>
      <c r="D816" s="14" t="s">
        <v>1351</v>
      </c>
      <c r="E816" s="14" t="s">
        <v>44</v>
      </c>
      <c r="F816" s="15" t="s">
        <v>22</v>
      </c>
      <c r="G816" s="14"/>
      <c r="H816" s="58"/>
      <c r="I816" s="14"/>
      <c r="J816" s="14" t="s">
        <v>23</v>
      </c>
      <c r="K816" s="14"/>
      <c r="L816" s="14"/>
      <c r="M816" s="14" t="s">
        <v>689</v>
      </c>
      <c r="N816" s="25" t="s">
        <v>37</v>
      </c>
      <c r="O816" s="14" t="s">
        <v>45</v>
      </c>
      <c r="P816" s="14"/>
      <c r="Q816" s="14"/>
      <c r="R816" s="14" t="s">
        <v>1242</v>
      </c>
    </row>
    <row r="817" spans="1:18" ht="15" customHeight="1">
      <c r="A817" s="12">
        <v>1076</v>
      </c>
      <c r="B817" s="13" t="s">
        <v>1352</v>
      </c>
      <c r="C817" s="14"/>
      <c r="D817" s="14" t="s">
        <v>1351</v>
      </c>
      <c r="E817" s="14" t="s">
        <v>44</v>
      </c>
      <c r="F817" s="15" t="s">
        <v>22</v>
      </c>
      <c r="G817" s="21"/>
      <c r="H817" s="58">
        <v>3</v>
      </c>
      <c r="I817" s="14"/>
      <c r="J817" s="14" t="s">
        <v>23</v>
      </c>
      <c r="K817" s="14"/>
      <c r="L817" s="14"/>
      <c r="M817" s="14" t="s">
        <v>29</v>
      </c>
      <c r="N817" s="25" t="s">
        <v>37</v>
      </c>
      <c r="O817" s="14" t="s">
        <v>1353</v>
      </c>
      <c r="P817" s="14"/>
      <c r="Q817" s="14"/>
      <c r="R817" s="14" t="s">
        <v>851</v>
      </c>
    </row>
    <row r="818" spans="1:18" ht="15" customHeight="1">
      <c r="A818" s="12">
        <v>1871</v>
      </c>
      <c r="B818" s="13" t="s">
        <v>1354</v>
      </c>
      <c r="C818" s="14"/>
      <c r="D818" s="14" t="s">
        <v>1351</v>
      </c>
      <c r="E818" s="14" t="s">
        <v>44</v>
      </c>
      <c r="F818" s="15" t="s">
        <v>22</v>
      </c>
      <c r="G818" s="14"/>
      <c r="H818" s="58">
        <v>4</v>
      </c>
      <c r="I818" s="14"/>
      <c r="J818" s="14" t="s">
        <v>23</v>
      </c>
      <c r="K818" s="14"/>
      <c r="L818" s="14"/>
      <c r="M818" s="14" t="s">
        <v>32</v>
      </c>
      <c r="N818" s="25" t="s">
        <v>37</v>
      </c>
      <c r="O818" s="14" t="s">
        <v>1355</v>
      </c>
      <c r="P818" s="14"/>
      <c r="Q818" s="14"/>
      <c r="R818" s="14" t="s">
        <v>1113</v>
      </c>
    </row>
    <row r="819" spans="1:18" ht="15" customHeight="1">
      <c r="A819" s="12">
        <v>308</v>
      </c>
      <c r="B819" s="13" t="s">
        <v>1356</v>
      </c>
      <c r="C819" s="14"/>
      <c r="D819" s="14" t="s">
        <v>1357</v>
      </c>
      <c r="E819" s="14" t="s">
        <v>36</v>
      </c>
      <c r="F819" s="15" t="s">
        <v>22</v>
      </c>
      <c r="G819" s="14"/>
      <c r="H819" s="58"/>
      <c r="I819" s="14"/>
      <c r="J819" s="14" t="s">
        <v>23</v>
      </c>
      <c r="K819" s="14"/>
      <c r="L819" s="14"/>
      <c r="M819" s="14" t="s">
        <v>689</v>
      </c>
      <c r="N819" s="25" t="s">
        <v>37</v>
      </c>
      <c r="O819" s="14" t="s">
        <v>45</v>
      </c>
      <c r="P819" s="14"/>
      <c r="Q819" s="14"/>
      <c r="R819" s="14" t="s">
        <v>1242</v>
      </c>
    </row>
    <row r="820" spans="1:18" ht="15" customHeight="1">
      <c r="A820" s="12">
        <v>1077</v>
      </c>
      <c r="B820" s="13" t="s">
        <v>1358</v>
      </c>
      <c r="C820" s="14"/>
      <c r="D820" s="14" t="s">
        <v>1357</v>
      </c>
      <c r="E820" s="14" t="s">
        <v>36</v>
      </c>
      <c r="F820" s="15" t="s">
        <v>22</v>
      </c>
      <c r="G820" s="21"/>
      <c r="H820" s="58"/>
      <c r="I820" s="14"/>
      <c r="J820" s="14" t="s">
        <v>23</v>
      </c>
      <c r="K820" s="14"/>
      <c r="L820" s="14"/>
      <c r="M820" s="14" t="s">
        <v>29</v>
      </c>
      <c r="N820" s="25" t="s">
        <v>37</v>
      </c>
      <c r="O820" s="14" t="s">
        <v>1359</v>
      </c>
      <c r="P820" s="14"/>
      <c r="Q820" s="14"/>
      <c r="R820" s="14" t="s">
        <v>851</v>
      </c>
    </row>
    <row r="821" spans="1:18" ht="15" customHeight="1">
      <c r="A821" s="12">
        <v>1872</v>
      </c>
      <c r="B821" s="13" t="s">
        <v>1360</v>
      </c>
      <c r="C821" s="14"/>
      <c r="D821" s="14" t="s">
        <v>1357</v>
      </c>
      <c r="E821" s="14" t="s">
        <v>36</v>
      </c>
      <c r="F821" s="15" t="s">
        <v>22</v>
      </c>
      <c r="G821" s="14"/>
      <c r="H821" s="58">
        <v>2</v>
      </c>
      <c r="I821" s="14"/>
      <c r="J821" s="14" t="s">
        <v>23</v>
      </c>
      <c r="K821" s="14"/>
      <c r="L821" s="14"/>
      <c r="M821" s="14" t="s">
        <v>32</v>
      </c>
      <c r="N821" s="25" t="s">
        <v>37</v>
      </c>
      <c r="O821" s="14" t="s">
        <v>1361</v>
      </c>
      <c r="P821" s="14"/>
      <c r="Q821" s="14"/>
      <c r="R821" s="14" t="s">
        <v>1113</v>
      </c>
    </row>
    <row r="822" spans="1:18" ht="15" customHeight="1">
      <c r="A822" s="12">
        <v>309</v>
      </c>
      <c r="B822" s="13" t="s">
        <v>1362</v>
      </c>
      <c r="C822" s="14"/>
      <c r="D822" s="14" t="s">
        <v>1363</v>
      </c>
      <c r="E822" s="14" t="s">
        <v>215</v>
      </c>
      <c r="F822" s="15" t="s">
        <v>22</v>
      </c>
      <c r="G822" s="14"/>
      <c r="H822" s="58"/>
      <c r="I822" s="14"/>
      <c r="J822" s="14" t="s">
        <v>23</v>
      </c>
      <c r="K822" s="14"/>
      <c r="L822" s="14"/>
      <c r="M822" s="14" t="s">
        <v>689</v>
      </c>
      <c r="N822" s="14" t="s">
        <v>25</v>
      </c>
      <c r="O822" s="14"/>
      <c r="P822" s="14"/>
      <c r="Q822" s="14"/>
      <c r="R822" s="14" t="s">
        <v>1242</v>
      </c>
    </row>
    <row r="823" spans="1:18" ht="15" customHeight="1">
      <c r="A823" s="12">
        <v>1078</v>
      </c>
      <c r="B823" s="13" t="s">
        <v>1364</v>
      </c>
      <c r="C823" s="14"/>
      <c r="D823" s="14" t="s">
        <v>1363</v>
      </c>
      <c r="E823" s="14" t="s">
        <v>215</v>
      </c>
      <c r="F823" s="15" t="s">
        <v>22</v>
      </c>
      <c r="G823" s="21"/>
      <c r="H823" s="58"/>
      <c r="I823" s="14"/>
      <c r="J823" s="14" t="s">
        <v>23</v>
      </c>
      <c r="K823" s="14"/>
      <c r="L823" s="14"/>
      <c r="M823" s="14" t="s">
        <v>29</v>
      </c>
      <c r="N823" s="14" t="s">
        <v>25</v>
      </c>
      <c r="O823" s="14"/>
      <c r="P823" s="14"/>
      <c r="Q823" s="14"/>
      <c r="R823" s="14" t="s">
        <v>851</v>
      </c>
    </row>
    <row r="824" spans="1:18" ht="15" customHeight="1">
      <c r="A824" s="12">
        <v>1873</v>
      </c>
      <c r="B824" s="13" t="s">
        <v>1365</v>
      </c>
      <c r="C824" s="14"/>
      <c r="D824" s="14" t="s">
        <v>1363</v>
      </c>
      <c r="E824" s="14" t="s">
        <v>215</v>
      </c>
      <c r="F824" s="15" t="s">
        <v>22</v>
      </c>
      <c r="G824" s="14"/>
      <c r="H824" s="58">
        <v>0</v>
      </c>
      <c r="I824" s="14"/>
      <c r="J824" s="14" t="s">
        <v>23</v>
      </c>
      <c r="K824" s="14"/>
      <c r="L824" s="14"/>
      <c r="M824" s="14" t="s">
        <v>32</v>
      </c>
      <c r="N824" s="22" t="s">
        <v>25</v>
      </c>
      <c r="O824" s="14"/>
      <c r="P824" s="14"/>
      <c r="Q824" s="14"/>
      <c r="R824" s="14" t="s">
        <v>1113</v>
      </c>
    </row>
    <row r="825" spans="1:18" ht="15" customHeight="1">
      <c r="A825" s="12">
        <v>310</v>
      </c>
      <c r="B825" s="13" t="s">
        <v>1366</v>
      </c>
      <c r="C825" s="14"/>
      <c r="D825" s="14" t="s">
        <v>1367</v>
      </c>
      <c r="E825" s="14" t="s">
        <v>137</v>
      </c>
      <c r="F825" s="15" t="s">
        <v>22</v>
      </c>
      <c r="G825" s="14"/>
      <c r="H825" s="58"/>
      <c r="I825" s="14"/>
      <c r="J825" s="14" t="s">
        <v>23</v>
      </c>
      <c r="K825" s="14"/>
      <c r="L825" s="14"/>
      <c r="M825" s="14" t="s">
        <v>689</v>
      </c>
      <c r="N825" s="25" t="s">
        <v>37</v>
      </c>
      <c r="O825" s="14" t="s">
        <v>179</v>
      </c>
      <c r="P825" s="14"/>
      <c r="Q825" s="14"/>
      <c r="R825" s="14" t="s">
        <v>1242</v>
      </c>
    </row>
    <row r="826" spans="1:18" ht="15" customHeight="1">
      <c r="A826" s="12">
        <v>1079</v>
      </c>
      <c r="B826" s="13" t="s">
        <v>1368</v>
      </c>
      <c r="C826" s="14"/>
      <c r="D826" s="14" t="s">
        <v>1367</v>
      </c>
      <c r="E826" s="14" t="s">
        <v>137</v>
      </c>
      <c r="F826" s="15" t="s">
        <v>22</v>
      </c>
      <c r="G826" s="21"/>
      <c r="H826" s="58">
        <v>3</v>
      </c>
      <c r="I826" s="14"/>
      <c r="J826" s="14" t="s">
        <v>23</v>
      </c>
      <c r="K826" s="14"/>
      <c r="L826" s="14"/>
      <c r="M826" s="14" t="s">
        <v>29</v>
      </c>
      <c r="N826" s="25" t="s">
        <v>37</v>
      </c>
      <c r="O826" s="14" t="s">
        <v>1369</v>
      </c>
      <c r="P826" s="14"/>
      <c r="Q826" s="14"/>
      <c r="R826" s="14" t="s">
        <v>851</v>
      </c>
    </row>
    <row r="827" spans="1:18" ht="15" customHeight="1">
      <c r="A827" s="12">
        <v>1874</v>
      </c>
      <c r="B827" s="13" t="s">
        <v>1370</v>
      </c>
      <c r="C827" s="14"/>
      <c r="D827" s="14" t="s">
        <v>1367</v>
      </c>
      <c r="E827" s="14" t="s">
        <v>137</v>
      </c>
      <c r="F827" s="15" t="s">
        <v>22</v>
      </c>
      <c r="G827" s="14"/>
      <c r="H827" s="58">
        <v>3</v>
      </c>
      <c r="I827" s="14"/>
      <c r="J827" s="14" t="s">
        <v>23</v>
      </c>
      <c r="K827" s="14"/>
      <c r="L827" s="14"/>
      <c r="M827" s="14" t="s">
        <v>32</v>
      </c>
      <c r="N827" s="22" t="s">
        <v>25</v>
      </c>
      <c r="O827" s="14"/>
      <c r="P827" s="14"/>
      <c r="Q827" s="14"/>
      <c r="R827" s="14" t="s">
        <v>1113</v>
      </c>
    </row>
    <row r="828" spans="1:18" ht="15" customHeight="1">
      <c r="A828" s="12">
        <v>311</v>
      </c>
      <c r="B828" s="13" t="s">
        <v>1371</v>
      </c>
      <c r="C828" s="14"/>
      <c r="D828" s="14" t="s">
        <v>1372</v>
      </c>
      <c r="E828" s="14" t="s">
        <v>36</v>
      </c>
      <c r="F828" s="15" t="s">
        <v>22</v>
      </c>
      <c r="G828" s="14"/>
      <c r="H828" s="58"/>
      <c r="I828" s="14"/>
      <c r="J828" s="14" t="s">
        <v>23</v>
      </c>
      <c r="K828" s="14"/>
      <c r="L828" s="14"/>
      <c r="M828" s="14" t="s">
        <v>689</v>
      </c>
      <c r="N828" s="14" t="s">
        <v>25</v>
      </c>
      <c r="O828" s="14"/>
      <c r="P828" s="14"/>
      <c r="Q828" s="14"/>
      <c r="R828" s="14" t="s">
        <v>1242</v>
      </c>
    </row>
    <row r="829" spans="1:18" ht="15" customHeight="1">
      <c r="A829" s="12">
        <v>1080</v>
      </c>
      <c r="B829" s="13" t="s">
        <v>1373</v>
      </c>
      <c r="C829" s="14"/>
      <c r="D829" s="14" t="s">
        <v>1372</v>
      </c>
      <c r="E829" s="14" t="s">
        <v>36</v>
      </c>
      <c r="F829" s="15" t="s">
        <v>22</v>
      </c>
      <c r="G829" s="21"/>
      <c r="H829" s="58">
        <v>2</v>
      </c>
      <c r="I829" s="14"/>
      <c r="J829" s="14" t="s">
        <v>23</v>
      </c>
      <c r="K829" s="14"/>
      <c r="L829" s="14"/>
      <c r="M829" s="14" t="s">
        <v>29</v>
      </c>
      <c r="N829" s="14" t="s">
        <v>25</v>
      </c>
      <c r="O829" s="14"/>
      <c r="P829" s="14"/>
      <c r="Q829" s="14"/>
      <c r="R829" s="14" t="s">
        <v>851</v>
      </c>
    </row>
    <row r="830" spans="1:18" ht="15" customHeight="1">
      <c r="A830" s="12">
        <v>1875</v>
      </c>
      <c r="B830" s="13" t="s">
        <v>1374</v>
      </c>
      <c r="C830" s="14"/>
      <c r="D830" s="14" t="s">
        <v>1372</v>
      </c>
      <c r="E830" s="14" t="s">
        <v>36</v>
      </c>
      <c r="F830" s="15" t="s">
        <v>22</v>
      </c>
      <c r="G830" s="14"/>
      <c r="H830" s="58">
        <v>1</v>
      </c>
      <c r="I830" s="14"/>
      <c r="J830" s="14" t="s">
        <v>23</v>
      </c>
      <c r="K830" s="14"/>
      <c r="L830" s="14"/>
      <c r="M830" s="14" t="s">
        <v>32</v>
      </c>
      <c r="N830" s="22" t="s">
        <v>25</v>
      </c>
      <c r="O830" s="14"/>
      <c r="P830" s="14"/>
      <c r="Q830" s="14"/>
      <c r="R830" s="14" t="s">
        <v>1113</v>
      </c>
    </row>
    <row r="831" spans="1:18" ht="15" customHeight="1">
      <c r="A831" s="12">
        <v>312</v>
      </c>
      <c r="B831" s="13" t="s">
        <v>1375</v>
      </c>
      <c r="C831" s="14"/>
      <c r="D831" s="14" t="s">
        <v>1376</v>
      </c>
      <c r="E831" s="14" t="s">
        <v>36</v>
      </c>
      <c r="F831" s="15" t="s">
        <v>22</v>
      </c>
      <c r="G831" s="14"/>
      <c r="H831" s="58"/>
      <c r="I831" s="14"/>
      <c r="J831" s="14" t="s">
        <v>23</v>
      </c>
      <c r="K831" s="14"/>
      <c r="L831" s="14"/>
      <c r="M831" s="14" t="s">
        <v>689</v>
      </c>
      <c r="N831" s="14" t="s">
        <v>25</v>
      </c>
      <c r="O831" s="14"/>
      <c r="P831" s="14"/>
      <c r="Q831" s="14"/>
      <c r="R831" s="14" t="s">
        <v>1242</v>
      </c>
    </row>
    <row r="832" spans="1:18" ht="15" customHeight="1">
      <c r="A832" s="12">
        <v>1081</v>
      </c>
      <c r="B832" s="13" t="s">
        <v>1377</v>
      </c>
      <c r="C832" s="14"/>
      <c r="D832" s="14" t="s">
        <v>1376</v>
      </c>
      <c r="E832" s="14" t="s">
        <v>36</v>
      </c>
      <c r="F832" s="15" t="s">
        <v>22</v>
      </c>
      <c r="G832" s="21"/>
      <c r="H832" s="58"/>
      <c r="I832" s="14"/>
      <c r="J832" s="14" t="s">
        <v>23</v>
      </c>
      <c r="K832" s="14"/>
      <c r="L832" s="14"/>
      <c r="M832" s="14" t="s">
        <v>29</v>
      </c>
      <c r="N832" s="14" t="s">
        <v>25</v>
      </c>
      <c r="O832" s="14"/>
      <c r="P832" s="14"/>
      <c r="Q832" s="14"/>
      <c r="R832" s="14" t="s">
        <v>851</v>
      </c>
    </row>
    <row r="833" spans="1:18" ht="15" customHeight="1">
      <c r="A833" s="12">
        <v>1876</v>
      </c>
      <c r="B833" s="13" t="s">
        <v>1378</v>
      </c>
      <c r="C833" s="14"/>
      <c r="D833" s="14" t="s">
        <v>1376</v>
      </c>
      <c r="E833" s="14" t="s">
        <v>36</v>
      </c>
      <c r="F833" s="15" t="s">
        <v>22</v>
      </c>
      <c r="G833" s="14"/>
      <c r="H833" s="58">
        <v>1</v>
      </c>
      <c r="I833" s="14"/>
      <c r="J833" s="14" t="s">
        <v>23</v>
      </c>
      <c r="K833" s="14"/>
      <c r="L833" s="14"/>
      <c r="M833" s="14" t="s">
        <v>32</v>
      </c>
      <c r="N833" s="22" t="s">
        <v>25</v>
      </c>
      <c r="O833" s="14"/>
      <c r="P833" s="14"/>
      <c r="Q833" s="14"/>
      <c r="R833" s="14" t="s">
        <v>1113</v>
      </c>
    </row>
    <row r="834" spans="1:18" ht="15" customHeight="1">
      <c r="A834" s="12">
        <v>313</v>
      </c>
      <c r="B834" s="13" t="s">
        <v>1379</v>
      </c>
      <c r="C834" s="14"/>
      <c r="D834" s="14" t="s">
        <v>1380</v>
      </c>
      <c r="E834" s="14" t="s">
        <v>44</v>
      </c>
      <c r="F834" s="15" t="s">
        <v>22</v>
      </c>
      <c r="G834" s="14"/>
      <c r="H834" s="58"/>
      <c r="I834" s="14"/>
      <c r="J834" s="14" t="s">
        <v>23</v>
      </c>
      <c r="K834" s="14"/>
      <c r="L834" s="14"/>
      <c r="M834" s="14" t="s">
        <v>689</v>
      </c>
      <c r="N834" s="14" t="s">
        <v>25</v>
      </c>
      <c r="O834" s="14"/>
      <c r="P834" s="14"/>
      <c r="Q834" s="14"/>
      <c r="R834" s="14" t="s">
        <v>1242</v>
      </c>
    </row>
    <row r="835" spans="1:18" ht="15" customHeight="1">
      <c r="A835" s="12">
        <v>1082</v>
      </c>
      <c r="B835" s="13" t="s">
        <v>1381</v>
      </c>
      <c r="C835" s="14"/>
      <c r="D835" s="14" t="s">
        <v>1380</v>
      </c>
      <c r="E835" s="14" t="s">
        <v>44</v>
      </c>
      <c r="F835" s="15" t="s">
        <v>22</v>
      </c>
      <c r="G835" s="21"/>
      <c r="H835" s="58"/>
      <c r="I835" s="14"/>
      <c r="J835" s="14" t="s">
        <v>23</v>
      </c>
      <c r="K835" s="14"/>
      <c r="L835" s="14"/>
      <c r="M835" s="14" t="s">
        <v>29</v>
      </c>
      <c r="N835" s="14" t="s">
        <v>25</v>
      </c>
      <c r="O835" s="14"/>
      <c r="P835" s="14"/>
      <c r="Q835" s="14"/>
      <c r="R835" s="14" t="s">
        <v>851</v>
      </c>
    </row>
    <row r="836" spans="1:18" ht="15" customHeight="1">
      <c r="A836" s="12">
        <v>1877</v>
      </c>
      <c r="B836" s="13" t="s">
        <v>1382</v>
      </c>
      <c r="C836" s="14"/>
      <c r="D836" s="14" t="s">
        <v>1380</v>
      </c>
      <c r="E836" s="14" t="s">
        <v>44</v>
      </c>
      <c r="F836" s="15" t="s">
        <v>22</v>
      </c>
      <c r="G836" s="14"/>
      <c r="H836" s="58">
        <v>1</v>
      </c>
      <c r="I836" s="14"/>
      <c r="J836" s="14" t="s">
        <v>23</v>
      </c>
      <c r="K836" s="14"/>
      <c r="L836" s="14"/>
      <c r="M836" s="14" t="s">
        <v>32</v>
      </c>
      <c r="N836" s="22" t="s">
        <v>25</v>
      </c>
      <c r="O836" s="14"/>
      <c r="P836" s="14"/>
      <c r="Q836" s="14"/>
      <c r="R836" s="14" t="s">
        <v>1113</v>
      </c>
    </row>
    <row r="837" spans="1:18" ht="15" customHeight="1">
      <c r="A837" s="12">
        <v>314</v>
      </c>
      <c r="B837" s="13" t="s">
        <v>1383</v>
      </c>
      <c r="C837" s="14"/>
      <c r="D837" s="14" t="s">
        <v>1384</v>
      </c>
      <c r="E837" s="14" t="s">
        <v>21</v>
      </c>
      <c r="F837" s="15" t="s">
        <v>22</v>
      </c>
      <c r="G837" s="14"/>
      <c r="H837" s="58"/>
      <c r="I837" s="14"/>
      <c r="J837" s="14" t="s">
        <v>23</v>
      </c>
      <c r="K837" s="14"/>
      <c r="L837" s="14"/>
      <c r="M837" s="14" t="s">
        <v>689</v>
      </c>
      <c r="N837" s="14" t="s">
        <v>25</v>
      </c>
      <c r="O837" s="14"/>
      <c r="P837" s="14"/>
      <c r="Q837" s="14"/>
      <c r="R837" s="14" t="s">
        <v>1242</v>
      </c>
    </row>
    <row r="838" spans="1:18" ht="15" customHeight="1">
      <c r="A838" s="12">
        <v>1083</v>
      </c>
      <c r="B838" s="13" t="s">
        <v>1385</v>
      </c>
      <c r="C838" s="14"/>
      <c r="D838" s="14" t="s">
        <v>1384</v>
      </c>
      <c r="E838" s="14" t="s">
        <v>21</v>
      </c>
      <c r="F838" s="15" t="s">
        <v>22</v>
      </c>
      <c r="G838" s="21"/>
      <c r="H838" s="58">
        <v>1</v>
      </c>
      <c r="I838" s="14"/>
      <c r="J838" s="14" t="s">
        <v>23</v>
      </c>
      <c r="K838" s="14"/>
      <c r="L838" s="14"/>
      <c r="M838" s="14" t="s">
        <v>29</v>
      </c>
      <c r="N838" s="14" t="s">
        <v>25</v>
      </c>
      <c r="O838" s="14"/>
      <c r="P838" s="14"/>
      <c r="Q838" s="14"/>
      <c r="R838" s="14" t="s">
        <v>851</v>
      </c>
    </row>
    <row r="839" spans="1:18" ht="15" customHeight="1">
      <c r="A839" s="12">
        <v>1878</v>
      </c>
      <c r="B839" s="13" t="s">
        <v>1386</v>
      </c>
      <c r="C839" s="14"/>
      <c r="D839" s="14" t="s">
        <v>1384</v>
      </c>
      <c r="E839" s="14" t="s">
        <v>21</v>
      </c>
      <c r="F839" s="15" t="s">
        <v>22</v>
      </c>
      <c r="G839" s="14"/>
      <c r="H839" s="58">
        <v>0</v>
      </c>
      <c r="I839" s="14"/>
      <c r="J839" s="14" t="s">
        <v>23</v>
      </c>
      <c r="K839" s="14"/>
      <c r="L839" s="14"/>
      <c r="M839" s="14" t="s">
        <v>32</v>
      </c>
      <c r="N839" s="22" t="s">
        <v>25</v>
      </c>
      <c r="O839" s="14"/>
      <c r="P839" s="14"/>
      <c r="Q839" s="14"/>
      <c r="R839" s="14" t="s">
        <v>1113</v>
      </c>
    </row>
    <row r="840" spans="1:18" ht="15" customHeight="1">
      <c r="A840" s="12">
        <v>315</v>
      </c>
      <c r="B840" s="27" t="s">
        <v>1387</v>
      </c>
      <c r="C840" s="14"/>
      <c r="D840" s="14" t="s">
        <v>1388</v>
      </c>
      <c r="E840" s="14" t="s">
        <v>92</v>
      </c>
      <c r="F840" s="15" t="s">
        <v>22</v>
      </c>
      <c r="G840" s="14"/>
      <c r="H840" s="58"/>
      <c r="I840" s="14"/>
      <c r="J840" s="14" t="s">
        <v>23</v>
      </c>
      <c r="K840" s="14"/>
      <c r="L840" s="14"/>
      <c r="M840" s="14" t="s">
        <v>689</v>
      </c>
      <c r="N840" s="14" t="s">
        <v>25</v>
      </c>
      <c r="O840" s="14"/>
      <c r="P840" s="14"/>
      <c r="Q840" s="14"/>
      <c r="R840" s="14" t="s">
        <v>1242</v>
      </c>
    </row>
    <row r="841" spans="1:18" ht="15" customHeight="1">
      <c r="A841" s="12">
        <v>1084</v>
      </c>
      <c r="B841" s="13" t="s">
        <v>1389</v>
      </c>
      <c r="C841" s="14"/>
      <c r="D841" s="14" t="s">
        <v>1388</v>
      </c>
      <c r="E841" s="14" t="s">
        <v>92</v>
      </c>
      <c r="F841" s="15" t="s">
        <v>22</v>
      </c>
      <c r="G841" s="21"/>
      <c r="H841" s="58">
        <v>1</v>
      </c>
      <c r="I841" s="14"/>
      <c r="J841" s="14" t="s">
        <v>23</v>
      </c>
      <c r="K841" s="14"/>
      <c r="L841" s="14"/>
      <c r="M841" s="14" t="s">
        <v>29</v>
      </c>
      <c r="N841" s="25" t="s">
        <v>37</v>
      </c>
      <c r="O841" s="14" t="s">
        <v>1390</v>
      </c>
      <c r="P841" s="14"/>
      <c r="Q841" s="14"/>
      <c r="R841" s="14" t="s">
        <v>851</v>
      </c>
    </row>
    <row r="842" spans="1:18" ht="15" customHeight="1">
      <c r="A842" s="12">
        <v>1879</v>
      </c>
      <c r="B842" s="13" t="s">
        <v>1391</v>
      </c>
      <c r="C842" s="14"/>
      <c r="D842" s="14" t="s">
        <v>1388</v>
      </c>
      <c r="E842" s="14" t="s">
        <v>92</v>
      </c>
      <c r="F842" s="15" t="s">
        <v>22</v>
      </c>
      <c r="G842" s="14"/>
      <c r="H842" s="58">
        <v>3</v>
      </c>
      <c r="I842" s="14"/>
      <c r="J842" s="14" t="s">
        <v>23</v>
      </c>
      <c r="K842" s="14"/>
      <c r="L842" s="14"/>
      <c r="M842" s="14" t="s">
        <v>32</v>
      </c>
      <c r="N842" s="22" t="s">
        <v>25</v>
      </c>
      <c r="O842" s="14"/>
      <c r="P842" s="14"/>
      <c r="Q842" s="14"/>
      <c r="R842" s="14" t="s">
        <v>1113</v>
      </c>
    </row>
    <row r="843" spans="1:18" ht="15" customHeight="1">
      <c r="A843" s="12">
        <v>316</v>
      </c>
      <c r="B843" s="13" t="s">
        <v>1392</v>
      </c>
      <c r="C843" s="14"/>
      <c r="D843" s="14" t="s">
        <v>1393</v>
      </c>
      <c r="E843" s="14" t="s">
        <v>21</v>
      </c>
      <c r="F843" s="15" t="s">
        <v>22</v>
      </c>
      <c r="G843" s="14"/>
      <c r="H843" s="58"/>
      <c r="I843" s="14"/>
      <c r="J843" s="14" t="s">
        <v>23</v>
      </c>
      <c r="K843" s="14"/>
      <c r="L843" s="14"/>
      <c r="M843" s="14" t="s">
        <v>689</v>
      </c>
      <c r="N843" s="14" t="s">
        <v>25</v>
      </c>
      <c r="O843" s="14"/>
      <c r="P843" s="14"/>
      <c r="Q843" s="14"/>
      <c r="R843" s="14" t="s">
        <v>1242</v>
      </c>
    </row>
    <row r="844" spans="1:18" ht="15" customHeight="1">
      <c r="A844" s="12">
        <v>1085</v>
      </c>
      <c r="B844" s="13" t="s">
        <v>1394</v>
      </c>
      <c r="C844" s="14"/>
      <c r="D844" s="14" t="s">
        <v>1393</v>
      </c>
      <c r="E844" s="14" t="s">
        <v>21</v>
      </c>
      <c r="F844" s="15" t="s">
        <v>22</v>
      </c>
      <c r="G844" s="21"/>
      <c r="H844" s="58"/>
      <c r="I844" s="14"/>
      <c r="J844" s="14" t="s">
        <v>23</v>
      </c>
      <c r="K844" s="14"/>
      <c r="L844" s="14"/>
      <c r="M844" s="14" t="s">
        <v>29</v>
      </c>
      <c r="N844" s="14" t="s">
        <v>25</v>
      </c>
      <c r="O844" s="14"/>
      <c r="P844" s="14"/>
      <c r="Q844" s="14"/>
      <c r="R844" s="14" t="s">
        <v>851</v>
      </c>
    </row>
    <row r="845" spans="1:18" ht="15" customHeight="1">
      <c r="A845" s="12">
        <v>1880</v>
      </c>
      <c r="B845" s="13" t="s">
        <v>1395</v>
      </c>
      <c r="C845" s="14"/>
      <c r="D845" s="14" t="s">
        <v>1393</v>
      </c>
      <c r="E845" s="14" t="s">
        <v>21</v>
      </c>
      <c r="F845" s="15" t="s">
        <v>22</v>
      </c>
      <c r="G845" s="14"/>
      <c r="H845" s="58">
        <v>0</v>
      </c>
      <c r="I845" s="14"/>
      <c r="J845" s="14" t="s">
        <v>23</v>
      </c>
      <c r="K845" s="14"/>
      <c r="L845" s="14"/>
      <c r="M845" s="14" t="s">
        <v>32</v>
      </c>
      <c r="N845" s="22" t="s">
        <v>25</v>
      </c>
      <c r="O845" s="14"/>
      <c r="P845" s="14"/>
      <c r="Q845" s="14"/>
      <c r="R845" s="14" t="s">
        <v>1113</v>
      </c>
    </row>
    <row r="846" spans="1:18" ht="15" customHeight="1">
      <c r="A846" s="12">
        <v>317</v>
      </c>
      <c r="B846" s="13" t="s">
        <v>1396</v>
      </c>
      <c r="C846" s="14"/>
      <c r="D846" s="14" t="s">
        <v>1397</v>
      </c>
      <c r="E846" s="14"/>
      <c r="F846" s="15" t="s">
        <v>22</v>
      </c>
      <c r="G846" s="14"/>
      <c r="H846" s="58"/>
      <c r="I846" s="14"/>
      <c r="J846" s="14" t="s">
        <v>23</v>
      </c>
      <c r="K846" s="14"/>
      <c r="L846" s="14"/>
      <c r="M846" s="14" t="s">
        <v>689</v>
      </c>
      <c r="N846" s="14" t="s">
        <v>25</v>
      </c>
      <c r="O846" s="14"/>
      <c r="P846" s="14"/>
      <c r="Q846" s="14"/>
      <c r="R846" s="14" t="s">
        <v>1242</v>
      </c>
    </row>
    <row r="847" spans="1:18" ht="15" customHeight="1">
      <c r="A847" s="12">
        <v>1086</v>
      </c>
      <c r="B847" s="13" t="s">
        <v>1398</v>
      </c>
      <c r="C847" s="14"/>
      <c r="D847" s="14" t="s">
        <v>1397</v>
      </c>
      <c r="E847" s="14"/>
      <c r="F847" s="15" t="s">
        <v>22</v>
      </c>
      <c r="G847" s="21"/>
      <c r="H847" s="58"/>
      <c r="I847" s="14"/>
      <c r="J847" s="14" t="s">
        <v>23</v>
      </c>
      <c r="K847" s="14"/>
      <c r="L847" s="14"/>
      <c r="M847" s="14" t="s">
        <v>29</v>
      </c>
      <c r="N847" s="14" t="s">
        <v>25</v>
      </c>
      <c r="O847" s="14"/>
      <c r="P847" s="14"/>
      <c r="Q847" s="14"/>
      <c r="R847" s="14" t="s">
        <v>851</v>
      </c>
    </row>
    <row r="848" spans="1:18" ht="15" customHeight="1">
      <c r="A848" s="12">
        <v>318</v>
      </c>
      <c r="B848" s="13" t="s">
        <v>1399</v>
      </c>
      <c r="C848" s="14"/>
      <c r="D848" s="14" t="s">
        <v>1400</v>
      </c>
      <c r="E848" s="14" t="s">
        <v>21</v>
      </c>
      <c r="F848" s="15" t="s">
        <v>22</v>
      </c>
      <c r="G848" s="14"/>
      <c r="H848" s="58"/>
      <c r="I848" s="14"/>
      <c r="J848" s="14" t="s">
        <v>23</v>
      </c>
      <c r="K848" s="14"/>
      <c r="L848" s="14"/>
      <c r="M848" s="14" t="s">
        <v>689</v>
      </c>
      <c r="N848" s="14" t="s">
        <v>25</v>
      </c>
      <c r="O848" s="14"/>
      <c r="P848" s="14"/>
      <c r="Q848" s="14"/>
      <c r="R848" s="14" t="s">
        <v>1242</v>
      </c>
    </row>
    <row r="849" spans="1:18" ht="15" customHeight="1">
      <c r="A849" s="12">
        <v>1087</v>
      </c>
      <c r="B849" s="13" t="s">
        <v>1401</v>
      </c>
      <c r="C849" s="14"/>
      <c r="D849" s="14" t="s">
        <v>1400</v>
      </c>
      <c r="E849" s="14" t="s">
        <v>21</v>
      </c>
      <c r="F849" s="15" t="s">
        <v>22</v>
      </c>
      <c r="G849" s="21"/>
      <c r="H849" s="58"/>
      <c r="I849" s="14"/>
      <c r="J849" s="14" t="s">
        <v>23</v>
      </c>
      <c r="K849" s="14"/>
      <c r="L849" s="14"/>
      <c r="M849" s="14" t="s">
        <v>29</v>
      </c>
      <c r="N849" s="14" t="s">
        <v>25</v>
      </c>
      <c r="O849" s="14"/>
      <c r="P849" s="14"/>
      <c r="Q849" s="14"/>
      <c r="R849" s="14" t="s">
        <v>851</v>
      </c>
    </row>
    <row r="850" spans="1:18" ht="15" customHeight="1">
      <c r="A850" s="12">
        <v>1881</v>
      </c>
      <c r="B850" s="13" t="s">
        <v>1402</v>
      </c>
      <c r="C850" s="14"/>
      <c r="D850" s="14" t="s">
        <v>1400</v>
      </c>
      <c r="E850" s="14" t="s">
        <v>21</v>
      </c>
      <c r="F850" s="15" t="s">
        <v>22</v>
      </c>
      <c r="G850" s="14"/>
      <c r="H850" s="58">
        <v>0</v>
      </c>
      <c r="I850" s="14"/>
      <c r="J850" s="14" t="s">
        <v>23</v>
      </c>
      <c r="K850" s="14"/>
      <c r="L850" s="14"/>
      <c r="M850" s="14" t="s">
        <v>32</v>
      </c>
      <c r="N850" s="22" t="s">
        <v>25</v>
      </c>
      <c r="O850" s="14"/>
      <c r="P850" s="14"/>
      <c r="Q850" s="14"/>
      <c r="R850" s="14" t="s">
        <v>1113</v>
      </c>
    </row>
    <row r="851" spans="1:18" ht="15" customHeight="1">
      <c r="A851" s="12">
        <v>319</v>
      </c>
      <c r="B851" s="13" t="s">
        <v>1403</v>
      </c>
      <c r="C851" s="14"/>
      <c r="D851" s="14" t="s">
        <v>1404</v>
      </c>
      <c r="E851" s="14" t="s">
        <v>36</v>
      </c>
      <c r="F851" s="15" t="s">
        <v>22</v>
      </c>
      <c r="G851" s="14"/>
      <c r="H851" s="58"/>
      <c r="I851" s="14"/>
      <c r="J851" s="14" t="s">
        <v>23</v>
      </c>
      <c r="K851" s="14"/>
      <c r="L851" s="14"/>
      <c r="M851" s="14" t="s">
        <v>689</v>
      </c>
      <c r="N851" s="14" t="s">
        <v>25</v>
      </c>
      <c r="O851" s="14"/>
      <c r="P851" s="14"/>
      <c r="Q851" s="14"/>
      <c r="R851" s="14" t="s">
        <v>1242</v>
      </c>
    </row>
    <row r="852" spans="1:18" ht="15" customHeight="1">
      <c r="A852" s="12">
        <v>1088</v>
      </c>
      <c r="B852" s="13" t="s">
        <v>1405</v>
      </c>
      <c r="C852" s="14"/>
      <c r="D852" s="14" t="s">
        <v>1404</v>
      </c>
      <c r="E852" s="14" t="s">
        <v>36</v>
      </c>
      <c r="F852" s="15" t="s">
        <v>22</v>
      </c>
      <c r="G852" s="21"/>
      <c r="H852" s="58"/>
      <c r="I852" s="14"/>
      <c r="J852" s="14" t="s">
        <v>23</v>
      </c>
      <c r="K852" s="14"/>
      <c r="L852" s="14"/>
      <c r="M852" s="14" t="s">
        <v>29</v>
      </c>
      <c r="N852" s="14" t="s">
        <v>25</v>
      </c>
      <c r="O852" s="14"/>
      <c r="P852" s="14"/>
      <c r="Q852" s="14"/>
      <c r="R852" s="14" t="s">
        <v>851</v>
      </c>
    </row>
    <row r="853" spans="1:18" ht="15" customHeight="1">
      <c r="A853" s="12">
        <v>1882</v>
      </c>
      <c r="B853" s="13" t="s">
        <v>1406</v>
      </c>
      <c r="C853" s="14"/>
      <c r="D853" s="14" t="s">
        <v>1404</v>
      </c>
      <c r="E853" s="14" t="s">
        <v>36</v>
      </c>
      <c r="F853" s="15" t="s">
        <v>22</v>
      </c>
      <c r="G853" s="14"/>
      <c r="H853" s="58">
        <v>0</v>
      </c>
      <c r="I853" s="14"/>
      <c r="J853" s="14" t="s">
        <v>23</v>
      </c>
      <c r="K853" s="14"/>
      <c r="L853" s="14"/>
      <c r="M853" s="14" t="s">
        <v>32</v>
      </c>
      <c r="N853" s="22" t="s">
        <v>25</v>
      </c>
      <c r="O853" s="14"/>
      <c r="P853" s="14"/>
      <c r="Q853" s="14"/>
      <c r="R853" s="14" t="s">
        <v>1113</v>
      </c>
    </row>
    <row r="854" spans="1:18" ht="15" customHeight="1">
      <c r="A854" s="12">
        <v>320</v>
      </c>
      <c r="B854" s="13" t="s">
        <v>1407</v>
      </c>
      <c r="C854" s="14"/>
      <c r="D854" s="14" t="s">
        <v>1408</v>
      </c>
      <c r="E854" s="14" t="s">
        <v>21</v>
      </c>
      <c r="F854" s="15" t="s">
        <v>22</v>
      </c>
      <c r="G854" s="14"/>
      <c r="H854" s="58"/>
      <c r="I854" s="14"/>
      <c r="J854" s="14" t="s">
        <v>23</v>
      </c>
      <c r="K854" s="14"/>
      <c r="L854" s="14"/>
      <c r="M854" s="14" t="s">
        <v>689</v>
      </c>
      <c r="N854" s="14" t="s">
        <v>25</v>
      </c>
      <c r="O854" s="14"/>
      <c r="P854" s="14"/>
      <c r="Q854" s="14"/>
      <c r="R854" s="14" t="s">
        <v>1242</v>
      </c>
    </row>
    <row r="855" spans="1:18" ht="15" customHeight="1">
      <c r="A855" s="12">
        <v>1089</v>
      </c>
      <c r="B855" s="13" t="s">
        <v>1409</v>
      </c>
      <c r="C855" s="14"/>
      <c r="D855" s="14" t="s">
        <v>1408</v>
      </c>
      <c r="E855" s="14" t="s">
        <v>21</v>
      </c>
      <c r="F855" s="15" t="s">
        <v>22</v>
      </c>
      <c r="G855" s="21"/>
      <c r="H855" s="58"/>
      <c r="I855" s="14"/>
      <c r="J855" s="14" t="s">
        <v>23</v>
      </c>
      <c r="K855" s="14"/>
      <c r="L855" s="14"/>
      <c r="M855" s="14" t="s">
        <v>29</v>
      </c>
      <c r="N855" s="14" t="s">
        <v>25</v>
      </c>
      <c r="O855" s="14"/>
      <c r="P855" s="14"/>
      <c r="Q855" s="14"/>
      <c r="R855" s="14" t="s">
        <v>851</v>
      </c>
    </row>
    <row r="856" spans="1:18" ht="15" customHeight="1">
      <c r="A856" s="12">
        <v>1883</v>
      </c>
      <c r="B856" s="13" t="s">
        <v>1410</v>
      </c>
      <c r="C856" s="14"/>
      <c r="D856" s="14" t="s">
        <v>1408</v>
      </c>
      <c r="E856" s="14" t="s">
        <v>21</v>
      </c>
      <c r="F856" s="15" t="s">
        <v>22</v>
      </c>
      <c r="G856" s="14"/>
      <c r="H856" s="58">
        <v>0</v>
      </c>
      <c r="I856" s="14"/>
      <c r="J856" s="14" t="s">
        <v>23</v>
      </c>
      <c r="K856" s="14"/>
      <c r="L856" s="14"/>
      <c r="M856" s="14" t="s">
        <v>32</v>
      </c>
      <c r="N856" s="22" t="s">
        <v>25</v>
      </c>
      <c r="O856" s="14"/>
      <c r="P856" s="14"/>
      <c r="Q856" s="14"/>
      <c r="R856" s="14" t="s">
        <v>1113</v>
      </c>
    </row>
    <row r="857" spans="1:18" ht="15" customHeight="1">
      <c r="A857" s="12">
        <v>321</v>
      </c>
      <c r="B857" s="13" t="s">
        <v>1411</v>
      </c>
      <c r="C857" s="14"/>
      <c r="D857" s="14" t="s">
        <v>1412</v>
      </c>
      <c r="E857" s="14" t="s">
        <v>21</v>
      </c>
      <c r="F857" s="15" t="s">
        <v>22</v>
      </c>
      <c r="G857" s="14"/>
      <c r="H857" s="58"/>
      <c r="I857" s="14"/>
      <c r="J857" s="14" t="s">
        <v>23</v>
      </c>
      <c r="K857" s="14"/>
      <c r="L857" s="14"/>
      <c r="M857" s="14" t="s">
        <v>689</v>
      </c>
      <c r="N857" s="14" t="s">
        <v>25</v>
      </c>
      <c r="O857" s="14"/>
      <c r="P857" s="14"/>
      <c r="Q857" s="14"/>
      <c r="R857" s="14" t="s">
        <v>1242</v>
      </c>
    </row>
    <row r="858" spans="1:18" ht="15" customHeight="1">
      <c r="A858" s="12">
        <v>1090</v>
      </c>
      <c r="B858" s="13" t="s">
        <v>1413</v>
      </c>
      <c r="C858" s="14"/>
      <c r="D858" s="14" t="s">
        <v>1412</v>
      </c>
      <c r="E858" s="14" t="s">
        <v>21</v>
      </c>
      <c r="F858" s="15" t="s">
        <v>22</v>
      </c>
      <c r="G858" s="21"/>
      <c r="H858" s="58"/>
      <c r="I858" s="14"/>
      <c r="J858" s="14" t="s">
        <v>23</v>
      </c>
      <c r="K858" s="14"/>
      <c r="L858" s="14"/>
      <c r="M858" s="14" t="s">
        <v>29</v>
      </c>
      <c r="N858" s="14" t="s">
        <v>25</v>
      </c>
      <c r="O858" s="14"/>
      <c r="P858" s="14"/>
      <c r="Q858" s="14"/>
      <c r="R858" s="14" t="s">
        <v>851</v>
      </c>
    </row>
    <row r="859" spans="1:18" ht="15" customHeight="1">
      <c r="A859" s="12">
        <v>1884</v>
      </c>
      <c r="B859" s="13" t="s">
        <v>1414</v>
      </c>
      <c r="C859" s="14"/>
      <c r="D859" s="14" t="s">
        <v>1412</v>
      </c>
      <c r="E859" s="14" t="s">
        <v>21</v>
      </c>
      <c r="F859" s="15" t="s">
        <v>22</v>
      </c>
      <c r="G859" s="14"/>
      <c r="H859" s="58">
        <v>0</v>
      </c>
      <c r="I859" s="14"/>
      <c r="J859" s="14" t="s">
        <v>23</v>
      </c>
      <c r="K859" s="14"/>
      <c r="L859" s="14"/>
      <c r="M859" s="14" t="s">
        <v>32</v>
      </c>
      <c r="N859" s="22" t="s">
        <v>25</v>
      </c>
      <c r="O859" s="14"/>
      <c r="P859" s="14"/>
      <c r="Q859" s="14"/>
      <c r="R859" s="14" t="s">
        <v>1113</v>
      </c>
    </row>
    <row r="860" spans="1:18" ht="15" customHeight="1">
      <c r="A860" s="12">
        <v>322</v>
      </c>
      <c r="B860" s="13" t="s">
        <v>1415</v>
      </c>
      <c r="C860" s="14"/>
      <c r="D860" s="14" t="s">
        <v>1416</v>
      </c>
      <c r="E860" s="14" t="s">
        <v>21</v>
      </c>
      <c r="F860" s="15" t="s">
        <v>22</v>
      </c>
      <c r="G860" s="14"/>
      <c r="H860" s="58"/>
      <c r="I860" s="14"/>
      <c r="J860" s="14" t="s">
        <v>23</v>
      </c>
      <c r="K860" s="14"/>
      <c r="L860" s="14"/>
      <c r="M860" s="14" t="s">
        <v>689</v>
      </c>
      <c r="N860" s="14" t="s">
        <v>25</v>
      </c>
      <c r="O860" s="14"/>
      <c r="P860" s="14"/>
      <c r="Q860" s="14"/>
      <c r="R860" s="14" t="s">
        <v>1242</v>
      </c>
    </row>
    <row r="861" spans="1:18" ht="15" customHeight="1">
      <c r="A861" s="12">
        <v>1091</v>
      </c>
      <c r="B861" s="13" t="s">
        <v>1417</v>
      </c>
      <c r="C861" s="14"/>
      <c r="D861" s="14" t="s">
        <v>1416</v>
      </c>
      <c r="E861" s="14" t="s">
        <v>21</v>
      </c>
      <c r="F861" s="15" t="s">
        <v>22</v>
      </c>
      <c r="G861" s="21"/>
      <c r="H861" s="58"/>
      <c r="I861" s="14"/>
      <c r="J861" s="14" t="s">
        <v>23</v>
      </c>
      <c r="K861" s="14"/>
      <c r="L861" s="14"/>
      <c r="M861" s="14" t="s">
        <v>29</v>
      </c>
      <c r="N861" s="14" t="s">
        <v>25</v>
      </c>
      <c r="O861" s="14"/>
      <c r="P861" s="14"/>
      <c r="Q861" s="14"/>
      <c r="R861" s="14" t="s">
        <v>851</v>
      </c>
    </row>
    <row r="862" spans="1:18" ht="15" customHeight="1">
      <c r="A862" s="12">
        <v>1885</v>
      </c>
      <c r="B862" s="13" t="s">
        <v>1418</v>
      </c>
      <c r="C862" s="14"/>
      <c r="D862" s="14" t="s">
        <v>1416</v>
      </c>
      <c r="E862" s="14" t="s">
        <v>21</v>
      </c>
      <c r="F862" s="15" t="s">
        <v>22</v>
      </c>
      <c r="G862" s="14"/>
      <c r="H862" s="58">
        <v>0</v>
      </c>
      <c r="I862" s="14"/>
      <c r="J862" s="14" t="s">
        <v>23</v>
      </c>
      <c r="K862" s="14"/>
      <c r="L862" s="14"/>
      <c r="M862" s="14" t="s">
        <v>32</v>
      </c>
      <c r="N862" s="22" t="s">
        <v>25</v>
      </c>
      <c r="O862" s="14"/>
      <c r="P862" s="14"/>
      <c r="Q862" s="14"/>
      <c r="R862" s="14" t="s">
        <v>1113</v>
      </c>
    </row>
    <row r="863" spans="1:18" ht="15" customHeight="1">
      <c r="A863" s="12">
        <v>323</v>
      </c>
      <c r="B863" s="13" t="s">
        <v>1419</v>
      </c>
      <c r="C863" s="14"/>
      <c r="D863" s="14" t="s">
        <v>1420</v>
      </c>
      <c r="E863" s="14" t="s">
        <v>21</v>
      </c>
      <c r="F863" s="15" t="s">
        <v>22</v>
      </c>
      <c r="G863" s="14"/>
      <c r="H863" s="58"/>
      <c r="I863" s="14"/>
      <c r="J863" s="14" t="s">
        <v>23</v>
      </c>
      <c r="K863" s="14"/>
      <c r="L863" s="14"/>
      <c r="M863" s="14" t="s">
        <v>689</v>
      </c>
      <c r="N863" s="14" t="s">
        <v>25</v>
      </c>
      <c r="O863" s="14"/>
      <c r="P863" s="14"/>
      <c r="Q863" s="14"/>
      <c r="R863" s="14" t="s">
        <v>1242</v>
      </c>
    </row>
    <row r="864" spans="1:18" ht="15" customHeight="1">
      <c r="A864" s="12">
        <v>1092</v>
      </c>
      <c r="B864" s="13" t="s">
        <v>1421</v>
      </c>
      <c r="C864" s="14"/>
      <c r="D864" s="14" t="s">
        <v>1420</v>
      </c>
      <c r="E864" s="14" t="s">
        <v>21</v>
      </c>
      <c r="F864" s="15" t="s">
        <v>22</v>
      </c>
      <c r="G864" s="21"/>
      <c r="H864" s="58"/>
      <c r="I864" s="14"/>
      <c r="J864" s="14" t="s">
        <v>23</v>
      </c>
      <c r="K864" s="14"/>
      <c r="L864" s="14"/>
      <c r="M864" s="14" t="s">
        <v>29</v>
      </c>
      <c r="N864" s="14" t="s">
        <v>25</v>
      </c>
      <c r="O864" s="14"/>
      <c r="P864" s="14"/>
      <c r="Q864" s="14"/>
      <c r="R864" s="14" t="s">
        <v>851</v>
      </c>
    </row>
    <row r="865" spans="1:18" ht="15" customHeight="1">
      <c r="A865" s="12">
        <v>1886</v>
      </c>
      <c r="B865" s="13" t="s">
        <v>1422</v>
      </c>
      <c r="C865" s="14"/>
      <c r="D865" s="14" t="s">
        <v>1420</v>
      </c>
      <c r="E865" s="14" t="s">
        <v>21</v>
      </c>
      <c r="F865" s="15" t="s">
        <v>22</v>
      </c>
      <c r="G865" s="14"/>
      <c r="H865" s="58">
        <v>0</v>
      </c>
      <c r="I865" s="14"/>
      <c r="J865" s="14" t="s">
        <v>23</v>
      </c>
      <c r="K865" s="14"/>
      <c r="L865" s="14"/>
      <c r="M865" s="14" t="s">
        <v>32</v>
      </c>
      <c r="N865" s="22" t="s">
        <v>25</v>
      </c>
      <c r="O865" s="14"/>
      <c r="P865" s="14"/>
      <c r="Q865" s="14"/>
      <c r="R865" s="14" t="s">
        <v>1113</v>
      </c>
    </row>
    <row r="866" spans="1:18" ht="15" customHeight="1">
      <c r="A866" s="12">
        <v>324</v>
      </c>
      <c r="B866" s="13" t="s">
        <v>1423</v>
      </c>
      <c r="C866" s="14"/>
      <c r="D866" s="14" t="s">
        <v>1424</v>
      </c>
      <c r="E866" s="14" t="s">
        <v>21</v>
      </c>
      <c r="F866" s="15" t="s">
        <v>22</v>
      </c>
      <c r="G866" s="14"/>
      <c r="H866" s="58"/>
      <c r="I866" s="14"/>
      <c r="J866" s="14" t="s">
        <v>23</v>
      </c>
      <c r="K866" s="14"/>
      <c r="L866" s="14"/>
      <c r="M866" s="14" t="s">
        <v>689</v>
      </c>
      <c r="N866" s="14" t="s">
        <v>25</v>
      </c>
      <c r="O866" s="14"/>
      <c r="P866" s="14"/>
      <c r="Q866" s="14"/>
      <c r="R866" s="14" t="s">
        <v>1242</v>
      </c>
    </row>
    <row r="867" spans="1:18" ht="15" customHeight="1">
      <c r="A867" s="12">
        <v>1093</v>
      </c>
      <c r="B867" s="13" t="s">
        <v>1425</v>
      </c>
      <c r="C867" s="14"/>
      <c r="D867" s="14" t="s">
        <v>1424</v>
      </c>
      <c r="E867" s="14" t="s">
        <v>21</v>
      </c>
      <c r="F867" s="15" t="s">
        <v>22</v>
      </c>
      <c r="G867" s="21"/>
      <c r="H867" s="58"/>
      <c r="I867" s="14"/>
      <c r="J867" s="14" t="s">
        <v>23</v>
      </c>
      <c r="K867" s="14"/>
      <c r="L867" s="14"/>
      <c r="M867" s="14" t="s">
        <v>29</v>
      </c>
      <c r="N867" s="14" t="s">
        <v>25</v>
      </c>
      <c r="O867" s="14"/>
      <c r="P867" s="14"/>
      <c r="Q867" s="14"/>
      <c r="R867" s="14" t="s">
        <v>851</v>
      </c>
    </row>
    <row r="868" spans="1:18" ht="15" customHeight="1">
      <c r="A868" s="12">
        <v>1887</v>
      </c>
      <c r="B868" s="13" t="s">
        <v>1426</v>
      </c>
      <c r="C868" s="14"/>
      <c r="D868" s="14" t="s">
        <v>1424</v>
      </c>
      <c r="E868" s="14" t="s">
        <v>21</v>
      </c>
      <c r="F868" s="15" t="s">
        <v>22</v>
      </c>
      <c r="G868" s="14"/>
      <c r="H868" s="58">
        <v>0</v>
      </c>
      <c r="I868" s="14"/>
      <c r="J868" s="14" t="s">
        <v>23</v>
      </c>
      <c r="K868" s="14"/>
      <c r="L868" s="14"/>
      <c r="M868" s="14" t="s">
        <v>32</v>
      </c>
      <c r="N868" s="22" t="s">
        <v>25</v>
      </c>
      <c r="O868" s="14"/>
      <c r="P868" s="14"/>
      <c r="Q868" s="14"/>
      <c r="R868" s="14" t="s">
        <v>1113</v>
      </c>
    </row>
    <row r="869" spans="1:18" ht="15" customHeight="1">
      <c r="A869" s="12">
        <v>325</v>
      </c>
      <c r="B869" s="13" t="s">
        <v>1427</v>
      </c>
      <c r="C869" s="14"/>
      <c r="D869" s="14" t="s">
        <v>1428</v>
      </c>
      <c r="E869" s="14" t="s">
        <v>21</v>
      </c>
      <c r="F869" s="15" t="s">
        <v>22</v>
      </c>
      <c r="G869" s="14"/>
      <c r="H869" s="58"/>
      <c r="I869" s="14"/>
      <c r="J869" s="14" t="s">
        <v>23</v>
      </c>
      <c r="K869" s="14"/>
      <c r="L869" s="14"/>
      <c r="M869" s="14" t="s">
        <v>689</v>
      </c>
      <c r="N869" s="14" t="s">
        <v>25</v>
      </c>
      <c r="O869" s="14"/>
      <c r="P869" s="14"/>
      <c r="Q869" s="14"/>
      <c r="R869" s="14" t="s">
        <v>1242</v>
      </c>
    </row>
    <row r="870" spans="1:18" ht="15" customHeight="1">
      <c r="A870" s="12">
        <v>1094</v>
      </c>
      <c r="B870" s="13" t="s">
        <v>1429</v>
      </c>
      <c r="C870" s="14"/>
      <c r="D870" s="14" t="s">
        <v>1428</v>
      </c>
      <c r="E870" s="14" t="s">
        <v>21</v>
      </c>
      <c r="F870" s="15" t="s">
        <v>22</v>
      </c>
      <c r="G870" s="21"/>
      <c r="H870" s="58"/>
      <c r="I870" s="14"/>
      <c r="J870" s="14" t="s">
        <v>23</v>
      </c>
      <c r="K870" s="14"/>
      <c r="L870" s="14"/>
      <c r="M870" s="14" t="s">
        <v>29</v>
      </c>
      <c r="N870" s="14" t="s">
        <v>25</v>
      </c>
      <c r="O870" s="14"/>
      <c r="P870" s="14"/>
      <c r="Q870" s="14"/>
      <c r="R870" s="14" t="s">
        <v>851</v>
      </c>
    </row>
    <row r="871" spans="1:18" ht="15" customHeight="1">
      <c r="A871" s="12">
        <v>1888</v>
      </c>
      <c r="B871" s="13" t="s">
        <v>1430</v>
      </c>
      <c r="C871" s="14"/>
      <c r="D871" s="14" t="s">
        <v>1428</v>
      </c>
      <c r="E871" s="14" t="s">
        <v>21</v>
      </c>
      <c r="F871" s="15" t="s">
        <v>22</v>
      </c>
      <c r="G871" s="14"/>
      <c r="H871" s="58">
        <v>0</v>
      </c>
      <c r="I871" s="14"/>
      <c r="J871" s="14" t="s">
        <v>23</v>
      </c>
      <c r="K871" s="14"/>
      <c r="L871" s="14"/>
      <c r="M871" s="14" t="s">
        <v>32</v>
      </c>
      <c r="N871" s="22" t="s">
        <v>25</v>
      </c>
      <c r="O871" s="14"/>
      <c r="P871" s="14"/>
      <c r="Q871" s="14"/>
      <c r="R871" s="14" t="s">
        <v>1113</v>
      </c>
    </row>
    <row r="872" spans="1:18" ht="15" customHeight="1">
      <c r="A872" s="12">
        <v>326</v>
      </c>
      <c r="B872" s="13" t="s">
        <v>1431</v>
      </c>
      <c r="C872" s="14"/>
      <c r="D872" s="14" t="s">
        <v>1432</v>
      </c>
      <c r="E872" s="14" t="s">
        <v>21</v>
      </c>
      <c r="F872" s="15" t="s">
        <v>22</v>
      </c>
      <c r="G872" s="14"/>
      <c r="H872" s="58"/>
      <c r="I872" s="14"/>
      <c r="J872" s="14" t="s">
        <v>23</v>
      </c>
      <c r="K872" s="14"/>
      <c r="L872" s="14"/>
      <c r="M872" s="14" t="s">
        <v>689</v>
      </c>
      <c r="N872" s="14" t="s">
        <v>25</v>
      </c>
      <c r="O872" s="14"/>
      <c r="P872" s="14"/>
      <c r="Q872" s="14"/>
      <c r="R872" s="14" t="s">
        <v>1242</v>
      </c>
    </row>
    <row r="873" spans="1:18" ht="15" customHeight="1">
      <c r="A873" s="12">
        <v>1095</v>
      </c>
      <c r="B873" s="13" t="s">
        <v>1433</v>
      </c>
      <c r="C873" s="14"/>
      <c r="D873" s="14" t="s">
        <v>1432</v>
      </c>
      <c r="E873" s="14" t="s">
        <v>21</v>
      </c>
      <c r="F873" s="15" t="s">
        <v>22</v>
      </c>
      <c r="G873" s="21"/>
      <c r="H873" s="58"/>
      <c r="I873" s="14"/>
      <c r="J873" s="14" t="s">
        <v>23</v>
      </c>
      <c r="K873" s="14"/>
      <c r="L873" s="14"/>
      <c r="M873" s="14" t="s">
        <v>29</v>
      </c>
      <c r="N873" s="14" t="s">
        <v>25</v>
      </c>
      <c r="O873" s="14"/>
      <c r="P873" s="14"/>
      <c r="Q873" s="14"/>
      <c r="R873" s="14" t="s">
        <v>851</v>
      </c>
    </row>
    <row r="874" spans="1:18" ht="15" customHeight="1">
      <c r="A874" s="12">
        <v>1889</v>
      </c>
      <c r="B874" s="13" t="s">
        <v>1434</v>
      </c>
      <c r="C874" s="14"/>
      <c r="D874" s="14" t="s">
        <v>1432</v>
      </c>
      <c r="E874" s="14" t="s">
        <v>21</v>
      </c>
      <c r="F874" s="15" t="s">
        <v>22</v>
      </c>
      <c r="G874" s="14"/>
      <c r="H874" s="58">
        <v>2</v>
      </c>
      <c r="I874" s="14"/>
      <c r="J874" s="14" t="s">
        <v>23</v>
      </c>
      <c r="K874" s="14"/>
      <c r="L874" s="14"/>
      <c r="M874" s="14" t="s">
        <v>32</v>
      </c>
      <c r="N874" s="22" t="s">
        <v>25</v>
      </c>
      <c r="O874" s="14"/>
      <c r="P874" s="14"/>
      <c r="Q874" s="14"/>
      <c r="R874" s="14" t="s">
        <v>1113</v>
      </c>
    </row>
    <row r="875" spans="1:18" ht="15" customHeight="1">
      <c r="A875" s="12">
        <v>327</v>
      </c>
      <c r="B875" s="13" t="s">
        <v>1435</v>
      </c>
      <c r="C875" s="14"/>
      <c r="D875" s="14" t="s">
        <v>1436</v>
      </c>
      <c r="E875" s="14" t="s">
        <v>36</v>
      </c>
      <c r="F875" s="15" t="s">
        <v>22</v>
      </c>
      <c r="G875" s="14"/>
      <c r="H875" s="58"/>
      <c r="I875" s="14"/>
      <c r="J875" s="14" t="s">
        <v>23</v>
      </c>
      <c r="K875" s="14"/>
      <c r="L875" s="14"/>
      <c r="M875" s="14" t="s">
        <v>689</v>
      </c>
      <c r="N875" s="14" t="s">
        <v>25</v>
      </c>
      <c r="O875" s="14"/>
      <c r="P875" s="14"/>
      <c r="Q875" s="14"/>
      <c r="R875" s="14" t="s">
        <v>1242</v>
      </c>
    </row>
    <row r="876" spans="1:18" ht="15" customHeight="1">
      <c r="A876" s="12">
        <v>1096</v>
      </c>
      <c r="B876" s="13" t="s">
        <v>1437</v>
      </c>
      <c r="C876" s="14"/>
      <c r="D876" s="14" t="s">
        <v>1436</v>
      </c>
      <c r="E876" s="14" t="s">
        <v>36</v>
      </c>
      <c r="F876" s="15" t="s">
        <v>22</v>
      </c>
      <c r="G876" s="21"/>
      <c r="H876" s="58">
        <v>1</v>
      </c>
      <c r="I876" s="14"/>
      <c r="J876" s="14" t="s">
        <v>23</v>
      </c>
      <c r="K876" s="14"/>
      <c r="L876" s="14"/>
      <c r="M876" s="14" t="s">
        <v>29</v>
      </c>
      <c r="N876" s="25" t="s">
        <v>37</v>
      </c>
      <c r="O876" s="14" t="s">
        <v>1438</v>
      </c>
      <c r="P876" s="14"/>
      <c r="Q876" s="14"/>
      <c r="R876" s="14" t="s">
        <v>851</v>
      </c>
    </row>
    <row r="877" spans="1:18" ht="15" customHeight="1">
      <c r="A877" s="12">
        <v>1890</v>
      </c>
      <c r="B877" s="13" t="s">
        <v>1439</v>
      </c>
      <c r="C877" s="14"/>
      <c r="D877" s="14" t="s">
        <v>1436</v>
      </c>
      <c r="E877" s="14" t="s">
        <v>36</v>
      </c>
      <c r="F877" s="15" t="s">
        <v>22</v>
      </c>
      <c r="G877" s="14"/>
      <c r="H877" s="58">
        <v>2</v>
      </c>
      <c r="I877" s="14"/>
      <c r="J877" s="14" t="s">
        <v>23</v>
      </c>
      <c r="K877" s="14"/>
      <c r="L877" s="14"/>
      <c r="M877" s="14" t="s">
        <v>32</v>
      </c>
      <c r="N877" s="25" t="s">
        <v>37</v>
      </c>
      <c r="O877" s="14" t="s">
        <v>1440</v>
      </c>
      <c r="P877" s="14"/>
      <c r="Q877" s="14"/>
      <c r="R877" s="14" t="s">
        <v>1113</v>
      </c>
    </row>
    <row r="878" spans="1:18" ht="15" customHeight="1">
      <c r="A878" s="12">
        <v>328</v>
      </c>
      <c r="B878" s="13" t="s">
        <v>1441</v>
      </c>
      <c r="C878" s="14"/>
      <c r="D878" s="14" t="s">
        <v>1442</v>
      </c>
      <c r="E878" s="14" t="s">
        <v>92</v>
      </c>
      <c r="F878" s="15" t="s">
        <v>22</v>
      </c>
      <c r="G878" s="14"/>
      <c r="H878" s="58"/>
      <c r="I878" s="14"/>
      <c r="J878" s="14" t="s">
        <v>23</v>
      </c>
      <c r="K878" s="14"/>
      <c r="L878" s="14"/>
      <c r="M878" s="14" t="s">
        <v>689</v>
      </c>
      <c r="N878" s="14" t="s">
        <v>25</v>
      </c>
      <c r="O878" s="14"/>
      <c r="P878" s="14"/>
      <c r="Q878" s="14"/>
      <c r="R878" s="14" t="s">
        <v>1242</v>
      </c>
    </row>
    <row r="879" spans="1:18" ht="15" customHeight="1">
      <c r="A879" s="12">
        <v>1097</v>
      </c>
      <c r="B879" s="13" t="s">
        <v>1443</v>
      </c>
      <c r="C879" s="14"/>
      <c r="D879" s="14" t="s">
        <v>1442</v>
      </c>
      <c r="E879" s="14" t="s">
        <v>92</v>
      </c>
      <c r="F879" s="15" t="s">
        <v>22</v>
      </c>
      <c r="G879" s="21"/>
      <c r="H879" s="58"/>
      <c r="I879" s="14"/>
      <c r="J879" s="14" t="s">
        <v>23</v>
      </c>
      <c r="K879" s="14"/>
      <c r="L879" s="14"/>
      <c r="M879" s="14" t="s">
        <v>29</v>
      </c>
      <c r="N879" s="25" t="s">
        <v>289</v>
      </c>
      <c r="O879" s="14" t="s">
        <v>189</v>
      </c>
      <c r="P879" s="14"/>
      <c r="Q879" s="14"/>
      <c r="R879" s="14" t="s">
        <v>851</v>
      </c>
    </row>
    <row r="880" spans="1:18" ht="15" customHeight="1">
      <c r="A880" s="12">
        <v>1891</v>
      </c>
      <c r="B880" s="13" t="s">
        <v>1444</v>
      </c>
      <c r="C880" s="14"/>
      <c r="D880" s="14" t="s">
        <v>1442</v>
      </c>
      <c r="E880" s="14" t="s">
        <v>92</v>
      </c>
      <c r="F880" s="15" t="s">
        <v>22</v>
      </c>
      <c r="G880" s="14"/>
      <c r="H880" s="58">
        <v>0</v>
      </c>
      <c r="I880" s="14"/>
      <c r="J880" s="14" t="s">
        <v>23</v>
      </c>
      <c r="K880" s="14"/>
      <c r="L880" s="14"/>
      <c r="M880" s="14" t="s">
        <v>32</v>
      </c>
      <c r="N880" s="22" t="s">
        <v>25</v>
      </c>
      <c r="O880" s="14"/>
      <c r="P880" s="14"/>
      <c r="Q880" s="14"/>
      <c r="R880" s="14" t="s">
        <v>1113</v>
      </c>
    </row>
    <row r="881" spans="1:18" ht="15" customHeight="1">
      <c r="A881" s="12">
        <v>329</v>
      </c>
      <c r="B881" s="13" t="s">
        <v>1445</v>
      </c>
      <c r="C881" s="14"/>
      <c r="D881" s="14" t="s">
        <v>1446</v>
      </c>
      <c r="E881" s="14"/>
      <c r="F881" s="15" t="s">
        <v>22</v>
      </c>
      <c r="G881" s="14"/>
      <c r="H881" s="58"/>
      <c r="I881" s="14"/>
      <c r="J881" s="14" t="s">
        <v>23</v>
      </c>
      <c r="K881" s="14"/>
      <c r="L881" s="14"/>
      <c r="M881" s="14" t="s">
        <v>689</v>
      </c>
      <c r="N881" s="14" t="s">
        <v>25</v>
      </c>
      <c r="O881" s="14"/>
      <c r="P881" s="14"/>
      <c r="Q881" s="14"/>
      <c r="R881" s="14" t="s">
        <v>1242</v>
      </c>
    </row>
    <row r="882" spans="1:18" ht="15" customHeight="1">
      <c r="A882" s="12">
        <v>1098</v>
      </c>
      <c r="B882" s="13" t="s">
        <v>1447</v>
      </c>
      <c r="C882" s="14"/>
      <c r="D882" s="14" t="s">
        <v>1446</v>
      </c>
      <c r="E882" s="14"/>
      <c r="F882" s="15" t="s">
        <v>22</v>
      </c>
      <c r="G882" s="21"/>
      <c r="H882" s="58"/>
      <c r="I882" s="14"/>
      <c r="J882" s="14" t="s">
        <v>23</v>
      </c>
      <c r="K882" s="14"/>
      <c r="L882" s="14"/>
      <c r="M882" s="14" t="s">
        <v>29</v>
      </c>
      <c r="N882" s="25" t="s">
        <v>37</v>
      </c>
      <c r="O882" s="14" t="s">
        <v>1448</v>
      </c>
      <c r="P882" s="14"/>
      <c r="Q882" s="14"/>
      <c r="R882" s="14" t="s">
        <v>1449</v>
      </c>
    </row>
    <row r="883" spans="1:18" ht="15" customHeight="1">
      <c r="A883" s="12">
        <v>1892</v>
      </c>
      <c r="B883" s="13" t="s">
        <v>1450</v>
      </c>
      <c r="C883" s="14"/>
      <c r="D883" s="14" t="s">
        <v>1446</v>
      </c>
      <c r="E883" s="14" t="s">
        <v>172</v>
      </c>
      <c r="F883" s="15" t="s">
        <v>22</v>
      </c>
      <c r="G883" s="14"/>
      <c r="H883" s="58">
        <v>2</v>
      </c>
      <c r="I883" s="14"/>
      <c r="J883" s="14" t="s">
        <v>23</v>
      </c>
      <c r="K883" s="14"/>
      <c r="L883" s="14"/>
      <c r="M883" s="14" t="s">
        <v>32</v>
      </c>
      <c r="N883" s="25" t="s">
        <v>37</v>
      </c>
      <c r="O883" s="14" t="s">
        <v>1451</v>
      </c>
      <c r="P883" s="14"/>
      <c r="Q883" s="14"/>
      <c r="R883" s="14" t="s">
        <v>1113</v>
      </c>
    </row>
    <row r="884" spans="1:18" ht="15" customHeight="1">
      <c r="A884" s="12">
        <v>330</v>
      </c>
      <c r="B884" s="13" t="s">
        <v>1452</v>
      </c>
      <c r="C884" s="14"/>
      <c r="D884" s="14" t="s">
        <v>1453</v>
      </c>
      <c r="E884" s="14" t="s">
        <v>44</v>
      </c>
      <c r="F884" s="15" t="s">
        <v>22</v>
      </c>
      <c r="G884" s="14"/>
      <c r="H884" s="58"/>
      <c r="I884" s="14"/>
      <c r="J884" s="14" t="s">
        <v>23</v>
      </c>
      <c r="K884" s="14"/>
      <c r="L884" s="14"/>
      <c r="M884" s="14" t="s">
        <v>689</v>
      </c>
      <c r="N884" s="14" t="s">
        <v>25</v>
      </c>
      <c r="O884" s="14"/>
      <c r="P884" s="14"/>
      <c r="Q884" s="14"/>
      <c r="R884" s="14" t="s">
        <v>1242</v>
      </c>
    </row>
    <row r="885" spans="1:18" ht="15" customHeight="1">
      <c r="A885" s="12">
        <v>1099</v>
      </c>
      <c r="B885" s="13" t="s">
        <v>1454</v>
      </c>
      <c r="C885" s="14"/>
      <c r="D885" s="14" t="s">
        <v>1453</v>
      </c>
      <c r="E885" s="14" t="s">
        <v>44</v>
      </c>
      <c r="F885" s="15" t="s">
        <v>22</v>
      </c>
      <c r="G885" s="21"/>
      <c r="H885" s="58"/>
      <c r="I885" s="14"/>
      <c r="J885" s="14" t="s">
        <v>23</v>
      </c>
      <c r="K885" s="14"/>
      <c r="L885" s="14"/>
      <c r="M885" s="14" t="s">
        <v>29</v>
      </c>
      <c r="N885" s="14" t="s">
        <v>25</v>
      </c>
      <c r="O885" s="14"/>
      <c r="P885" s="14"/>
      <c r="Q885" s="14"/>
      <c r="R885" s="14" t="s">
        <v>1449</v>
      </c>
    </row>
    <row r="886" spans="1:18" ht="15" customHeight="1">
      <c r="A886" s="12">
        <v>1893</v>
      </c>
      <c r="B886" s="13" t="s">
        <v>1455</v>
      </c>
      <c r="C886" s="14"/>
      <c r="D886" s="14" t="s">
        <v>1453</v>
      </c>
      <c r="E886" s="14" t="s">
        <v>44</v>
      </c>
      <c r="F886" s="15" t="s">
        <v>22</v>
      </c>
      <c r="G886" s="14"/>
      <c r="H886" s="58">
        <v>0</v>
      </c>
      <c r="I886" s="14"/>
      <c r="J886" s="14" t="s">
        <v>23</v>
      </c>
      <c r="K886" s="14"/>
      <c r="L886" s="14"/>
      <c r="M886" s="14" t="s">
        <v>32</v>
      </c>
      <c r="N886" s="22" t="s">
        <v>25</v>
      </c>
      <c r="O886" s="14"/>
      <c r="P886" s="14"/>
      <c r="Q886" s="14"/>
      <c r="R886" s="14" t="s">
        <v>1113</v>
      </c>
    </row>
    <row r="887" spans="1:18" ht="15" customHeight="1">
      <c r="A887" s="12">
        <v>331</v>
      </c>
      <c r="B887" s="13" t="s">
        <v>1456</v>
      </c>
      <c r="C887" s="14"/>
      <c r="D887" s="14" t="s">
        <v>1457</v>
      </c>
      <c r="E887" s="14" t="s">
        <v>172</v>
      </c>
      <c r="F887" s="15" t="s">
        <v>22</v>
      </c>
      <c r="G887" s="14"/>
      <c r="H887" s="58"/>
      <c r="I887" s="14"/>
      <c r="J887" s="14" t="s">
        <v>23</v>
      </c>
      <c r="K887" s="14"/>
      <c r="L887" s="14"/>
      <c r="M887" s="14" t="s">
        <v>689</v>
      </c>
      <c r="N887" s="14" t="s">
        <v>25</v>
      </c>
      <c r="O887" s="14"/>
      <c r="P887" s="14"/>
      <c r="Q887" s="14"/>
      <c r="R887" s="14" t="s">
        <v>1242</v>
      </c>
    </row>
    <row r="888" spans="1:18" ht="15" customHeight="1">
      <c r="A888" s="12">
        <v>1100</v>
      </c>
      <c r="B888" s="13" t="s">
        <v>1458</v>
      </c>
      <c r="C888" s="14"/>
      <c r="D888" s="14" t="s">
        <v>1457</v>
      </c>
      <c r="E888" s="14" t="s">
        <v>172</v>
      </c>
      <c r="F888" s="15" t="s">
        <v>22</v>
      </c>
      <c r="G888" s="21"/>
      <c r="H888" s="58"/>
      <c r="I888" s="14"/>
      <c r="J888" s="14" t="s">
        <v>23</v>
      </c>
      <c r="K888" s="14"/>
      <c r="L888" s="14"/>
      <c r="M888" s="14" t="s">
        <v>29</v>
      </c>
      <c r="N888" s="14" t="s">
        <v>25</v>
      </c>
      <c r="O888" s="14"/>
      <c r="P888" s="14"/>
      <c r="Q888" s="14"/>
      <c r="R888" s="14" t="s">
        <v>1449</v>
      </c>
    </row>
    <row r="889" spans="1:18" ht="15" customHeight="1">
      <c r="A889" s="12">
        <v>1894</v>
      </c>
      <c r="B889" s="13" t="s">
        <v>1459</v>
      </c>
      <c r="C889" s="14"/>
      <c r="D889" s="14" t="s">
        <v>1457</v>
      </c>
      <c r="E889" s="14" t="s">
        <v>172</v>
      </c>
      <c r="F889" s="15" t="s">
        <v>22</v>
      </c>
      <c r="G889" s="14"/>
      <c r="H889" s="58">
        <v>0</v>
      </c>
      <c r="I889" s="14"/>
      <c r="J889" s="14" t="s">
        <v>23</v>
      </c>
      <c r="K889" s="14"/>
      <c r="L889" s="14"/>
      <c r="M889" s="14" t="s">
        <v>32</v>
      </c>
      <c r="N889" s="22" t="s">
        <v>25</v>
      </c>
      <c r="O889" s="14"/>
      <c r="P889" s="14"/>
      <c r="Q889" s="14"/>
      <c r="R889" s="14" t="s">
        <v>1113</v>
      </c>
    </row>
    <row r="890" spans="1:18" ht="15" customHeight="1">
      <c r="A890" s="12">
        <v>332</v>
      </c>
      <c r="B890" s="13" t="s">
        <v>1460</v>
      </c>
      <c r="C890" s="14"/>
      <c r="D890" s="14" t="s">
        <v>1461</v>
      </c>
      <c r="E890" s="14" t="s">
        <v>21</v>
      </c>
      <c r="F890" s="15" t="s">
        <v>22</v>
      </c>
      <c r="G890" s="14"/>
      <c r="H890" s="58"/>
      <c r="I890" s="14"/>
      <c r="J890" s="14" t="s">
        <v>23</v>
      </c>
      <c r="K890" s="14"/>
      <c r="L890" s="14"/>
      <c r="M890" s="14" t="s">
        <v>689</v>
      </c>
      <c r="N890" s="14" t="s">
        <v>25</v>
      </c>
      <c r="O890" s="14"/>
      <c r="P890" s="14"/>
      <c r="Q890" s="14"/>
      <c r="R890" s="14" t="s">
        <v>1242</v>
      </c>
    </row>
    <row r="891" spans="1:18" ht="15" customHeight="1">
      <c r="A891" s="12">
        <v>1101</v>
      </c>
      <c r="B891" s="13" t="s">
        <v>1462</v>
      </c>
      <c r="C891" s="14"/>
      <c r="D891" s="14" t="s">
        <v>1461</v>
      </c>
      <c r="E891" s="14" t="s">
        <v>21</v>
      </c>
      <c r="F891" s="15" t="s">
        <v>22</v>
      </c>
      <c r="G891" s="21"/>
      <c r="H891" s="58">
        <v>2</v>
      </c>
      <c r="I891" s="14"/>
      <c r="J891" s="14" t="s">
        <v>23</v>
      </c>
      <c r="K891" s="14"/>
      <c r="L891" s="14"/>
      <c r="M891" s="14" t="s">
        <v>29</v>
      </c>
      <c r="N891" s="25" t="s">
        <v>289</v>
      </c>
      <c r="O891" s="14" t="s">
        <v>138</v>
      </c>
      <c r="P891" s="14"/>
      <c r="Q891" s="14"/>
      <c r="R891" s="14" t="s">
        <v>1449</v>
      </c>
    </row>
    <row r="892" spans="1:18" ht="15" customHeight="1">
      <c r="A892" s="12">
        <v>1895</v>
      </c>
      <c r="B892" s="13" t="s">
        <v>1463</v>
      </c>
      <c r="C892" s="14"/>
      <c r="D892" s="14" t="s">
        <v>1461</v>
      </c>
      <c r="E892" s="14" t="s">
        <v>21</v>
      </c>
      <c r="F892" s="15" t="s">
        <v>22</v>
      </c>
      <c r="G892" s="14"/>
      <c r="H892" s="58">
        <v>3</v>
      </c>
      <c r="I892" s="14"/>
      <c r="J892" s="14" t="s">
        <v>23</v>
      </c>
      <c r="K892" s="14"/>
      <c r="L892" s="14"/>
      <c r="M892" s="14" t="s">
        <v>32</v>
      </c>
      <c r="N892" s="22" t="s">
        <v>25</v>
      </c>
      <c r="O892" s="14"/>
      <c r="P892" s="14"/>
      <c r="Q892" s="14"/>
      <c r="R892" s="14" t="s">
        <v>1113</v>
      </c>
    </row>
    <row r="893" spans="1:18" ht="15" customHeight="1">
      <c r="A893" s="12">
        <v>333</v>
      </c>
      <c r="B893" s="13" t="s">
        <v>1464</v>
      </c>
      <c r="C893" s="14"/>
      <c r="D893" s="14" t="s">
        <v>1465</v>
      </c>
      <c r="E893" s="14" t="s">
        <v>92</v>
      </c>
      <c r="F893" s="15" t="s">
        <v>22</v>
      </c>
      <c r="G893" s="14"/>
      <c r="H893" s="58"/>
      <c r="I893" s="14"/>
      <c r="J893" s="14" t="s">
        <v>23</v>
      </c>
      <c r="K893" s="14"/>
      <c r="L893" s="14"/>
      <c r="M893" s="14" t="s">
        <v>689</v>
      </c>
      <c r="N893" s="14" t="s">
        <v>25</v>
      </c>
      <c r="O893" s="14"/>
      <c r="P893" s="14"/>
      <c r="Q893" s="14"/>
      <c r="R893" s="14" t="s">
        <v>1242</v>
      </c>
    </row>
    <row r="894" spans="1:18" ht="15" customHeight="1">
      <c r="A894" s="12">
        <v>1102</v>
      </c>
      <c r="B894" s="13" t="s">
        <v>1466</v>
      </c>
      <c r="C894" s="14"/>
      <c r="D894" s="14" t="s">
        <v>1465</v>
      </c>
      <c r="E894" s="14" t="s">
        <v>92</v>
      </c>
      <c r="F894" s="15" t="s">
        <v>22</v>
      </c>
      <c r="G894" s="21"/>
      <c r="H894" s="58">
        <v>2</v>
      </c>
      <c r="I894" s="14"/>
      <c r="J894" s="14" t="s">
        <v>23</v>
      </c>
      <c r="K894" s="14"/>
      <c r="L894" s="14"/>
      <c r="M894" s="14" t="s">
        <v>29</v>
      </c>
      <c r="N894" s="25" t="s">
        <v>289</v>
      </c>
      <c r="O894" s="14" t="s">
        <v>138</v>
      </c>
      <c r="P894" s="14"/>
      <c r="Q894" s="14"/>
      <c r="R894" s="14" t="s">
        <v>1449</v>
      </c>
    </row>
    <row r="895" spans="1:18" ht="15" customHeight="1">
      <c r="A895" s="12">
        <v>1896</v>
      </c>
      <c r="B895" s="13" t="s">
        <v>1467</v>
      </c>
      <c r="C895" s="14"/>
      <c r="D895" s="14" t="s">
        <v>1465</v>
      </c>
      <c r="E895" s="14" t="s">
        <v>92</v>
      </c>
      <c r="F895" s="15" t="s">
        <v>22</v>
      </c>
      <c r="G895" s="14"/>
      <c r="H895" s="58">
        <v>1</v>
      </c>
      <c r="I895" s="14"/>
      <c r="J895" s="14" t="s">
        <v>23</v>
      </c>
      <c r="K895" s="14"/>
      <c r="L895" s="14"/>
      <c r="M895" s="14" t="s">
        <v>32</v>
      </c>
      <c r="N895" s="25" t="s">
        <v>37</v>
      </c>
      <c r="O895" s="14" t="s">
        <v>1468</v>
      </c>
      <c r="P895" s="14"/>
      <c r="Q895" s="14"/>
      <c r="R895" s="14" t="s">
        <v>1113</v>
      </c>
    </row>
    <row r="896" spans="1:18" ht="15" customHeight="1">
      <c r="A896" s="12">
        <v>334</v>
      </c>
      <c r="B896" s="13" t="s">
        <v>1469</v>
      </c>
      <c r="C896" s="14"/>
      <c r="D896" s="14" t="s">
        <v>1470</v>
      </c>
      <c r="E896" s="14" t="s">
        <v>21</v>
      </c>
      <c r="F896" s="15" t="s">
        <v>22</v>
      </c>
      <c r="G896" s="14"/>
      <c r="H896" s="58"/>
      <c r="I896" s="14"/>
      <c r="J896" s="14" t="s">
        <v>23</v>
      </c>
      <c r="K896" s="14"/>
      <c r="L896" s="14"/>
      <c r="M896" s="14" t="s">
        <v>689</v>
      </c>
      <c r="N896" s="14" t="s">
        <v>25</v>
      </c>
      <c r="O896" s="14"/>
      <c r="P896" s="14"/>
      <c r="Q896" s="14"/>
      <c r="R896" s="14" t="s">
        <v>1242</v>
      </c>
    </row>
    <row r="897" spans="1:1027" ht="15" customHeight="1">
      <c r="A897" s="12">
        <v>1103</v>
      </c>
      <c r="B897" s="13" t="s">
        <v>1471</v>
      </c>
      <c r="C897" s="14"/>
      <c r="D897" s="14" t="s">
        <v>1470</v>
      </c>
      <c r="E897" s="14" t="s">
        <v>21</v>
      </c>
      <c r="F897" s="15" t="s">
        <v>22</v>
      </c>
      <c r="G897" s="21"/>
      <c r="H897" s="58"/>
      <c r="I897" s="14"/>
      <c r="J897" s="14" t="s">
        <v>23</v>
      </c>
      <c r="K897" s="14"/>
      <c r="L897" s="14"/>
      <c r="M897" s="14" t="s">
        <v>29</v>
      </c>
      <c r="N897" s="25" t="s">
        <v>289</v>
      </c>
      <c r="O897" s="14" t="s">
        <v>138</v>
      </c>
      <c r="P897" s="14"/>
      <c r="Q897" s="14"/>
      <c r="R897" s="14" t="s">
        <v>1449</v>
      </c>
    </row>
    <row r="898" spans="1:1027" ht="15" customHeight="1">
      <c r="A898" s="12">
        <v>1897</v>
      </c>
      <c r="B898" s="13" t="s">
        <v>1472</v>
      </c>
      <c r="C898" s="14"/>
      <c r="D898" s="14" t="s">
        <v>1470</v>
      </c>
      <c r="E898" s="14" t="s">
        <v>21</v>
      </c>
      <c r="F898" s="15" t="s">
        <v>22</v>
      </c>
      <c r="G898" s="14"/>
      <c r="H898" s="58">
        <v>0</v>
      </c>
      <c r="I898" s="14"/>
      <c r="J898" s="14" t="s">
        <v>23</v>
      </c>
      <c r="K898" s="14"/>
      <c r="L898" s="14"/>
      <c r="M898" s="14" t="s">
        <v>32</v>
      </c>
      <c r="N898" s="22" t="s">
        <v>25</v>
      </c>
      <c r="O898" s="14"/>
      <c r="P898" s="14"/>
      <c r="Q898" s="14"/>
      <c r="R898" s="14" t="s">
        <v>1113</v>
      </c>
    </row>
    <row r="899" spans="1:1027" ht="15" customHeight="1">
      <c r="A899" s="12">
        <v>335</v>
      </c>
      <c r="B899" s="13" t="s">
        <v>1473</v>
      </c>
      <c r="C899" s="14"/>
      <c r="D899" s="14" t="s">
        <v>1474</v>
      </c>
      <c r="E899" s="14" t="s">
        <v>21</v>
      </c>
      <c r="F899" s="15" t="s">
        <v>22</v>
      </c>
      <c r="G899" s="14"/>
      <c r="H899" s="58"/>
      <c r="I899" s="14"/>
      <c r="J899" s="14" t="s">
        <v>23</v>
      </c>
      <c r="K899" s="14"/>
      <c r="L899" s="14"/>
      <c r="M899" s="14" t="s">
        <v>689</v>
      </c>
      <c r="N899" s="14" t="s">
        <v>25</v>
      </c>
      <c r="O899" s="14"/>
      <c r="P899" s="14"/>
      <c r="Q899" s="14"/>
      <c r="R899" s="14" t="s">
        <v>1242</v>
      </c>
    </row>
    <row r="900" spans="1:1027" ht="15" customHeight="1">
      <c r="A900" s="12">
        <v>1104</v>
      </c>
      <c r="B900" s="13" t="s">
        <v>1475</v>
      </c>
      <c r="C900" s="14"/>
      <c r="D900" s="14" t="s">
        <v>1474</v>
      </c>
      <c r="E900" s="14" t="s">
        <v>21</v>
      </c>
      <c r="F900" s="15" t="s">
        <v>22</v>
      </c>
      <c r="G900" s="21"/>
      <c r="H900" s="58"/>
      <c r="I900" s="14"/>
      <c r="J900" s="14" t="s">
        <v>23</v>
      </c>
      <c r="K900" s="14"/>
      <c r="L900" s="14"/>
      <c r="M900" s="14" t="s">
        <v>29</v>
      </c>
      <c r="N900" s="14" t="s">
        <v>25</v>
      </c>
      <c r="O900" s="14"/>
      <c r="P900" s="14"/>
      <c r="Q900" s="14"/>
      <c r="R900" s="14" t="s">
        <v>1449</v>
      </c>
    </row>
    <row r="901" spans="1:1027" ht="15" customHeight="1">
      <c r="A901" s="12">
        <v>1898</v>
      </c>
      <c r="B901" s="13" t="s">
        <v>1476</v>
      </c>
      <c r="C901" s="14"/>
      <c r="D901" s="14" t="s">
        <v>1474</v>
      </c>
      <c r="E901" s="14" t="s">
        <v>21</v>
      </c>
      <c r="F901" s="15" t="s">
        <v>22</v>
      </c>
      <c r="G901" s="14"/>
      <c r="H901" s="58">
        <v>0</v>
      </c>
      <c r="I901" s="14"/>
      <c r="J901" s="14" t="s">
        <v>23</v>
      </c>
      <c r="K901" s="14"/>
      <c r="L901" s="14"/>
      <c r="M901" s="14" t="s">
        <v>32</v>
      </c>
      <c r="N901" s="22"/>
      <c r="O901" s="14"/>
      <c r="P901" s="14"/>
      <c r="Q901" s="14"/>
      <c r="R901" s="14"/>
    </row>
    <row r="902" spans="1:1027" ht="15" customHeight="1">
      <c r="A902" s="12">
        <v>336</v>
      </c>
      <c r="B902" s="27" t="s">
        <v>1477</v>
      </c>
      <c r="C902" s="14"/>
      <c r="D902" s="14" t="s">
        <v>1478</v>
      </c>
      <c r="E902" s="14" t="s">
        <v>92</v>
      </c>
      <c r="F902" s="15" t="s">
        <v>22</v>
      </c>
      <c r="G902" s="14"/>
      <c r="H902" s="58"/>
      <c r="I902" s="14"/>
      <c r="J902" s="14" t="s">
        <v>23</v>
      </c>
      <c r="K902" s="14"/>
      <c r="L902" s="14"/>
      <c r="M902" s="14" t="s">
        <v>689</v>
      </c>
      <c r="N902" s="14" t="s">
        <v>25</v>
      </c>
      <c r="O902" s="14"/>
      <c r="P902" s="14"/>
      <c r="Q902" s="14"/>
      <c r="R902" s="14" t="s">
        <v>1242</v>
      </c>
    </row>
    <row r="903" spans="1:1027" ht="15" customHeight="1">
      <c r="A903" s="12">
        <v>1105</v>
      </c>
      <c r="B903" s="13" t="s">
        <v>1479</v>
      </c>
      <c r="C903" s="14"/>
      <c r="D903" s="14" t="s">
        <v>1478</v>
      </c>
      <c r="E903" s="14" t="s">
        <v>92</v>
      </c>
      <c r="F903" s="15" t="s">
        <v>22</v>
      </c>
      <c r="G903" s="21"/>
      <c r="H903" s="58"/>
      <c r="I903" s="14"/>
      <c r="J903" s="14" t="s">
        <v>23</v>
      </c>
      <c r="K903" s="14"/>
      <c r="L903" s="14"/>
      <c r="M903" s="14" t="s">
        <v>29</v>
      </c>
      <c r="N903" s="14" t="s">
        <v>25</v>
      </c>
      <c r="O903" s="14"/>
      <c r="P903" s="14"/>
      <c r="Q903" s="14"/>
      <c r="R903" s="14" t="s">
        <v>1449</v>
      </c>
    </row>
    <row r="904" spans="1:1027" ht="15" customHeight="1">
      <c r="A904" s="12">
        <v>1899</v>
      </c>
      <c r="B904" s="13" t="s">
        <v>1480</v>
      </c>
      <c r="C904" s="14"/>
      <c r="D904" s="14" t="s">
        <v>1478</v>
      </c>
      <c r="E904" s="14" t="s">
        <v>92</v>
      </c>
      <c r="F904" s="15" t="s">
        <v>22</v>
      </c>
      <c r="G904" s="14"/>
      <c r="H904" s="58">
        <v>2</v>
      </c>
      <c r="I904" s="14"/>
      <c r="J904" s="14" t="s">
        <v>23</v>
      </c>
      <c r="K904" s="14"/>
      <c r="L904" s="14"/>
      <c r="M904" s="14" t="s">
        <v>32</v>
      </c>
      <c r="N904" s="22"/>
      <c r="O904" s="14"/>
      <c r="P904" s="14"/>
      <c r="Q904" s="14"/>
      <c r="R904" s="14"/>
    </row>
    <row r="905" spans="1:1027" ht="15" customHeight="1">
      <c r="A905" s="12">
        <v>337</v>
      </c>
      <c r="B905" s="13" t="s">
        <v>1481</v>
      </c>
      <c r="C905" s="14"/>
      <c r="D905" s="14" t="s">
        <v>1482</v>
      </c>
      <c r="E905" s="14" t="s">
        <v>36</v>
      </c>
      <c r="F905" s="15" t="s">
        <v>22</v>
      </c>
      <c r="G905" s="14"/>
      <c r="H905" s="58"/>
      <c r="I905" s="14"/>
      <c r="J905" s="14" t="s">
        <v>23</v>
      </c>
      <c r="K905" s="14"/>
      <c r="L905" s="14"/>
      <c r="M905" s="14" t="s">
        <v>689</v>
      </c>
      <c r="N905" s="14" t="s">
        <v>25</v>
      </c>
      <c r="O905" s="14"/>
      <c r="P905" s="14"/>
      <c r="Q905" s="14"/>
      <c r="R905" s="14" t="s">
        <v>1242</v>
      </c>
    </row>
    <row r="906" spans="1:1027" ht="15" customHeight="1">
      <c r="A906" s="12">
        <v>1106</v>
      </c>
      <c r="B906" s="13" t="s">
        <v>1483</v>
      </c>
      <c r="C906" s="14"/>
      <c r="D906" s="14" t="s">
        <v>1482</v>
      </c>
      <c r="E906" s="14" t="s">
        <v>36</v>
      </c>
      <c r="F906" s="15" t="s">
        <v>22</v>
      </c>
      <c r="G906" s="21"/>
      <c r="H906" s="58"/>
      <c r="I906" s="14"/>
      <c r="J906" s="14" t="s">
        <v>23</v>
      </c>
      <c r="K906" s="14"/>
      <c r="L906" s="14"/>
      <c r="M906" s="14" t="s">
        <v>29</v>
      </c>
      <c r="N906" s="14" t="s">
        <v>25</v>
      </c>
      <c r="O906" s="14"/>
      <c r="P906" s="14"/>
      <c r="Q906" s="14"/>
      <c r="R906" s="14" t="s">
        <v>1449</v>
      </c>
    </row>
    <row r="907" spans="1:1027" ht="15" customHeight="1">
      <c r="A907" s="12">
        <v>1900</v>
      </c>
      <c r="B907" s="13" t="s">
        <v>1484</v>
      </c>
      <c r="C907" s="14"/>
      <c r="D907" s="14" t="s">
        <v>1482</v>
      </c>
      <c r="E907" s="14" t="s">
        <v>36</v>
      </c>
      <c r="F907" s="15" t="s">
        <v>22</v>
      </c>
      <c r="G907" s="14"/>
      <c r="H907" s="58">
        <v>0</v>
      </c>
      <c r="I907" s="14"/>
      <c r="J907" s="14" t="s">
        <v>23</v>
      </c>
      <c r="K907" s="14"/>
      <c r="L907" s="14"/>
      <c r="M907" s="14" t="s">
        <v>32</v>
      </c>
      <c r="N907" s="22"/>
      <c r="O907" s="14"/>
      <c r="P907" s="14"/>
      <c r="Q907" s="14"/>
      <c r="R907" s="14"/>
    </row>
    <row r="908" spans="1:1027" ht="15" customHeight="1">
      <c r="A908" s="12">
        <v>338</v>
      </c>
      <c r="B908" s="13" t="s">
        <v>1485</v>
      </c>
      <c r="C908" s="14"/>
      <c r="D908" s="14" t="s">
        <v>1486</v>
      </c>
      <c r="E908" s="14" t="s">
        <v>21</v>
      </c>
      <c r="F908" s="15" t="s">
        <v>22</v>
      </c>
      <c r="G908" s="14"/>
      <c r="H908" s="58"/>
      <c r="I908" s="14"/>
      <c r="J908" s="14" t="s">
        <v>23</v>
      </c>
      <c r="K908" s="14"/>
      <c r="L908" s="14"/>
      <c r="M908" s="14" t="s">
        <v>689</v>
      </c>
      <c r="N908" s="14" t="s">
        <v>25</v>
      </c>
      <c r="O908" s="14"/>
      <c r="P908" s="14"/>
      <c r="Q908" s="14"/>
      <c r="R908" s="14" t="s">
        <v>1242</v>
      </c>
    </row>
    <row r="909" spans="1:1027" ht="15" customHeight="1">
      <c r="A909" s="12">
        <v>1107</v>
      </c>
      <c r="B909" s="13" t="s">
        <v>1487</v>
      </c>
      <c r="C909" s="14"/>
      <c r="D909" s="14" t="s">
        <v>1486</v>
      </c>
      <c r="E909" s="14" t="s">
        <v>21</v>
      </c>
      <c r="F909" s="15" t="s">
        <v>22</v>
      </c>
      <c r="G909" s="21"/>
      <c r="H909" s="58"/>
      <c r="I909" s="14"/>
      <c r="J909" s="14" t="s">
        <v>23</v>
      </c>
      <c r="K909" s="14"/>
      <c r="L909" s="14"/>
      <c r="M909" s="14" t="s">
        <v>29</v>
      </c>
      <c r="N909" s="14" t="s">
        <v>25</v>
      </c>
      <c r="O909" s="14"/>
      <c r="P909" s="14"/>
      <c r="Q909" s="14"/>
      <c r="R909" s="14" t="s">
        <v>1449</v>
      </c>
    </row>
    <row r="910" spans="1:1027" ht="15" customHeight="1">
      <c r="A910" s="12">
        <v>1901</v>
      </c>
      <c r="B910" s="13" t="s">
        <v>1488</v>
      </c>
      <c r="C910" s="14"/>
      <c r="D910" s="14" t="s">
        <v>1486</v>
      </c>
      <c r="E910" s="14" t="s">
        <v>21</v>
      </c>
      <c r="F910" s="15" t="s">
        <v>22</v>
      </c>
      <c r="G910" s="14"/>
      <c r="H910" s="58">
        <v>0</v>
      </c>
      <c r="I910" s="14"/>
      <c r="J910" s="14" t="s">
        <v>23</v>
      </c>
      <c r="K910" s="14"/>
      <c r="L910" s="14"/>
      <c r="M910" s="14" t="s">
        <v>32</v>
      </c>
      <c r="N910" s="22"/>
      <c r="O910" s="14"/>
      <c r="P910" s="14"/>
      <c r="Q910" s="14"/>
      <c r="R910" s="14"/>
    </row>
    <row r="911" spans="1:1027" ht="15" customHeight="1">
      <c r="A911" s="12">
        <v>34</v>
      </c>
      <c r="B911" s="13" t="s">
        <v>1489</v>
      </c>
      <c r="C911" s="14"/>
      <c r="D911" s="14" t="s">
        <v>1490</v>
      </c>
      <c r="E911" s="14" t="s">
        <v>44</v>
      </c>
      <c r="F911" s="15" t="s">
        <v>22</v>
      </c>
      <c r="G911" s="14"/>
      <c r="H911" s="58"/>
      <c r="I911" s="14"/>
      <c r="J911" s="14" t="s">
        <v>23</v>
      </c>
      <c r="K911" s="15"/>
      <c r="L911" s="15"/>
      <c r="M911" s="14" t="s">
        <v>24</v>
      </c>
      <c r="N911" s="14" t="s">
        <v>25</v>
      </c>
      <c r="O911" s="14"/>
      <c r="P911" s="14"/>
      <c r="Q911" s="14"/>
      <c r="R911" s="17">
        <v>43599</v>
      </c>
      <c r="S911" s="12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  <c r="SS911" s="3"/>
      <c r="ST911" s="3"/>
      <c r="SU911" s="3"/>
      <c r="SV911" s="3"/>
      <c r="SW911" s="3"/>
      <c r="SX911" s="3"/>
      <c r="SY911" s="3"/>
      <c r="SZ911" s="3"/>
      <c r="TA911" s="3"/>
      <c r="TB911" s="3"/>
      <c r="TC911" s="3"/>
      <c r="TD911" s="3"/>
      <c r="TE911" s="3"/>
      <c r="TF911" s="3"/>
      <c r="TG911" s="3"/>
      <c r="TH911" s="3"/>
      <c r="TI911" s="3"/>
      <c r="TJ911" s="3"/>
      <c r="TK911" s="3"/>
      <c r="TL911" s="3"/>
      <c r="TM911" s="3"/>
      <c r="TN911" s="3"/>
      <c r="TO911" s="3"/>
      <c r="TP911" s="3"/>
      <c r="TQ911" s="3"/>
      <c r="TR911" s="3"/>
      <c r="TS911" s="3"/>
      <c r="TT911" s="3"/>
      <c r="TU911" s="3"/>
      <c r="TV911" s="3"/>
      <c r="TW911" s="3"/>
      <c r="TX911" s="3"/>
      <c r="TY911" s="3"/>
      <c r="TZ911" s="3"/>
      <c r="UA911" s="3"/>
      <c r="UB911" s="3"/>
      <c r="UC911" s="3"/>
      <c r="UD911" s="3"/>
      <c r="UE911" s="3"/>
      <c r="UF911" s="3"/>
      <c r="UG911" s="3"/>
      <c r="UH911" s="3"/>
      <c r="UI911" s="3"/>
      <c r="UJ911" s="3"/>
      <c r="UK911" s="3"/>
      <c r="UL911" s="3"/>
      <c r="UM911" s="3"/>
      <c r="UN911" s="3"/>
      <c r="UO911" s="3"/>
      <c r="UP911" s="3"/>
      <c r="UQ911" s="3"/>
      <c r="UR911" s="3"/>
      <c r="US911" s="3"/>
      <c r="UT911" s="3"/>
      <c r="UU911" s="3"/>
      <c r="UV911" s="3"/>
      <c r="UW911" s="3"/>
      <c r="UX911" s="3"/>
      <c r="UY911" s="3"/>
      <c r="UZ911" s="3"/>
      <c r="VA911" s="3"/>
      <c r="VB911" s="3"/>
      <c r="VC911" s="3"/>
      <c r="VD911" s="3"/>
      <c r="VE911" s="3"/>
      <c r="VF911" s="3"/>
      <c r="VG911" s="3"/>
      <c r="VH911" s="3"/>
      <c r="VI911" s="3"/>
      <c r="VJ911" s="3"/>
      <c r="VK911" s="3"/>
      <c r="VL911" s="3"/>
      <c r="VM911" s="3"/>
      <c r="VN911" s="3"/>
      <c r="VO911" s="3"/>
      <c r="VP911" s="3"/>
      <c r="VQ911" s="3"/>
      <c r="VR911" s="3"/>
      <c r="VS911" s="3"/>
      <c r="VT911" s="3"/>
      <c r="VU911" s="3"/>
      <c r="VV911" s="3"/>
      <c r="VW911" s="3"/>
      <c r="VX911" s="3"/>
      <c r="VY911" s="3"/>
      <c r="VZ911" s="3"/>
      <c r="WA911" s="3"/>
      <c r="WB911" s="3"/>
      <c r="WC911" s="3"/>
      <c r="WD911" s="3"/>
      <c r="WE911" s="3"/>
      <c r="WF911" s="3"/>
      <c r="WG911" s="3"/>
      <c r="WH911" s="3"/>
      <c r="WI911" s="3"/>
      <c r="WJ911" s="3"/>
      <c r="WK911" s="3"/>
      <c r="WL911" s="3"/>
      <c r="WM911" s="3"/>
      <c r="WN911" s="3"/>
      <c r="WO911" s="3"/>
      <c r="WP911" s="3"/>
      <c r="WQ911" s="3"/>
      <c r="WR911" s="3"/>
      <c r="WS911" s="3"/>
      <c r="WT911" s="3"/>
      <c r="WU911" s="3"/>
      <c r="WV911" s="3"/>
      <c r="WW911" s="3"/>
      <c r="WX911" s="3"/>
      <c r="WY911" s="3"/>
      <c r="WZ911" s="3"/>
      <c r="XA911" s="3"/>
      <c r="XB911" s="3"/>
      <c r="XC911" s="3"/>
      <c r="XD911" s="3"/>
      <c r="XE911" s="3"/>
      <c r="XF911" s="3"/>
      <c r="XG911" s="3"/>
      <c r="XH911" s="3"/>
      <c r="XI911" s="3"/>
      <c r="XJ911" s="3"/>
      <c r="XK911" s="3"/>
      <c r="XL911" s="3"/>
      <c r="XM911" s="3"/>
      <c r="XN911" s="3"/>
      <c r="XO911" s="3"/>
      <c r="XP911" s="3"/>
      <c r="XQ911" s="3"/>
      <c r="XR911" s="3"/>
      <c r="XS911" s="3"/>
      <c r="XT911" s="3"/>
      <c r="XU911" s="3"/>
      <c r="XV911" s="3"/>
      <c r="XW911" s="3"/>
      <c r="XX911" s="3"/>
      <c r="XY911" s="3"/>
      <c r="XZ911" s="3"/>
      <c r="YA911" s="3"/>
      <c r="YB911" s="3"/>
      <c r="YC911" s="3"/>
      <c r="YD911" s="3"/>
      <c r="YE911" s="3"/>
      <c r="YF911" s="3"/>
      <c r="YG911" s="3"/>
      <c r="YH911" s="3"/>
      <c r="YI911" s="3"/>
      <c r="YJ911" s="3"/>
      <c r="YK911" s="3"/>
      <c r="YL911" s="3"/>
      <c r="YM911" s="3"/>
      <c r="YN911" s="3"/>
      <c r="YO911" s="3"/>
      <c r="YP911" s="3"/>
      <c r="YQ911" s="3"/>
      <c r="YR911" s="3"/>
      <c r="YS911" s="3"/>
      <c r="YT911" s="3"/>
      <c r="YU911" s="3"/>
      <c r="YV911" s="3"/>
      <c r="YW911" s="3"/>
      <c r="YX911" s="3"/>
      <c r="YY911" s="3"/>
      <c r="YZ911" s="3"/>
      <c r="ZA911" s="3"/>
      <c r="ZB911" s="3"/>
      <c r="ZC911" s="3"/>
      <c r="ZD911" s="3"/>
      <c r="ZE911" s="3"/>
      <c r="ZF911" s="3"/>
      <c r="ZG911" s="3"/>
      <c r="ZH911" s="3"/>
      <c r="ZI911" s="3"/>
      <c r="ZJ911" s="3"/>
      <c r="ZK911" s="3"/>
      <c r="ZL911" s="3"/>
      <c r="ZM911" s="3"/>
      <c r="ZN911" s="3"/>
      <c r="ZO911" s="3"/>
      <c r="ZP911" s="3"/>
      <c r="ZQ911" s="3"/>
      <c r="ZR911" s="3"/>
      <c r="ZS911" s="3"/>
      <c r="ZT911" s="3"/>
      <c r="ZU911" s="3"/>
      <c r="ZV911" s="3"/>
      <c r="ZW911" s="3"/>
      <c r="ZX911" s="3"/>
      <c r="ZY911" s="3"/>
      <c r="ZZ911" s="3"/>
      <c r="AAA911" s="3"/>
      <c r="AAB911" s="3"/>
      <c r="AAC911" s="3"/>
      <c r="AAD911" s="3"/>
      <c r="AAE911" s="3"/>
      <c r="AAF911" s="3"/>
      <c r="AAG911" s="3"/>
      <c r="AAH911" s="3"/>
      <c r="AAI911" s="3"/>
      <c r="AAJ911" s="3"/>
      <c r="AAK911" s="3"/>
      <c r="AAL911" s="3"/>
      <c r="AAM911" s="3"/>
      <c r="AAN911" s="3"/>
      <c r="AAO911" s="3"/>
      <c r="AAP911" s="3"/>
      <c r="AAQ911" s="3"/>
      <c r="AAR911" s="3"/>
      <c r="AAS911" s="3"/>
      <c r="AAT911" s="3"/>
      <c r="AAU911" s="3"/>
      <c r="AAV911" s="3"/>
      <c r="AAW911" s="3"/>
      <c r="AAX911" s="3"/>
      <c r="AAY911" s="3"/>
      <c r="AAZ911" s="3"/>
      <c r="ABA911" s="3"/>
      <c r="ABB911" s="3"/>
      <c r="ABC911" s="3"/>
      <c r="ABD911" s="3"/>
      <c r="ABE911" s="3"/>
      <c r="ABF911" s="3"/>
      <c r="ABG911" s="3"/>
      <c r="ABH911" s="3"/>
      <c r="ABI911" s="3"/>
      <c r="ABJ911" s="3"/>
      <c r="ABK911" s="3"/>
      <c r="ABL911" s="3"/>
      <c r="ABM911" s="3"/>
      <c r="ABN911" s="3"/>
      <c r="ABO911" s="3"/>
      <c r="ABP911" s="3"/>
      <c r="ABQ911" s="3"/>
      <c r="ABR911" s="3"/>
      <c r="ABS911" s="3"/>
      <c r="ABT911" s="3"/>
      <c r="ABU911" s="3"/>
      <c r="ABV911" s="3"/>
      <c r="ABW911" s="3"/>
      <c r="ABX911" s="3"/>
      <c r="ABY911" s="3"/>
      <c r="ABZ911" s="3"/>
      <c r="ACA911" s="3"/>
      <c r="ACB911" s="3"/>
      <c r="ACC911" s="3"/>
      <c r="ACD911" s="3"/>
      <c r="ACE911" s="3"/>
      <c r="ACF911" s="3"/>
      <c r="ACG911" s="3"/>
      <c r="ACH911" s="3"/>
      <c r="ACI911" s="3"/>
      <c r="ACJ911" s="3"/>
      <c r="ACK911" s="3"/>
      <c r="ACL911" s="3"/>
      <c r="ACM911" s="3"/>
      <c r="ACN911" s="3"/>
      <c r="ACO911" s="3"/>
      <c r="ACP911" s="3"/>
      <c r="ACQ911" s="3"/>
      <c r="ACR911" s="3"/>
      <c r="ACS911" s="3"/>
      <c r="ACT911" s="3"/>
      <c r="ACU911" s="3"/>
      <c r="ACV911" s="3"/>
      <c r="ACW911" s="3"/>
      <c r="ACX911" s="3"/>
      <c r="ACY911" s="3"/>
      <c r="ACZ911" s="3"/>
      <c r="ADA911" s="3"/>
      <c r="ADB911" s="3"/>
      <c r="ADC911" s="3"/>
      <c r="ADD911" s="3"/>
      <c r="ADE911" s="3"/>
      <c r="ADF911" s="3"/>
      <c r="ADG911" s="3"/>
      <c r="ADH911" s="3"/>
      <c r="ADI911" s="3"/>
      <c r="ADJ911" s="3"/>
      <c r="ADK911" s="3"/>
      <c r="ADL911" s="3"/>
      <c r="ADM911" s="3"/>
      <c r="ADN911" s="3"/>
      <c r="ADO911" s="3"/>
      <c r="ADP911" s="3"/>
      <c r="ADQ911" s="3"/>
      <c r="ADR911" s="3"/>
      <c r="ADS911" s="3"/>
      <c r="ADT911" s="3"/>
      <c r="ADU911" s="3"/>
      <c r="ADV911" s="3"/>
      <c r="ADW911" s="3"/>
      <c r="ADX911" s="3"/>
      <c r="ADY911" s="3"/>
      <c r="ADZ911" s="3"/>
      <c r="AEA911" s="3"/>
      <c r="AEB911" s="3"/>
      <c r="AEC911" s="3"/>
      <c r="AED911" s="3"/>
      <c r="AEE911" s="3"/>
      <c r="AEF911" s="3"/>
      <c r="AEG911" s="3"/>
      <c r="AEH911" s="3"/>
      <c r="AEI911" s="3"/>
      <c r="AEJ911" s="3"/>
      <c r="AEK911" s="3"/>
      <c r="AEL911" s="3"/>
      <c r="AEM911" s="3"/>
      <c r="AEN911" s="3"/>
      <c r="AEO911" s="3"/>
      <c r="AEP911" s="3"/>
      <c r="AEQ911" s="3"/>
      <c r="AER911" s="3"/>
      <c r="AES911" s="3"/>
      <c r="AET911" s="3"/>
      <c r="AEU911" s="3"/>
      <c r="AEV911" s="3"/>
      <c r="AEW911" s="3"/>
      <c r="AEX911" s="3"/>
      <c r="AEY911" s="3"/>
      <c r="AEZ911" s="3"/>
      <c r="AFA911" s="3"/>
      <c r="AFB911" s="3"/>
      <c r="AFC911" s="3"/>
      <c r="AFD911" s="3"/>
      <c r="AFE911" s="3"/>
      <c r="AFF911" s="3"/>
      <c r="AFG911" s="3"/>
      <c r="AFH911" s="3"/>
      <c r="AFI911" s="3"/>
      <c r="AFJ911" s="3"/>
      <c r="AFK911" s="3"/>
      <c r="AFL911" s="3"/>
      <c r="AFM911" s="3"/>
      <c r="AFN911" s="3"/>
      <c r="AFO911" s="3"/>
      <c r="AFP911" s="3"/>
      <c r="AFQ911" s="3"/>
      <c r="AFR911" s="3"/>
      <c r="AFS911" s="3"/>
      <c r="AFT911" s="3"/>
      <c r="AFU911" s="3"/>
      <c r="AFV911" s="3"/>
      <c r="AFW911" s="3"/>
      <c r="AFX911" s="3"/>
      <c r="AFY911" s="3"/>
      <c r="AFZ911" s="3"/>
      <c r="AGA911" s="3"/>
      <c r="AGB911" s="3"/>
      <c r="AGC911" s="3"/>
      <c r="AGD911" s="3"/>
      <c r="AGE911" s="3"/>
      <c r="AGF911" s="3"/>
      <c r="AGG911" s="3"/>
      <c r="AGH911" s="3"/>
      <c r="AGI911" s="3"/>
      <c r="AGJ911" s="3"/>
      <c r="AGK911" s="3"/>
      <c r="AGL911" s="3"/>
      <c r="AGM911" s="3"/>
      <c r="AGN911" s="3"/>
      <c r="AGO911" s="3"/>
      <c r="AGP911" s="3"/>
      <c r="AGQ911" s="3"/>
      <c r="AGR911" s="3"/>
      <c r="AGS911" s="3"/>
      <c r="AGT911" s="3"/>
      <c r="AGU911" s="3"/>
      <c r="AGV911" s="3"/>
      <c r="AGW911" s="3"/>
      <c r="AGX911" s="3"/>
      <c r="AGY911" s="3"/>
      <c r="AGZ911" s="3"/>
      <c r="AHA911" s="3"/>
      <c r="AHB911" s="3"/>
      <c r="AHC911" s="3"/>
      <c r="AHD911" s="3"/>
      <c r="AHE911" s="3"/>
      <c r="AHF911" s="3"/>
      <c r="AHG911" s="3"/>
      <c r="AHH911" s="3"/>
      <c r="AHI911" s="3"/>
      <c r="AHJ911" s="3"/>
      <c r="AHK911" s="3"/>
      <c r="AHL911" s="3"/>
      <c r="AHM911" s="3"/>
      <c r="AHN911" s="3"/>
      <c r="AHO911" s="3"/>
      <c r="AHP911" s="3"/>
      <c r="AHQ911" s="3"/>
      <c r="AHR911" s="3"/>
      <c r="AHS911" s="3"/>
      <c r="AHT911" s="3"/>
      <c r="AHU911" s="3"/>
      <c r="AHV911" s="3"/>
      <c r="AHW911" s="3"/>
      <c r="AHX911" s="3"/>
      <c r="AHY911" s="3"/>
      <c r="AHZ911" s="3"/>
      <c r="AIA911" s="3"/>
      <c r="AIB911" s="3"/>
      <c r="AIC911" s="3"/>
      <c r="AID911" s="3"/>
      <c r="AIE911" s="3"/>
      <c r="AIF911" s="3"/>
      <c r="AIG911" s="3"/>
      <c r="AIH911" s="3"/>
      <c r="AII911" s="3"/>
      <c r="AIJ911" s="3"/>
      <c r="AIK911" s="3"/>
      <c r="AIL911" s="3"/>
      <c r="AIM911" s="3"/>
      <c r="AIN911" s="3"/>
      <c r="AIO911" s="3"/>
      <c r="AIP911" s="3"/>
      <c r="AIQ911" s="3"/>
      <c r="AIR911" s="3"/>
      <c r="AIS911" s="3"/>
      <c r="AIT911" s="3"/>
      <c r="AIU911" s="3"/>
      <c r="AIV911" s="3"/>
      <c r="AIW911" s="3"/>
      <c r="AIX911" s="3"/>
      <c r="AIY911" s="3"/>
      <c r="AIZ911" s="3"/>
      <c r="AJA911" s="3"/>
      <c r="AJB911" s="3"/>
      <c r="AJC911" s="3"/>
      <c r="AJD911" s="3"/>
      <c r="AJE911" s="3"/>
      <c r="AJF911" s="3"/>
      <c r="AJG911" s="3"/>
      <c r="AJH911" s="3"/>
      <c r="AJI911" s="3"/>
      <c r="AJJ911" s="3"/>
      <c r="AJK911" s="3"/>
      <c r="AJL911" s="3"/>
      <c r="AJM911" s="3"/>
      <c r="AJN911" s="3"/>
      <c r="AJO911" s="3"/>
      <c r="AJP911" s="3"/>
      <c r="AJQ911" s="3"/>
      <c r="AJR911" s="3"/>
      <c r="AJS911" s="3"/>
      <c r="AJT911" s="3"/>
      <c r="AJU911" s="3"/>
      <c r="AJV911" s="3"/>
      <c r="AJW911" s="3"/>
      <c r="AJX911" s="3"/>
      <c r="AJY911" s="3"/>
      <c r="AJZ911" s="3"/>
      <c r="AKA911" s="3"/>
      <c r="AKB911" s="3"/>
      <c r="AKC911" s="3"/>
      <c r="AKD911" s="3"/>
      <c r="AKE911" s="3"/>
      <c r="AKF911" s="3"/>
      <c r="AKG911" s="3"/>
      <c r="AKH911" s="3"/>
      <c r="AKI911" s="3"/>
      <c r="AKJ911" s="3"/>
      <c r="AKK911" s="3"/>
      <c r="AKL911" s="3"/>
      <c r="AKM911" s="3"/>
      <c r="AKN911" s="3"/>
      <c r="AKO911" s="3"/>
      <c r="AKP911" s="3"/>
      <c r="AKQ911" s="3"/>
      <c r="AKR911" s="3"/>
      <c r="AKS911" s="3"/>
      <c r="AKT911" s="3"/>
      <c r="AKU911" s="3"/>
      <c r="AKV911" s="3"/>
      <c r="AKW911" s="3"/>
      <c r="AKX911" s="3"/>
      <c r="AKY911" s="3"/>
      <c r="AKZ911" s="3"/>
      <c r="ALA911" s="3"/>
      <c r="ALB911" s="3"/>
      <c r="ALC911" s="3"/>
      <c r="ALD911" s="3"/>
      <c r="ALE911" s="3"/>
      <c r="ALF911" s="3"/>
      <c r="ALG911" s="3"/>
      <c r="ALH911" s="3"/>
      <c r="ALI911" s="3"/>
      <c r="ALJ911" s="3"/>
      <c r="ALK911" s="3"/>
      <c r="ALL911" s="3"/>
      <c r="ALM911" s="3"/>
      <c r="ALN911" s="3"/>
      <c r="ALO911" s="3"/>
      <c r="ALP911" s="3"/>
      <c r="ALQ911" s="3"/>
      <c r="ALR911" s="3"/>
      <c r="ALS911" s="3"/>
      <c r="ALT911" s="3"/>
      <c r="ALU911" s="3"/>
      <c r="ALV911" s="3"/>
      <c r="ALW911" s="3"/>
      <c r="ALX911" s="3"/>
      <c r="ALY911" s="3"/>
      <c r="ALZ911" s="3"/>
      <c r="AMA911" s="3"/>
      <c r="AMB911" s="3"/>
      <c r="AMC911" s="3"/>
      <c r="AMD911" s="3"/>
      <c r="AME911" s="3"/>
      <c r="AMF911" s="3"/>
      <c r="AMG911" s="3"/>
      <c r="AMH911" s="3"/>
      <c r="AMI911" s="3"/>
      <c r="AMJ911" s="3"/>
      <c r="AMK911" s="3"/>
      <c r="AML911" s="3"/>
      <c r="AMM911" s="3"/>
    </row>
    <row r="912" spans="1:1027" ht="15" customHeight="1">
      <c r="A912" s="12">
        <v>339</v>
      </c>
      <c r="B912" s="27" t="s">
        <v>1491</v>
      </c>
      <c r="C912" s="14"/>
      <c r="D912" s="14" t="s">
        <v>1490</v>
      </c>
      <c r="E912" s="14" t="s">
        <v>44</v>
      </c>
      <c r="F912" s="15" t="s">
        <v>22</v>
      </c>
      <c r="G912" s="14"/>
      <c r="H912" s="58"/>
      <c r="I912" s="14"/>
      <c r="J912" s="14" t="s">
        <v>23</v>
      </c>
      <c r="K912" s="14"/>
      <c r="L912" s="14"/>
      <c r="M912" s="14" t="s">
        <v>689</v>
      </c>
      <c r="N912" s="14" t="s">
        <v>25</v>
      </c>
      <c r="O912" s="14"/>
      <c r="P912" s="14"/>
      <c r="Q912" s="14"/>
      <c r="R912" s="14" t="s">
        <v>1242</v>
      </c>
    </row>
    <row r="913" spans="1:18" ht="15" customHeight="1">
      <c r="A913" s="12">
        <v>1108</v>
      </c>
      <c r="B913" s="13" t="s">
        <v>1492</v>
      </c>
      <c r="C913" s="14"/>
      <c r="D913" s="14" t="s">
        <v>1490</v>
      </c>
      <c r="E913" s="14" t="s">
        <v>44</v>
      </c>
      <c r="F913" s="15" t="s">
        <v>22</v>
      </c>
      <c r="G913" s="21"/>
      <c r="H913" s="58"/>
      <c r="I913" s="14"/>
      <c r="J913" s="14" t="s">
        <v>23</v>
      </c>
      <c r="K913" s="14"/>
      <c r="L913" s="14"/>
      <c r="M913" s="14" t="s">
        <v>29</v>
      </c>
      <c r="N913" s="25" t="s">
        <v>37</v>
      </c>
      <c r="O913" s="14" t="s">
        <v>1493</v>
      </c>
      <c r="P913" s="14"/>
      <c r="Q913" s="14"/>
      <c r="R913" s="14" t="s">
        <v>1449</v>
      </c>
    </row>
    <row r="914" spans="1:18" ht="15" customHeight="1">
      <c r="A914" s="12">
        <v>1902</v>
      </c>
      <c r="B914" s="13" t="s">
        <v>1494</v>
      </c>
      <c r="C914" s="14"/>
      <c r="D914" s="14" t="s">
        <v>1490</v>
      </c>
      <c r="E914" s="14" t="s">
        <v>44</v>
      </c>
      <c r="F914" s="15" t="s">
        <v>22</v>
      </c>
      <c r="G914" s="14"/>
      <c r="H914" s="58">
        <v>3</v>
      </c>
      <c r="I914" s="14"/>
      <c r="J914" s="14" t="s">
        <v>23</v>
      </c>
      <c r="K914" s="14"/>
      <c r="L914" s="14"/>
      <c r="M914" s="14" t="s">
        <v>32</v>
      </c>
      <c r="N914" s="22"/>
      <c r="O914" s="14"/>
      <c r="P914" s="14"/>
      <c r="Q914" s="14"/>
      <c r="R914" s="14"/>
    </row>
    <row r="915" spans="1:18" ht="15" customHeight="1">
      <c r="A915" s="12">
        <v>340</v>
      </c>
      <c r="B915" s="13" t="s">
        <v>1495</v>
      </c>
      <c r="C915" s="14"/>
      <c r="D915" s="14" t="s">
        <v>1496</v>
      </c>
      <c r="E915" s="14" t="s">
        <v>44</v>
      </c>
      <c r="F915" s="15" t="s">
        <v>22</v>
      </c>
      <c r="G915" s="14"/>
      <c r="H915" s="58"/>
      <c r="I915" s="14"/>
      <c r="J915" s="14" t="s">
        <v>23</v>
      </c>
      <c r="K915" s="14"/>
      <c r="L915" s="14"/>
      <c r="M915" s="14" t="s">
        <v>689</v>
      </c>
      <c r="N915" s="14" t="s">
        <v>25</v>
      </c>
      <c r="O915" s="14"/>
      <c r="P915" s="14"/>
      <c r="Q915" s="14"/>
      <c r="R915" s="14" t="s">
        <v>1242</v>
      </c>
    </row>
    <row r="916" spans="1:18" ht="15" customHeight="1">
      <c r="A916" s="12">
        <v>1109</v>
      </c>
      <c r="B916" s="13" t="s">
        <v>1497</v>
      </c>
      <c r="C916" s="14"/>
      <c r="D916" s="14" t="s">
        <v>1496</v>
      </c>
      <c r="E916" s="14" t="s">
        <v>44</v>
      </c>
      <c r="F916" s="15" t="s">
        <v>22</v>
      </c>
      <c r="G916" s="21"/>
      <c r="H916" s="58">
        <v>1</v>
      </c>
      <c r="I916" s="14"/>
      <c r="J916" s="14" t="s">
        <v>23</v>
      </c>
      <c r="K916" s="14"/>
      <c r="L916" s="14"/>
      <c r="M916" s="14" t="s">
        <v>29</v>
      </c>
      <c r="N916" s="25" t="s">
        <v>37</v>
      </c>
      <c r="O916" s="14" t="s">
        <v>47</v>
      </c>
      <c r="P916" s="14"/>
      <c r="Q916" s="14"/>
      <c r="R916" s="14" t="s">
        <v>1449</v>
      </c>
    </row>
    <row r="917" spans="1:18" ht="15" customHeight="1">
      <c r="A917" s="12">
        <v>1903</v>
      </c>
      <c r="B917" s="13" t="s">
        <v>1498</v>
      </c>
      <c r="C917" s="14"/>
      <c r="D917" s="14" t="s">
        <v>1496</v>
      </c>
      <c r="E917" s="14" t="s">
        <v>44</v>
      </c>
      <c r="F917" s="15" t="s">
        <v>22</v>
      </c>
      <c r="G917" s="14"/>
      <c r="H917" s="58">
        <v>3</v>
      </c>
      <c r="I917" s="14"/>
      <c r="J917" s="14" t="s">
        <v>23</v>
      </c>
      <c r="K917" s="14"/>
      <c r="L917" s="14"/>
      <c r="M917" s="14" t="s">
        <v>32</v>
      </c>
      <c r="N917" s="22"/>
      <c r="O917" s="14"/>
      <c r="P917" s="14"/>
      <c r="Q917" s="14"/>
      <c r="R917" s="14"/>
    </row>
    <row r="918" spans="1:18" ht="15" customHeight="1">
      <c r="A918" s="12">
        <v>341</v>
      </c>
      <c r="B918" s="13" t="s">
        <v>1499</v>
      </c>
      <c r="C918" s="14"/>
      <c r="D918" s="14" t="s">
        <v>1500</v>
      </c>
      <c r="E918" s="14" t="s">
        <v>44</v>
      </c>
      <c r="F918" s="15" t="s">
        <v>22</v>
      </c>
      <c r="G918" s="14"/>
      <c r="H918" s="58"/>
      <c r="I918" s="14"/>
      <c r="J918" s="14" t="s">
        <v>23</v>
      </c>
      <c r="K918" s="14"/>
      <c r="L918" s="14"/>
      <c r="M918" s="14" t="s">
        <v>689</v>
      </c>
      <c r="N918" s="25" t="s">
        <v>37</v>
      </c>
      <c r="O918" s="14" t="s">
        <v>138</v>
      </c>
      <c r="P918" s="14"/>
      <c r="Q918" s="14"/>
      <c r="R918" s="14" t="s">
        <v>1242</v>
      </c>
    </row>
    <row r="919" spans="1:18" ht="15" customHeight="1">
      <c r="A919" s="12">
        <v>1110</v>
      </c>
      <c r="B919" s="13" t="s">
        <v>1501</v>
      </c>
      <c r="C919" s="14"/>
      <c r="D919" s="14" t="s">
        <v>1500</v>
      </c>
      <c r="E919" s="14" t="s">
        <v>44</v>
      </c>
      <c r="F919" s="15" t="s">
        <v>22</v>
      </c>
      <c r="G919" s="21"/>
      <c r="H919" s="58">
        <v>2</v>
      </c>
      <c r="I919" s="14"/>
      <c r="J919" s="14" t="s">
        <v>23</v>
      </c>
      <c r="K919" s="14"/>
      <c r="L919" s="14"/>
      <c r="M919" s="14" t="s">
        <v>29</v>
      </c>
      <c r="N919" s="25" t="s">
        <v>37</v>
      </c>
      <c r="O919" s="14" t="s">
        <v>1502</v>
      </c>
      <c r="P919" s="14"/>
      <c r="Q919" s="14"/>
      <c r="R919" s="14" t="s">
        <v>1449</v>
      </c>
    </row>
    <row r="920" spans="1:18" ht="15" customHeight="1">
      <c r="A920" s="12">
        <v>1904</v>
      </c>
      <c r="B920" s="13" t="s">
        <v>1503</v>
      </c>
      <c r="C920" s="14"/>
      <c r="D920" s="14" t="s">
        <v>1500</v>
      </c>
      <c r="E920" s="14" t="s">
        <v>44</v>
      </c>
      <c r="F920" s="15" t="s">
        <v>22</v>
      </c>
      <c r="G920" s="14"/>
      <c r="H920" s="58">
        <v>2</v>
      </c>
      <c r="I920" s="14"/>
      <c r="J920" s="14" t="s">
        <v>23</v>
      </c>
      <c r="K920" s="14"/>
      <c r="L920" s="14"/>
      <c r="M920" s="14" t="s">
        <v>32</v>
      </c>
      <c r="N920" s="22"/>
      <c r="O920" s="14"/>
      <c r="P920" s="14"/>
      <c r="Q920" s="14"/>
      <c r="R920" s="14"/>
    </row>
    <row r="921" spans="1:18" ht="15" customHeight="1">
      <c r="A921" s="12">
        <v>342</v>
      </c>
      <c r="B921" s="13" t="s">
        <v>1504</v>
      </c>
      <c r="C921" s="14"/>
      <c r="D921" s="14" t="s">
        <v>1505</v>
      </c>
      <c r="E921" s="14" t="s">
        <v>44</v>
      </c>
      <c r="F921" s="15" t="s">
        <v>22</v>
      </c>
      <c r="G921" s="14"/>
      <c r="H921" s="58"/>
      <c r="I921" s="14"/>
      <c r="J921" s="14" t="s">
        <v>23</v>
      </c>
      <c r="K921" s="14"/>
      <c r="L921" s="14"/>
      <c r="M921" s="14" t="s">
        <v>689</v>
      </c>
      <c r="N921" s="25" t="s">
        <v>289</v>
      </c>
      <c r="O921" s="14" t="s">
        <v>138</v>
      </c>
      <c r="P921" s="14"/>
      <c r="Q921" s="14"/>
      <c r="R921" s="14" t="s">
        <v>1242</v>
      </c>
    </row>
    <row r="922" spans="1:18" ht="15" customHeight="1">
      <c r="A922" s="12">
        <v>1111</v>
      </c>
      <c r="B922" s="13" t="s">
        <v>1506</v>
      </c>
      <c r="C922" s="14"/>
      <c r="D922" s="14" t="s">
        <v>1505</v>
      </c>
      <c r="E922" s="14" t="s">
        <v>44</v>
      </c>
      <c r="F922" s="15" t="s">
        <v>22</v>
      </c>
      <c r="G922" s="21"/>
      <c r="H922" s="58"/>
      <c r="I922" s="14"/>
      <c r="J922" s="14" t="s">
        <v>23</v>
      </c>
      <c r="K922" s="14"/>
      <c r="L922" s="14"/>
      <c r="M922" s="14" t="s">
        <v>29</v>
      </c>
      <c r="N922" s="25" t="s">
        <v>37</v>
      </c>
      <c r="O922" s="14" t="s">
        <v>1507</v>
      </c>
      <c r="P922" s="14"/>
      <c r="Q922" s="14"/>
      <c r="R922" s="14" t="s">
        <v>1449</v>
      </c>
    </row>
    <row r="923" spans="1:18" ht="15" customHeight="1">
      <c r="A923" s="12">
        <v>1905</v>
      </c>
      <c r="B923" s="13" t="s">
        <v>1508</v>
      </c>
      <c r="C923" s="14"/>
      <c r="D923" s="14" t="s">
        <v>1505</v>
      </c>
      <c r="E923" s="14" t="s">
        <v>44</v>
      </c>
      <c r="F923" s="15" t="s">
        <v>22</v>
      </c>
      <c r="G923" s="14"/>
      <c r="H923" s="58">
        <v>3</v>
      </c>
      <c r="I923" s="14"/>
      <c r="J923" s="14" t="s">
        <v>23</v>
      </c>
      <c r="K923" s="14"/>
      <c r="L923" s="14"/>
      <c r="M923" s="14" t="s">
        <v>32</v>
      </c>
      <c r="N923" s="22"/>
      <c r="O923" s="14"/>
      <c r="P923" s="14"/>
      <c r="Q923" s="14"/>
      <c r="R923" s="14"/>
    </row>
    <row r="924" spans="1:18" ht="15" customHeight="1">
      <c r="A924" s="12">
        <v>343</v>
      </c>
      <c r="B924" s="13" t="s">
        <v>1509</v>
      </c>
      <c r="C924" s="14"/>
      <c r="D924" s="14" t="s">
        <v>1510</v>
      </c>
      <c r="E924" s="14" t="s">
        <v>44</v>
      </c>
      <c r="F924" s="15" t="s">
        <v>22</v>
      </c>
      <c r="G924" s="14"/>
      <c r="H924" s="58"/>
      <c r="I924" s="14"/>
      <c r="J924" s="14" t="s">
        <v>23</v>
      </c>
      <c r="K924" s="14"/>
      <c r="L924" s="14"/>
      <c r="M924" s="14" t="s">
        <v>689</v>
      </c>
      <c r="N924" s="25" t="s">
        <v>37</v>
      </c>
      <c r="O924" s="14" t="s">
        <v>45</v>
      </c>
      <c r="P924" s="14"/>
      <c r="Q924" s="14"/>
      <c r="R924" s="14" t="s">
        <v>1242</v>
      </c>
    </row>
    <row r="925" spans="1:18" ht="15" customHeight="1">
      <c r="A925" s="12">
        <v>1112</v>
      </c>
      <c r="B925" s="13" t="s">
        <v>1511</v>
      </c>
      <c r="C925" s="14"/>
      <c r="D925" s="14" t="s">
        <v>1510</v>
      </c>
      <c r="E925" s="14" t="s">
        <v>44</v>
      </c>
      <c r="F925" s="15" t="s">
        <v>22</v>
      </c>
      <c r="G925" s="21"/>
      <c r="H925" s="58"/>
      <c r="I925" s="14"/>
      <c r="J925" s="14" t="s">
        <v>23</v>
      </c>
      <c r="K925" s="14"/>
      <c r="L925" s="14"/>
      <c r="M925" s="14" t="s">
        <v>29</v>
      </c>
      <c r="N925" s="25" t="s">
        <v>37</v>
      </c>
      <c r="O925" s="14" t="s">
        <v>1512</v>
      </c>
      <c r="P925" s="14"/>
      <c r="Q925" s="14"/>
      <c r="R925" s="14" t="s">
        <v>1449</v>
      </c>
    </row>
    <row r="926" spans="1:18" ht="15" customHeight="1">
      <c r="A926" s="12">
        <v>1906</v>
      </c>
      <c r="B926" s="13" t="s">
        <v>1513</v>
      </c>
      <c r="C926" s="14"/>
      <c r="D926" s="14" t="s">
        <v>1510</v>
      </c>
      <c r="E926" s="14" t="s">
        <v>44</v>
      </c>
      <c r="F926" s="15" t="s">
        <v>22</v>
      </c>
      <c r="G926" s="14"/>
      <c r="H926" s="58">
        <v>3</v>
      </c>
      <c r="I926" s="14"/>
      <c r="J926" s="14" t="s">
        <v>23</v>
      </c>
      <c r="K926" s="14"/>
      <c r="L926" s="14"/>
      <c r="M926" s="14" t="s">
        <v>32</v>
      </c>
      <c r="N926" s="22"/>
      <c r="O926" s="14"/>
      <c r="P926" s="14"/>
      <c r="Q926" s="14"/>
      <c r="R926" s="14"/>
    </row>
    <row r="927" spans="1:18" ht="15" customHeight="1">
      <c r="A927" s="12">
        <v>344</v>
      </c>
      <c r="B927" s="13" t="s">
        <v>1514</v>
      </c>
      <c r="C927" s="14"/>
      <c r="D927" s="14" t="s">
        <v>1515</v>
      </c>
      <c r="E927" s="14" t="s">
        <v>36</v>
      </c>
      <c r="F927" s="15" t="s">
        <v>22</v>
      </c>
      <c r="G927" s="14"/>
      <c r="H927" s="58"/>
      <c r="I927" s="14"/>
      <c r="J927" s="14" t="s">
        <v>23</v>
      </c>
      <c r="K927" s="14"/>
      <c r="L927" s="14"/>
      <c r="M927" s="14" t="s">
        <v>689</v>
      </c>
      <c r="N927" s="14" t="s">
        <v>25</v>
      </c>
      <c r="O927" s="14"/>
      <c r="P927" s="14"/>
      <c r="Q927" s="14"/>
      <c r="R927" s="14" t="s">
        <v>1242</v>
      </c>
    </row>
    <row r="928" spans="1:18" ht="15" customHeight="1">
      <c r="A928" s="12">
        <v>1113</v>
      </c>
      <c r="B928" s="13" t="s">
        <v>1516</v>
      </c>
      <c r="C928" s="14"/>
      <c r="D928" s="14" t="s">
        <v>1515</v>
      </c>
      <c r="E928" s="14" t="s">
        <v>36</v>
      </c>
      <c r="F928" s="15" t="s">
        <v>22</v>
      </c>
      <c r="G928" s="21"/>
      <c r="H928" s="58">
        <v>2</v>
      </c>
      <c r="I928" s="14"/>
      <c r="J928" s="14" t="s">
        <v>23</v>
      </c>
      <c r="K928" s="14"/>
      <c r="L928" s="14"/>
      <c r="M928" s="14" t="s">
        <v>29</v>
      </c>
      <c r="N928" s="14" t="s">
        <v>25</v>
      </c>
      <c r="O928" s="14"/>
      <c r="P928" s="14"/>
      <c r="Q928" s="14"/>
      <c r="R928" s="14" t="s">
        <v>1449</v>
      </c>
    </row>
    <row r="929" spans="1:18" ht="15" customHeight="1">
      <c r="A929" s="12">
        <v>1907</v>
      </c>
      <c r="B929" s="13" t="s">
        <v>1517</v>
      </c>
      <c r="C929" s="14"/>
      <c r="D929" s="14" t="s">
        <v>1515</v>
      </c>
      <c r="E929" s="14" t="s">
        <v>36</v>
      </c>
      <c r="F929" s="15" t="s">
        <v>22</v>
      </c>
      <c r="G929" s="14"/>
      <c r="H929" s="58">
        <v>2</v>
      </c>
      <c r="I929" s="14"/>
      <c r="J929" s="14" t="s">
        <v>23</v>
      </c>
      <c r="K929" s="14"/>
      <c r="L929" s="14"/>
      <c r="M929" s="14" t="s">
        <v>32</v>
      </c>
      <c r="N929" s="22"/>
      <c r="O929" s="14"/>
      <c r="P929" s="14"/>
      <c r="Q929" s="14"/>
      <c r="R929" s="14"/>
    </row>
    <row r="930" spans="1:18" ht="15" customHeight="1">
      <c r="A930" s="12">
        <v>345</v>
      </c>
      <c r="B930" s="13" t="s">
        <v>1518</v>
      </c>
      <c r="C930" s="14"/>
      <c r="D930" s="14" t="s">
        <v>1519</v>
      </c>
      <c r="E930" s="14" t="s">
        <v>92</v>
      </c>
      <c r="F930" s="15" t="s">
        <v>22</v>
      </c>
      <c r="G930" s="14"/>
      <c r="H930" s="58"/>
      <c r="I930" s="14"/>
      <c r="J930" s="14" t="s">
        <v>23</v>
      </c>
      <c r="K930" s="14"/>
      <c r="L930" s="14"/>
      <c r="M930" s="14" t="s">
        <v>689</v>
      </c>
      <c r="N930" s="14" t="s">
        <v>25</v>
      </c>
      <c r="O930" s="14"/>
      <c r="P930" s="14"/>
      <c r="Q930" s="14"/>
      <c r="R930" s="14" t="s">
        <v>1242</v>
      </c>
    </row>
    <row r="931" spans="1:18" ht="15" customHeight="1">
      <c r="A931" s="12">
        <v>1114</v>
      </c>
      <c r="B931" s="13" t="s">
        <v>1520</v>
      </c>
      <c r="C931" s="14"/>
      <c r="D931" s="14" t="s">
        <v>1519</v>
      </c>
      <c r="E931" s="14" t="s">
        <v>92</v>
      </c>
      <c r="F931" s="15" t="s">
        <v>22</v>
      </c>
      <c r="G931" s="21"/>
      <c r="H931" s="58">
        <v>2</v>
      </c>
      <c r="I931" s="14"/>
      <c r="J931" s="14" t="s">
        <v>23</v>
      </c>
      <c r="K931" s="14"/>
      <c r="L931" s="14"/>
      <c r="M931" s="14" t="s">
        <v>29</v>
      </c>
      <c r="N931" s="25" t="s">
        <v>289</v>
      </c>
      <c r="O931" s="14" t="s">
        <v>189</v>
      </c>
      <c r="P931" s="14"/>
      <c r="Q931" s="14"/>
      <c r="R931" s="14" t="s">
        <v>1449</v>
      </c>
    </row>
    <row r="932" spans="1:18" ht="15" customHeight="1">
      <c r="A932" s="12">
        <v>1908</v>
      </c>
      <c r="B932" s="13" t="s">
        <v>1521</v>
      </c>
      <c r="C932" s="14"/>
      <c r="D932" s="14" t="s">
        <v>1519</v>
      </c>
      <c r="E932" s="14" t="s">
        <v>92</v>
      </c>
      <c r="F932" s="15" t="s">
        <v>22</v>
      </c>
      <c r="G932" s="14"/>
      <c r="H932" s="58">
        <v>3</v>
      </c>
      <c r="I932" s="14"/>
      <c r="J932" s="14" t="s">
        <v>23</v>
      </c>
      <c r="K932" s="14"/>
      <c r="L932" s="14"/>
      <c r="M932" s="14" t="s">
        <v>32</v>
      </c>
      <c r="N932" s="22"/>
      <c r="O932" s="14"/>
      <c r="P932" s="14"/>
      <c r="Q932" s="14"/>
      <c r="R932" s="14"/>
    </row>
    <row r="933" spans="1:18" ht="15" customHeight="1">
      <c r="A933" s="12">
        <v>346</v>
      </c>
      <c r="B933" s="13" t="s">
        <v>1522</v>
      </c>
      <c r="C933" s="14"/>
      <c r="D933" s="14" t="s">
        <v>1523</v>
      </c>
      <c r="E933" s="14" t="s">
        <v>172</v>
      </c>
      <c r="F933" s="15" t="s">
        <v>22</v>
      </c>
      <c r="G933" s="14"/>
      <c r="H933" s="58"/>
      <c r="I933" s="14"/>
      <c r="J933" s="14" t="s">
        <v>23</v>
      </c>
      <c r="K933" s="14"/>
      <c r="L933" s="14"/>
      <c r="M933" s="14" t="s">
        <v>689</v>
      </c>
      <c r="N933" s="25" t="s">
        <v>289</v>
      </c>
      <c r="O933" s="14" t="s">
        <v>189</v>
      </c>
      <c r="P933" s="14"/>
      <c r="Q933" s="14"/>
      <c r="R933" s="14" t="s">
        <v>1242</v>
      </c>
    </row>
    <row r="934" spans="1:18" ht="15" customHeight="1">
      <c r="A934" s="12">
        <v>1115</v>
      </c>
      <c r="B934" s="13" t="s">
        <v>1524</v>
      </c>
      <c r="C934" s="14"/>
      <c r="D934" s="14" t="s">
        <v>1523</v>
      </c>
      <c r="E934" s="14" t="s">
        <v>172</v>
      </c>
      <c r="F934" s="15" t="s">
        <v>22</v>
      </c>
      <c r="G934" s="21"/>
      <c r="H934" s="58">
        <v>1</v>
      </c>
      <c r="I934" s="14"/>
      <c r="J934" s="14" t="s">
        <v>23</v>
      </c>
      <c r="K934" s="14"/>
      <c r="L934" s="14"/>
      <c r="M934" s="14" t="s">
        <v>29</v>
      </c>
      <c r="N934" s="25" t="s">
        <v>37</v>
      </c>
      <c r="O934" s="14" t="s">
        <v>1525</v>
      </c>
      <c r="P934" s="14"/>
      <c r="Q934" s="14"/>
      <c r="R934" s="14" t="s">
        <v>1449</v>
      </c>
    </row>
    <row r="935" spans="1:18" ht="15" customHeight="1">
      <c r="A935" s="12">
        <v>1909</v>
      </c>
      <c r="B935" s="13" t="s">
        <v>1526</v>
      </c>
      <c r="C935" s="14"/>
      <c r="D935" s="14" t="s">
        <v>1523</v>
      </c>
      <c r="E935" s="14" t="s">
        <v>172</v>
      </c>
      <c r="F935" s="15" t="s">
        <v>22</v>
      </c>
      <c r="G935" s="14"/>
      <c r="H935" s="58">
        <v>3</v>
      </c>
      <c r="I935" s="14"/>
      <c r="J935" s="14" t="s">
        <v>23</v>
      </c>
      <c r="K935" s="14"/>
      <c r="L935" s="14"/>
      <c r="M935" s="14" t="s">
        <v>32</v>
      </c>
      <c r="N935" s="22"/>
      <c r="O935" s="14"/>
      <c r="P935" s="14"/>
      <c r="Q935" s="14"/>
      <c r="R935" s="14"/>
    </row>
    <row r="936" spans="1:18" ht="15" customHeight="1">
      <c r="A936" s="12">
        <v>347</v>
      </c>
      <c r="B936" s="13" t="s">
        <v>1527</v>
      </c>
      <c r="C936" s="14"/>
      <c r="D936" s="14" t="s">
        <v>1528</v>
      </c>
      <c r="E936" s="14" t="s">
        <v>92</v>
      </c>
      <c r="F936" s="15" t="s">
        <v>22</v>
      </c>
      <c r="G936" s="14"/>
      <c r="H936" s="58"/>
      <c r="I936" s="14"/>
      <c r="J936" s="14" t="s">
        <v>23</v>
      </c>
      <c r="K936" s="14"/>
      <c r="L936" s="14"/>
      <c r="M936" s="14" t="s">
        <v>689</v>
      </c>
      <c r="N936" s="14" t="s">
        <v>25</v>
      </c>
      <c r="O936" s="14"/>
      <c r="P936" s="14"/>
      <c r="Q936" s="14"/>
      <c r="R936" s="14" t="s">
        <v>1242</v>
      </c>
    </row>
    <row r="937" spans="1:18" ht="15" customHeight="1">
      <c r="A937" s="12">
        <v>1116</v>
      </c>
      <c r="B937" s="13" t="s">
        <v>1529</v>
      </c>
      <c r="C937" s="14"/>
      <c r="D937" s="14" t="s">
        <v>1528</v>
      </c>
      <c r="E937" s="14" t="s">
        <v>92</v>
      </c>
      <c r="F937" s="15" t="s">
        <v>22</v>
      </c>
      <c r="G937" s="21"/>
      <c r="H937" s="58">
        <v>3</v>
      </c>
      <c r="I937" s="14"/>
      <c r="J937" s="14" t="s">
        <v>23</v>
      </c>
      <c r="K937" s="14"/>
      <c r="L937" s="14"/>
      <c r="M937" s="14" t="s">
        <v>29</v>
      </c>
      <c r="N937" s="25" t="s">
        <v>289</v>
      </c>
      <c r="O937" s="14" t="s">
        <v>189</v>
      </c>
      <c r="P937" s="14"/>
      <c r="Q937" s="14"/>
      <c r="R937" s="14" t="s">
        <v>1449</v>
      </c>
    </row>
    <row r="938" spans="1:18" ht="15" customHeight="1">
      <c r="A938" s="12">
        <v>1910</v>
      </c>
      <c r="B938" s="13" t="s">
        <v>1530</v>
      </c>
      <c r="C938" s="14"/>
      <c r="D938" s="14" t="s">
        <v>1528</v>
      </c>
      <c r="E938" s="14" t="s">
        <v>92</v>
      </c>
      <c r="F938" s="15" t="s">
        <v>22</v>
      </c>
      <c r="G938" s="14"/>
      <c r="H938" s="58">
        <v>3</v>
      </c>
      <c r="I938" s="14"/>
      <c r="J938" s="14" t="s">
        <v>23</v>
      </c>
      <c r="K938" s="14"/>
      <c r="L938" s="14"/>
      <c r="M938" s="14" t="s">
        <v>32</v>
      </c>
      <c r="N938" s="22"/>
      <c r="O938" s="14"/>
      <c r="P938" s="14"/>
      <c r="Q938" s="14"/>
      <c r="R938" s="14"/>
    </row>
    <row r="939" spans="1:18" ht="15" customHeight="1">
      <c r="A939" s="12">
        <v>348</v>
      </c>
      <c r="B939" s="13" t="s">
        <v>1531</v>
      </c>
      <c r="C939" s="14"/>
      <c r="D939" s="14" t="s">
        <v>1532</v>
      </c>
      <c r="E939" s="14" t="s">
        <v>36</v>
      </c>
      <c r="F939" s="15" t="s">
        <v>22</v>
      </c>
      <c r="G939" s="14"/>
      <c r="H939" s="58"/>
      <c r="I939" s="14"/>
      <c r="J939" s="14" t="s">
        <v>23</v>
      </c>
      <c r="K939" s="14"/>
      <c r="L939" s="14"/>
      <c r="M939" s="14" t="s">
        <v>689</v>
      </c>
      <c r="N939" s="14" t="s">
        <v>25</v>
      </c>
      <c r="O939" s="14"/>
      <c r="P939" s="14"/>
      <c r="Q939" s="14"/>
      <c r="R939" s="14" t="s">
        <v>1242</v>
      </c>
    </row>
    <row r="940" spans="1:18" ht="15" customHeight="1">
      <c r="A940" s="12">
        <v>1145</v>
      </c>
      <c r="B940" s="13" t="s">
        <v>1533</v>
      </c>
      <c r="C940" s="14"/>
      <c r="D940" s="14" t="s">
        <v>1532</v>
      </c>
      <c r="E940" s="14" t="s">
        <v>36</v>
      </c>
      <c r="F940" s="15" t="s">
        <v>22</v>
      </c>
      <c r="G940" s="21"/>
      <c r="H940" s="58">
        <v>1</v>
      </c>
      <c r="I940" s="14"/>
      <c r="J940" s="14" t="s">
        <v>23</v>
      </c>
      <c r="K940" s="14"/>
      <c r="L940" s="14"/>
      <c r="M940" s="14" t="s">
        <v>1534</v>
      </c>
      <c r="N940" s="14" t="s">
        <v>25</v>
      </c>
      <c r="O940" s="14"/>
      <c r="P940" s="14"/>
      <c r="Q940" s="14"/>
      <c r="R940" s="14" t="s">
        <v>1449</v>
      </c>
    </row>
    <row r="941" spans="1:18" ht="15" customHeight="1">
      <c r="A941" s="12">
        <v>349</v>
      </c>
      <c r="B941" s="27" t="s">
        <v>1535</v>
      </c>
      <c r="C941" s="14"/>
      <c r="D941" s="14" t="s">
        <v>1536</v>
      </c>
      <c r="E941" s="14" t="s">
        <v>36</v>
      </c>
      <c r="F941" s="15" t="s">
        <v>22</v>
      </c>
      <c r="G941" s="14"/>
      <c r="H941" s="58"/>
      <c r="I941" s="14"/>
      <c r="J941" s="14" t="s">
        <v>23</v>
      </c>
      <c r="K941" s="14"/>
      <c r="L941" s="14"/>
      <c r="M941" s="14" t="s">
        <v>1537</v>
      </c>
      <c r="N941" s="14" t="s">
        <v>25</v>
      </c>
      <c r="O941" s="14"/>
      <c r="P941" s="14"/>
      <c r="Q941" s="14"/>
      <c r="R941" s="14" t="s">
        <v>1242</v>
      </c>
    </row>
    <row r="942" spans="1:18" ht="15" customHeight="1">
      <c r="A942" s="12">
        <v>1117</v>
      </c>
      <c r="B942" s="13" t="s">
        <v>1538</v>
      </c>
      <c r="C942" s="14"/>
      <c r="D942" s="14" t="s">
        <v>1536</v>
      </c>
      <c r="E942" s="14" t="s">
        <v>44</v>
      </c>
      <c r="F942" s="15" t="s">
        <v>22</v>
      </c>
      <c r="G942" s="21"/>
      <c r="H942" s="58">
        <v>2</v>
      </c>
      <c r="I942" s="14"/>
      <c r="J942" s="14" t="s">
        <v>23</v>
      </c>
      <c r="K942" s="14"/>
      <c r="L942" s="14"/>
      <c r="M942" s="14" t="s">
        <v>29</v>
      </c>
      <c r="N942" s="25" t="s">
        <v>37</v>
      </c>
      <c r="O942" s="14" t="s">
        <v>936</v>
      </c>
      <c r="P942" s="14"/>
      <c r="Q942" s="14"/>
      <c r="R942" s="14" t="s">
        <v>1449</v>
      </c>
    </row>
    <row r="943" spans="1:18" ht="15" customHeight="1">
      <c r="A943" s="12">
        <v>1146</v>
      </c>
      <c r="B943" s="13" t="s">
        <v>1539</v>
      </c>
      <c r="C943" s="14"/>
      <c r="D943" s="14" t="s">
        <v>1536</v>
      </c>
      <c r="E943" s="14" t="s">
        <v>44</v>
      </c>
      <c r="F943" s="15" t="s">
        <v>22</v>
      </c>
      <c r="G943" s="21"/>
      <c r="H943" s="58">
        <v>4</v>
      </c>
      <c r="I943" s="14"/>
      <c r="J943" s="14" t="s">
        <v>23</v>
      </c>
      <c r="K943" s="14"/>
      <c r="L943" s="14"/>
      <c r="M943" s="14" t="s">
        <v>1534</v>
      </c>
      <c r="N943" s="25" t="s">
        <v>37</v>
      </c>
      <c r="O943" s="14" t="s">
        <v>1133</v>
      </c>
      <c r="P943" s="14"/>
      <c r="Q943" s="14"/>
      <c r="R943" s="14" t="s">
        <v>1449</v>
      </c>
    </row>
    <row r="944" spans="1:18" ht="15" customHeight="1">
      <c r="A944" s="12">
        <v>1911</v>
      </c>
      <c r="B944" s="13" t="s">
        <v>1540</v>
      </c>
      <c r="C944" s="14"/>
      <c r="D944" s="14" t="s">
        <v>1536</v>
      </c>
      <c r="E944" s="14" t="s">
        <v>44</v>
      </c>
      <c r="F944" s="15" t="s">
        <v>22</v>
      </c>
      <c r="G944" s="14"/>
      <c r="H944" s="58">
        <v>4</v>
      </c>
      <c r="I944" s="14"/>
      <c r="J944" s="14" t="s">
        <v>23</v>
      </c>
      <c r="K944" s="14"/>
      <c r="L944" s="14"/>
      <c r="M944" s="14" t="s">
        <v>32</v>
      </c>
      <c r="N944" s="22"/>
      <c r="O944" s="14"/>
      <c r="P944" s="14"/>
      <c r="Q944" s="14"/>
      <c r="R944" s="14"/>
    </row>
    <row r="945" spans="1:18" ht="15" customHeight="1">
      <c r="A945" s="12">
        <v>350</v>
      </c>
      <c r="B945" s="13" t="s">
        <v>1541</v>
      </c>
      <c r="C945" s="14"/>
      <c r="D945" s="14" t="s">
        <v>1542</v>
      </c>
      <c r="E945" s="14" t="s">
        <v>92</v>
      </c>
      <c r="F945" s="15" t="s">
        <v>22</v>
      </c>
      <c r="G945" s="14"/>
      <c r="H945" s="58"/>
      <c r="I945" s="14"/>
      <c r="J945" s="14" t="s">
        <v>23</v>
      </c>
      <c r="K945" s="14"/>
      <c r="L945" s="14"/>
      <c r="M945" s="14" t="s">
        <v>1537</v>
      </c>
      <c r="N945" s="14" t="s">
        <v>25</v>
      </c>
      <c r="O945" s="14"/>
      <c r="P945" s="14"/>
      <c r="Q945" s="14"/>
      <c r="R945" s="14" t="s">
        <v>1242</v>
      </c>
    </row>
    <row r="946" spans="1:18" ht="15" customHeight="1">
      <c r="A946" s="12">
        <v>1147</v>
      </c>
      <c r="B946" s="13" t="s">
        <v>1543</v>
      </c>
      <c r="C946" s="14"/>
      <c r="D946" s="14" t="s">
        <v>1542</v>
      </c>
      <c r="E946" s="14" t="s">
        <v>92</v>
      </c>
      <c r="F946" s="15" t="s">
        <v>22</v>
      </c>
      <c r="G946" s="21"/>
      <c r="H946" s="58">
        <v>1</v>
      </c>
      <c r="I946" s="14"/>
      <c r="J946" s="14" t="s">
        <v>23</v>
      </c>
      <c r="K946" s="14"/>
      <c r="L946" s="14"/>
      <c r="M946" s="14" t="s">
        <v>1534</v>
      </c>
      <c r="N946" s="14" t="s">
        <v>25</v>
      </c>
      <c r="O946" s="14"/>
      <c r="P946" s="14"/>
      <c r="Q946" s="14"/>
      <c r="R946" s="14" t="s">
        <v>1449</v>
      </c>
    </row>
    <row r="947" spans="1:18" ht="15" customHeight="1">
      <c r="A947" s="12">
        <v>1912</v>
      </c>
      <c r="B947" s="13" t="s">
        <v>1544</v>
      </c>
      <c r="C947" s="14"/>
      <c r="D947" s="14" t="s">
        <v>1542</v>
      </c>
      <c r="E947" s="14" t="s">
        <v>92</v>
      </c>
      <c r="F947" s="15" t="s">
        <v>22</v>
      </c>
      <c r="G947" s="14"/>
      <c r="H947" s="58">
        <v>1</v>
      </c>
      <c r="I947" s="14"/>
      <c r="J947" s="14" t="s">
        <v>23</v>
      </c>
      <c r="K947" s="14"/>
      <c r="L947" s="14"/>
      <c r="M947" s="14" t="s">
        <v>32</v>
      </c>
      <c r="N947" s="22"/>
      <c r="O947" s="14"/>
      <c r="P947" s="14"/>
      <c r="Q947" s="14"/>
      <c r="R947" s="14"/>
    </row>
    <row r="948" spans="1:18" ht="15" customHeight="1">
      <c r="A948" s="12">
        <v>1148</v>
      </c>
      <c r="B948" s="13" t="s">
        <v>1545</v>
      </c>
      <c r="C948" s="14"/>
      <c r="D948" s="14" t="s">
        <v>1546</v>
      </c>
      <c r="E948" s="14" t="s">
        <v>172</v>
      </c>
      <c r="F948" s="15" t="s">
        <v>22</v>
      </c>
      <c r="G948" s="21"/>
      <c r="H948" s="58">
        <v>1</v>
      </c>
      <c r="I948" s="14"/>
      <c r="J948" s="14" t="s">
        <v>23</v>
      </c>
      <c r="K948" s="14"/>
      <c r="L948" s="14"/>
      <c r="M948" s="14" t="s">
        <v>1534</v>
      </c>
      <c r="N948" s="14" t="s">
        <v>25</v>
      </c>
      <c r="O948" s="14"/>
      <c r="P948" s="14"/>
      <c r="Q948" s="14"/>
      <c r="R948" s="14" t="s">
        <v>1449</v>
      </c>
    </row>
    <row r="949" spans="1:18" ht="15" customHeight="1">
      <c r="A949" s="12">
        <v>1913</v>
      </c>
      <c r="B949" s="13" t="s">
        <v>1547</v>
      </c>
      <c r="C949" s="14"/>
      <c r="D949" s="14" t="s">
        <v>1546</v>
      </c>
      <c r="E949" s="14" t="s">
        <v>172</v>
      </c>
      <c r="F949" s="15" t="s">
        <v>22</v>
      </c>
      <c r="G949" s="14"/>
      <c r="H949" s="58">
        <v>0</v>
      </c>
      <c r="I949" s="14"/>
      <c r="J949" s="14" t="s">
        <v>23</v>
      </c>
      <c r="K949" s="14"/>
      <c r="L949" s="14"/>
      <c r="M949" s="14" t="s">
        <v>32</v>
      </c>
      <c r="N949" s="22"/>
      <c r="O949" s="14"/>
      <c r="P949" s="14"/>
      <c r="Q949" s="14"/>
      <c r="R949" s="14"/>
    </row>
    <row r="950" spans="1:18" ht="15" customHeight="1">
      <c r="A950" s="12">
        <v>351</v>
      </c>
      <c r="B950" s="13" t="s">
        <v>1548</v>
      </c>
      <c r="C950" s="14"/>
      <c r="D950" s="14" t="s">
        <v>1549</v>
      </c>
      <c r="E950" s="14" t="s">
        <v>172</v>
      </c>
      <c r="F950" s="15" t="s">
        <v>22</v>
      </c>
      <c r="G950" s="14"/>
      <c r="H950" s="58"/>
      <c r="I950" s="14"/>
      <c r="J950" s="14" t="s">
        <v>23</v>
      </c>
      <c r="K950" s="14"/>
      <c r="L950" s="14"/>
      <c r="M950" s="14" t="s">
        <v>1537</v>
      </c>
      <c r="N950" s="14" t="s">
        <v>25</v>
      </c>
      <c r="O950" s="14"/>
      <c r="P950" s="14"/>
      <c r="Q950" s="14"/>
      <c r="R950" s="14" t="s">
        <v>1242</v>
      </c>
    </row>
    <row r="951" spans="1:18" ht="15" customHeight="1">
      <c r="A951" s="12">
        <v>1149</v>
      </c>
      <c r="B951" s="13" t="s">
        <v>1550</v>
      </c>
      <c r="C951" s="14"/>
      <c r="D951" s="14" t="s">
        <v>1549</v>
      </c>
      <c r="E951" s="14" t="s">
        <v>92</v>
      </c>
      <c r="F951" s="15" t="s">
        <v>22</v>
      </c>
      <c r="G951" s="21"/>
      <c r="H951" s="58">
        <v>1</v>
      </c>
      <c r="I951" s="14"/>
      <c r="J951" s="14" t="s">
        <v>23</v>
      </c>
      <c r="K951" s="14"/>
      <c r="L951" s="14"/>
      <c r="M951" s="14" t="s">
        <v>1534</v>
      </c>
      <c r="N951" s="14" t="s">
        <v>25</v>
      </c>
      <c r="O951" s="14"/>
      <c r="P951" s="14"/>
      <c r="Q951" s="14"/>
      <c r="R951" s="14" t="s">
        <v>1449</v>
      </c>
    </row>
    <row r="952" spans="1:18" ht="15" customHeight="1">
      <c r="A952" s="12">
        <v>1914</v>
      </c>
      <c r="B952" s="13" t="s">
        <v>1551</v>
      </c>
      <c r="C952" s="14"/>
      <c r="D952" s="14" t="s">
        <v>1549</v>
      </c>
      <c r="E952" s="14" t="s">
        <v>92</v>
      </c>
      <c r="F952" s="15" t="s">
        <v>22</v>
      </c>
      <c r="G952" s="14"/>
      <c r="H952" s="58">
        <v>0</v>
      </c>
      <c r="I952" s="14"/>
      <c r="J952" s="14" t="s">
        <v>23</v>
      </c>
      <c r="K952" s="14"/>
      <c r="L952" s="14"/>
      <c r="M952" s="14" t="s">
        <v>32</v>
      </c>
      <c r="N952" s="22"/>
      <c r="O952" s="14"/>
      <c r="P952" s="14"/>
      <c r="Q952" s="14"/>
      <c r="R952" s="14"/>
    </row>
    <row r="953" spans="1:18" ht="15" customHeight="1">
      <c r="A953" s="12">
        <v>352</v>
      </c>
      <c r="B953" s="13" t="s">
        <v>1552</v>
      </c>
      <c r="C953" s="14"/>
      <c r="D953" s="14" t="s">
        <v>1553</v>
      </c>
      <c r="E953" s="14" t="s">
        <v>21</v>
      </c>
      <c r="F953" s="15" t="s">
        <v>22</v>
      </c>
      <c r="G953" s="14"/>
      <c r="H953" s="58"/>
      <c r="I953" s="14"/>
      <c r="J953" s="14" t="s">
        <v>23</v>
      </c>
      <c r="K953" s="14"/>
      <c r="L953" s="14"/>
      <c r="M953" s="14" t="s">
        <v>1537</v>
      </c>
      <c r="N953" s="14" t="s">
        <v>25</v>
      </c>
      <c r="O953" s="14"/>
      <c r="P953" s="14"/>
      <c r="Q953" s="14"/>
      <c r="R953" s="14" t="s">
        <v>1242</v>
      </c>
    </row>
    <row r="954" spans="1:18" ht="15" customHeight="1">
      <c r="A954" s="12">
        <v>1150</v>
      </c>
      <c r="B954" s="13" t="s">
        <v>1554</v>
      </c>
      <c r="C954" s="14"/>
      <c r="D954" s="14" t="s">
        <v>1553</v>
      </c>
      <c r="E954" s="14" t="s">
        <v>21</v>
      </c>
      <c r="F954" s="15" t="s">
        <v>22</v>
      </c>
      <c r="G954" s="21"/>
      <c r="H954" s="58">
        <v>1</v>
      </c>
      <c r="I954" s="14"/>
      <c r="J954" s="14" t="s">
        <v>23</v>
      </c>
      <c r="K954" s="14"/>
      <c r="L954" s="14"/>
      <c r="M954" s="14" t="s">
        <v>1534</v>
      </c>
      <c r="N954" s="25" t="s">
        <v>289</v>
      </c>
      <c r="O954" s="14" t="s">
        <v>1555</v>
      </c>
      <c r="P954" s="14"/>
      <c r="Q954" s="14"/>
      <c r="R954" s="14" t="s">
        <v>1449</v>
      </c>
    </row>
    <row r="955" spans="1:18" ht="15" customHeight="1">
      <c r="A955" s="12">
        <v>1915</v>
      </c>
      <c r="B955" s="13" t="s">
        <v>1556</v>
      </c>
      <c r="C955" s="14"/>
      <c r="D955" s="14" t="s">
        <v>1553</v>
      </c>
      <c r="E955" s="14" t="s">
        <v>21</v>
      </c>
      <c r="F955" s="15" t="s">
        <v>22</v>
      </c>
      <c r="G955" s="14"/>
      <c r="H955" s="58">
        <v>0</v>
      </c>
      <c r="I955" s="14"/>
      <c r="J955" s="14" t="s">
        <v>23</v>
      </c>
      <c r="K955" s="14"/>
      <c r="L955" s="14"/>
      <c r="M955" s="14" t="s">
        <v>32</v>
      </c>
      <c r="N955" s="22"/>
      <c r="O955" s="14"/>
      <c r="P955" s="14"/>
      <c r="Q955" s="14"/>
      <c r="R955" s="14"/>
    </row>
    <row r="956" spans="1:18" ht="15" customHeight="1">
      <c r="A956" s="12">
        <v>353</v>
      </c>
      <c r="B956" s="13" t="s">
        <v>1557</v>
      </c>
      <c r="C956" s="14"/>
      <c r="D956" s="14" t="s">
        <v>1558</v>
      </c>
      <c r="E956" s="14" t="s">
        <v>1559</v>
      </c>
      <c r="F956" s="15" t="s">
        <v>22</v>
      </c>
      <c r="G956" s="14"/>
      <c r="H956" s="58"/>
      <c r="I956" s="14"/>
      <c r="J956" s="14" t="s">
        <v>23</v>
      </c>
      <c r="K956" s="14"/>
      <c r="L956" s="14"/>
      <c r="M956" s="14" t="s">
        <v>1537</v>
      </c>
      <c r="N956" s="14" t="s">
        <v>25</v>
      </c>
      <c r="O956" s="14"/>
      <c r="P956" s="14"/>
      <c r="Q956" s="14"/>
      <c r="R956" s="14" t="s">
        <v>1242</v>
      </c>
    </row>
    <row r="957" spans="1:18" ht="15" customHeight="1">
      <c r="A957" s="12">
        <v>1151</v>
      </c>
      <c r="B957" s="13" t="s">
        <v>1560</v>
      </c>
      <c r="C957" s="14"/>
      <c r="D957" s="14" t="s">
        <v>1558</v>
      </c>
      <c r="E957" s="14" t="s">
        <v>172</v>
      </c>
      <c r="F957" s="15" t="s">
        <v>22</v>
      </c>
      <c r="G957" s="21"/>
      <c r="H957" s="58">
        <v>0</v>
      </c>
      <c r="I957" s="14"/>
      <c r="J957" s="14" t="s">
        <v>23</v>
      </c>
      <c r="K957" s="14"/>
      <c r="L957" s="14"/>
      <c r="M957" s="14" t="s">
        <v>1534</v>
      </c>
      <c r="N957" s="14" t="s">
        <v>25</v>
      </c>
      <c r="O957" s="14"/>
      <c r="P957" s="14"/>
      <c r="Q957" s="14"/>
      <c r="R957" s="14" t="s">
        <v>1449</v>
      </c>
    </row>
    <row r="958" spans="1:18" ht="15" customHeight="1">
      <c r="A958" s="12">
        <v>1916</v>
      </c>
      <c r="B958" s="13" t="s">
        <v>1561</v>
      </c>
      <c r="C958" s="14"/>
      <c r="D958" s="14" t="s">
        <v>1558</v>
      </c>
      <c r="E958" s="14"/>
      <c r="F958" s="15" t="s">
        <v>22</v>
      </c>
      <c r="G958" s="14"/>
      <c r="H958" s="58">
        <v>0</v>
      </c>
      <c r="I958" s="14"/>
      <c r="J958" s="14" t="s">
        <v>23</v>
      </c>
      <c r="K958" s="14"/>
      <c r="L958" s="14"/>
      <c r="M958" s="14" t="s">
        <v>32</v>
      </c>
      <c r="N958" s="22"/>
      <c r="O958" s="14"/>
      <c r="P958" s="14"/>
      <c r="Q958" s="14"/>
      <c r="R958" s="14"/>
    </row>
    <row r="959" spans="1:18" ht="15" customHeight="1">
      <c r="A959" s="12">
        <v>354</v>
      </c>
      <c r="B959" s="13" t="s">
        <v>1562</v>
      </c>
      <c r="C959" s="14"/>
      <c r="D959" s="14" t="s">
        <v>1563</v>
      </c>
      <c r="E959" s="14" t="s">
        <v>44</v>
      </c>
      <c r="F959" s="15" t="s">
        <v>22</v>
      </c>
      <c r="G959" s="14"/>
      <c r="H959" s="58"/>
      <c r="I959" s="14"/>
      <c r="J959" s="14" t="s">
        <v>23</v>
      </c>
      <c r="K959" s="14"/>
      <c r="L959" s="14"/>
      <c r="M959" s="14" t="s">
        <v>1537</v>
      </c>
      <c r="N959" s="14" t="s">
        <v>25</v>
      </c>
      <c r="O959" s="14"/>
      <c r="P959" s="14"/>
      <c r="Q959" s="14"/>
      <c r="R959" s="14" t="s">
        <v>1242</v>
      </c>
    </row>
    <row r="960" spans="1:18" ht="15" customHeight="1">
      <c r="A960" s="12">
        <v>1152</v>
      </c>
      <c r="B960" s="13" t="s">
        <v>1564</v>
      </c>
      <c r="C960" s="14"/>
      <c r="D960" s="14" t="s">
        <v>1563</v>
      </c>
      <c r="E960" s="14" t="s">
        <v>44</v>
      </c>
      <c r="F960" s="15" t="s">
        <v>22</v>
      </c>
      <c r="G960" s="21"/>
      <c r="H960" s="58">
        <v>1</v>
      </c>
      <c r="I960" s="14"/>
      <c r="J960" s="14" t="s">
        <v>23</v>
      </c>
      <c r="K960" s="14"/>
      <c r="L960" s="14"/>
      <c r="M960" s="14" t="s">
        <v>1534</v>
      </c>
      <c r="N960" s="25" t="s">
        <v>37</v>
      </c>
      <c r="O960" s="14" t="s">
        <v>789</v>
      </c>
      <c r="P960" s="14"/>
      <c r="Q960" s="14"/>
      <c r="R960" s="14" t="s">
        <v>1449</v>
      </c>
    </row>
    <row r="961" spans="1:1027" ht="15" customHeight="1">
      <c r="A961" s="12">
        <v>1917</v>
      </c>
      <c r="B961" s="13" t="s">
        <v>1565</v>
      </c>
      <c r="C961" s="14"/>
      <c r="D961" s="14" t="s">
        <v>1563</v>
      </c>
      <c r="E961" s="14" t="s">
        <v>44</v>
      </c>
      <c r="F961" s="15" t="s">
        <v>22</v>
      </c>
      <c r="G961" s="14"/>
      <c r="H961" s="58">
        <v>2</v>
      </c>
      <c r="I961" s="14"/>
      <c r="J961" s="14" t="s">
        <v>23</v>
      </c>
      <c r="K961" s="14"/>
      <c r="L961" s="14"/>
      <c r="M961" s="14" t="s">
        <v>32</v>
      </c>
      <c r="N961" s="22"/>
      <c r="O961" s="14"/>
      <c r="P961" s="14"/>
      <c r="Q961" s="14"/>
      <c r="R961" s="14"/>
    </row>
    <row r="962" spans="1:1027" ht="15" customHeight="1">
      <c r="A962" s="12">
        <v>355</v>
      </c>
      <c r="B962" s="13" t="s">
        <v>1566</v>
      </c>
      <c r="C962" s="14"/>
      <c r="D962" s="14" t="s">
        <v>1567</v>
      </c>
      <c r="E962" s="14" t="s">
        <v>44</v>
      </c>
      <c r="F962" s="15" t="s">
        <v>22</v>
      </c>
      <c r="G962" s="14"/>
      <c r="H962" s="58"/>
      <c r="I962" s="14"/>
      <c r="J962" s="14" t="s">
        <v>23</v>
      </c>
      <c r="K962" s="14"/>
      <c r="L962" s="14"/>
      <c r="M962" s="14" t="s">
        <v>1537</v>
      </c>
      <c r="N962" s="25" t="s">
        <v>37</v>
      </c>
      <c r="O962" s="14" t="s">
        <v>45</v>
      </c>
      <c r="P962" s="14"/>
      <c r="Q962" s="14"/>
      <c r="R962" s="14" t="s">
        <v>1242</v>
      </c>
    </row>
    <row r="963" spans="1:1027" ht="15" customHeight="1">
      <c r="A963" s="12">
        <v>1153</v>
      </c>
      <c r="B963" s="13" t="s">
        <v>1568</v>
      </c>
      <c r="C963" s="14"/>
      <c r="D963" s="14" t="s">
        <v>1567</v>
      </c>
      <c r="E963" s="14" t="s">
        <v>44</v>
      </c>
      <c r="F963" s="15" t="s">
        <v>22</v>
      </c>
      <c r="G963" s="21"/>
      <c r="H963" s="58">
        <v>3</v>
      </c>
      <c r="I963" s="14"/>
      <c r="J963" s="14" t="s">
        <v>23</v>
      </c>
      <c r="K963" s="14"/>
      <c r="L963" s="14"/>
      <c r="M963" s="14" t="s">
        <v>1534</v>
      </c>
      <c r="N963" s="25" t="s">
        <v>37</v>
      </c>
      <c r="O963" s="14" t="s">
        <v>1569</v>
      </c>
      <c r="P963" s="14"/>
      <c r="Q963" s="14"/>
      <c r="R963" s="14" t="s">
        <v>1449</v>
      </c>
    </row>
    <row r="964" spans="1:1027" ht="15" customHeight="1">
      <c r="A964" s="12">
        <v>1918</v>
      </c>
      <c r="B964" s="13" t="s">
        <v>1570</v>
      </c>
      <c r="C964" s="14"/>
      <c r="D964" s="14" t="s">
        <v>1567</v>
      </c>
      <c r="E964" s="14" t="s">
        <v>44</v>
      </c>
      <c r="F964" s="15" t="s">
        <v>22</v>
      </c>
      <c r="G964" s="14"/>
      <c r="H964" s="58">
        <v>3</v>
      </c>
      <c r="I964" s="14"/>
      <c r="J964" s="14" t="s">
        <v>23</v>
      </c>
      <c r="K964" s="14"/>
      <c r="L964" s="14"/>
      <c r="M964" s="14" t="s">
        <v>32</v>
      </c>
      <c r="N964" s="22"/>
      <c r="O964" s="14"/>
      <c r="P964" s="14"/>
      <c r="Q964" s="14"/>
      <c r="R964" s="14"/>
    </row>
    <row r="965" spans="1:1027" ht="15" customHeight="1">
      <c r="A965" s="12">
        <v>356</v>
      </c>
      <c r="B965" s="27" t="s">
        <v>1571</v>
      </c>
      <c r="C965" s="14"/>
      <c r="D965" s="14" t="s">
        <v>1572</v>
      </c>
      <c r="E965" s="14" t="s">
        <v>137</v>
      </c>
      <c r="F965" s="15" t="s">
        <v>22</v>
      </c>
      <c r="G965" s="14"/>
      <c r="H965" s="58"/>
      <c r="I965" s="14"/>
      <c r="J965" s="14" t="s">
        <v>23</v>
      </c>
      <c r="K965" s="14"/>
      <c r="L965" s="14"/>
      <c r="M965" s="14" t="s">
        <v>1537</v>
      </c>
      <c r="N965" s="14" t="s">
        <v>25</v>
      </c>
      <c r="O965" s="14"/>
      <c r="P965" s="14"/>
      <c r="Q965" s="14"/>
      <c r="R965" s="14" t="s">
        <v>1242</v>
      </c>
    </row>
    <row r="966" spans="1:1027" ht="15" customHeight="1">
      <c r="A966" s="12">
        <v>1154</v>
      </c>
      <c r="B966" s="13" t="s">
        <v>1573</v>
      </c>
      <c r="C966" s="14"/>
      <c r="D966" s="14" t="s">
        <v>1572</v>
      </c>
      <c r="E966" s="14" t="s">
        <v>137</v>
      </c>
      <c r="F966" s="15" t="s">
        <v>22</v>
      </c>
      <c r="G966" s="21"/>
      <c r="H966" s="58">
        <v>3</v>
      </c>
      <c r="I966" s="14"/>
      <c r="J966" s="14" t="s">
        <v>23</v>
      </c>
      <c r="K966" s="14"/>
      <c r="L966" s="14"/>
      <c r="M966" s="14" t="s">
        <v>1534</v>
      </c>
      <c r="N966" s="14" t="s">
        <v>25</v>
      </c>
      <c r="O966" s="14"/>
      <c r="P966" s="14"/>
      <c r="Q966" s="14"/>
      <c r="R966" s="14" t="s">
        <v>1449</v>
      </c>
    </row>
    <row r="967" spans="1:1027" ht="15" customHeight="1">
      <c r="A967" s="12">
        <v>1919</v>
      </c>
      <c r="B967" s="13" t="s">
        <v>1574</v>
      </c>
      <c r="C967" s="14"/>
      <c r="D967" s="14" t="s">
        <v>1572</v>
      </c>
      <c r="E967" s="14" t="s">
        <v>137</v>
      </c>
      <c r="F967" s="15" t="s">
        <v>22</v>
      </c>
      <c r="G967" s="14"/>
      <c r="H967" s="58">
        <v>3</v>
      </c>
      <c r="I967" s="14"/>
      <c r="J967" s="14" t="s">
        <v>23</v>
      </c>
      <c r="K967" s="14"/>
      <c r="L967" s="14"/>
      <c r="M967" s="14" t="s">
        <v>32</v>
      </c>
      <c r="N967" s="22"/>
      <c r="O967" s="14"/>
      <c r="P967" s="14"/>
      <c r="Q967" s="14"/>
      <c r="R967" s="14"/>
    </row>
    <row r="968" spans="1:1027" ht="15" customHeight="1">
      <c r="A968" s="12">
        <v>357</v>
      </c>
      <c r="B968" s="13" t="s">
        <v>1575</v>
      </c>
      <c r="C968" s="14"/>
      <c r="D968" s="14" t="s">
        <v>1576</v>
      </c>
      <c r="E968" s="14" t="s">
        <v>44</v>
      </c>
      <c r="F968" s="15" t="s">
        <v>22</v>
      </c>
      <c r="G968" s="14"/>
      <c r="H968" s="58"/>
      <c r="I968" s="14"/>
      <c r="J968" s="14" t="s">
        <v>23</v>
      </c>
      <c r="K968" s="14"/>
      <c r="L968" s="14"/>
      <c r="M968" s="14" t="s">
        <v>1537</v>
      </c>
      <c r="N968" s="25" t="s">
        <v>37</v>
      </c>
      <c r="O968" s="14" t="s">
        <v>45</v>
      </c>
      <c r="P968" s="14"/>
      <c r="Q968" s="14"/>
      <c r="R968" s="14" t="s">
        <v>1242</v>
      </c>
    </row>
    <row r="969" spans="1:1027" ht="15" customHeight="1">
      <c r="A969" s="12">
        <v>1155</v>
      </c>
      <c r="B969" s="13" t="s">
        <v>1577</v>
      </c>
      <c r="C969" s="14"/>
      <c r="D969" s="14" t="s">
        <v>1576</v>
      </c>
      <c r="E969" s="14" t="s">
        <v>44</v>
      </c>
      <c r="F969" s="15" t="s">
        <v>22</v>
      </c>
      <c r="G969" s="21"/>
      <c r="H969" s="58">
        <v>3</v>
      </c>
      <c r="I969" s="14"/>
      <c r="J969" s="14" t="s">
        <v>23</v>
      </c>
      <c r="K969" s="14"/>
      <c r="L969" s="14"/>
      <c r="M969" s="14" t="s">
        <v>1534</v>
      </c>
      <c r="N969" s="25" t="s">
        <v>37</v>
      </c>
      <c r="O969" s="14" t="s">
        <v>958</v>
      </c>
      <c r="P969" s="14"/>
      <c r="Q969" s="14"/>
      <c r="R969" s="14" t="s">
        <v>1449</v>
      </c>
    </row>
    <row r="970" spans="1:1027" ht="15" customHeight="1">
      <c r="A970" s="12">
        <v>1920</v>
      </c>
      <c r="B970" s="13" t="s">
        <v>1578</v>
      </c>
      <c r="C970" s="14"/>
      <c r="D970" s="14" t="s">
        <v>1576</v>
      </c>
      <c r="E970" s="14" t="s">
        <v>44</v>
      </c>
      <c r="F970" s="15" t="s">
        <v>22</v>
      </c>
      <c r="G970" s="14"/>
      <c r="H970" s="58">
        <v>3</v>
      </c>
      <c r="I970" s="14"/>
      <c r="J970" s="14" t="s">
        <v>23</v>
      </c>
      <c r="K970" s="14"/>
      <c r="L970" s="14"/>
      <c r="M970" s="14" t="s">
        <v>32</v>
      </c>
      <c r="N970" s="22"/>
      <c r="O970" s="14"/>
      <c r="P970" s="14"/>
      <c r="Q970" s="14"/>
      <c r="R970" s="14"/>
    </row>
    <row r="971" spans="1:1027" ht="15" customHeight="1">
      <c r="A971" s="12">
        <v>358</v>
      </c>
      <c r="B971" s="13" t="s">
        <v>1579</v>
      </c>
      <c r="C971" s="14"/>
      <c r="D971" s="14" t="s">
        <v>1580</v>
      </c>
      <c r="E971" s="14" t="s">
        <v>44</v>
      </c>
      <c r="F971" s="15" t="s">
        <v>22</v>
      </c>
      <c r="G971" s="14"/>
      <c r="H971" s="58"/>
      <c r="I971" s="14"/>
      <c r="J971" s="14" t="s">
        <v>23</v>
      </c>
      <c r="K971" s="14"/>
      <c r="L971" s="14"/>
      <c r="M971" s="14" t="s">
        <v>1537</v>
      </c>
      <c r="N971" s="14" t="s">
        <v>25</v>
      </c>
      <c r="O971" s="14"/>
      <c r="P971" s="14"/>
      <c r="Q971" s="14"/>
      <c r="R971" s="14" t="s">
        <v>1242</v>
      </c>
    </row>
    <row r="972" spans="1:1027" ht="15" customHeight="1">
      <c r="A972" s="12">
        <v>1156</v>
      </c>
      <c r="B972" s="13" t="s">
        <v>1581</v>
      </c>
      <c r="C972" s="14"/>
      <c r="D972" s="14" t="s">
        <v>1580</v>
      </c>
      <c r="E972" s="14" t="s">
        <v>44</v>
      </c>
      <c r="F972" s="15" t="s">
        <v>22</v>
      </c>
      <c r="G972" s="21"/>
      <c r="H972" s="58">
        <v>0</v>
      </c>
      <c r="I972" s="14"/>
      <c r="J972" s="14" t="s">
        <v>23</v>
      </c>
      <c r="K972" s="14"/>
      <c r="L972" s="14"/>
      <c r="M972" s="14" t="s">
        <v>1534</v>
      </c>
      <c r="N972" s="14" t="s">
        <v>25</v>
      </c>
      <c r="O972" s="14"/>
      <c r="P972" s="14"/>
      <c r="Q972" s="14"/>
      <c r="R972" s="14" t="s">
        <v>1449</v>
      </c>
    </row>
    <row r="973" spans="1:1027" ht="15" customHeight="1">
      <c r="A973" s="12">
        <v>1921</v>
      </c>
      <c r="B973" s="13" t="s">
        <v>1582</v>
      </c>
      <c r="C973" s="14"/>
      <c r="D973" s="14" t="s">
        <v>1580</v>
      </c>
      <c r="E973" s="14" t="s">
        <v>44</v>
      </c>
      <c r="F973" s="15" t="s">
        <v>22</v>
      </c>
      <c r="G973" s="14"/>
      <c r="H973" s="58">
        <v>0</v>
      </c>
      <c r="I973" s="14"/>
      <c r="J973" s="14" t="s">
        <v>23</v>
      </c>
      <c r="K973" s="14"/>
      <c r="L973" s="14"/>
      <c r="M973" s="14" t="s">
        <v>32</v>
      </c>
      <c r="N973" s="22"/>
      <c r="O973" s="14"/>
      <c r="P973" s="14"/>
      <c r="Q973" s="14"/>
      <c r="R973" s="14"/>
    </row>
    <row r="974" spans="1:1027" ht="15" customHeight="1">
      <c r="A974" s="12">
        <v>9</v>
      </c>
      <c r="B974" s="13" t="s">
        <v>1583</v>
      </c>
      <c r="C974" s="14"/>
      <c r="D974" s="14" t="s">
        <v>1584</v>
      </c>
      <c r="E974" s="14" t="s">
        <v>137</v>
      </c>
      <c r="F974" s="15" t="s">
        <v>22</v>
      </c>
      <c r="G974" s="14"/>
      <c r="H974" s="58"/>
      <c r="I974" s="14"/>
      <c r="J974" s="14" t="s">
        <v>23</v>
      </c>
      <c r="K974" s="15"/>
      <c r="L974" s="15"/>
      <c r="M974" s="14" t="s">
        <v>24</v>
      </c>
      <c r="N974" s="14" t="s">
        <v>25</v>
      </c>
      <c r="O974" s="14"/>
      <c r="P974" s="14"/>
      <c r="Q974" s="14"/>
      <c r="R974" s="17">
        <v>43599</v>
      </c>
      <c r="S974" s="12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  <c r="SS974" s="3"/>
      <c r="ST974" s="3"/>
      <c r="SU974" s="3"/>
      <c r="SV974" s="3"/>
      <c r="SW974" s="3"/>
      <c r="SX974" s="3"/>
      <c r="SY974" s="3"/>
      <c r="SZ974" s="3"/>
      <c r="TA974" s="3"/>
      <c r="TB974" s="3"/>
      <c r="TC974" s="3"/>
      <c r="TD974" s="3"/>
      <c r="TE974" s="3"/>
      <c r="TF974" s="3"/>
      <c r="TG974" s="3"/>
      <c r="TH974" s="3"/>
      <c r="TI974" s="3"/>
      <c r="TJ974" s="3"/>
      <c r="TK974" s="3"/>
      <c r="TL974" s="3"/>
      <c r="TM974" s="3"/>
      <c r="TN974" s="3"/>
      <c r="TO974" s="3"/>
      <c r="TP974" s="3"/>
      <c r="TQ974" s="3"/>
      <c r="TR974" s="3"/>
      <c r="TS974" s="3"/>
      <c r="TT974" s="3"/>
      <c r="TU974" s="3"/>
      <c r="TV974" s="3"/>
      <c r="TW974" s="3"/>
      <c r="TX974" s="3"/>
      <c r="TY974" s="3"/>
      <c r="TZ974" s="3"/>
      <c r="UA974" s="3"/>
      <c r="UB974" s="3"/>
      <c r="UC974" s="3"/>
      <c r="UD974" s="3"/>
      <c r="UE974" s="3"/>
      <c r="UF974" s="3"/>
      <c r="UG974" s="3"/>
      <c r="UH974" s="3"/>
      <c r="UI974" s="3"/>
      <c r="UJ974" s="3"/>
      <c r="UK974" s="3"/>
      <c r="UL974" s="3"/>
      <c r="UM974" s="3"/>
      <c r="UN974" s="3"/>
      <c r="UO974" s="3"/>
      <c r="UP974" s="3"/>
      <c r="UQ974" s="3"/>
      <c r="UR974" s="3"/>
      <c r="US974" s="3"/>
      <c r="UT974" s="3"/>
      <c r="UU974" s="3"/>
      <c r="UV974" s="3"/>
      <c r="UW974" s="3"/>
      <c r="UX974" s="3"/>
      <c r="UY974" s="3"/>
      <c r="UZ974" s="3"/>
      <c r="VA974" s="3"/>
      <c r="VB974" s="3"/>
      <c r="VC974" s="3"/>
      <c r="VD974" s="3"/>
      <c r="VE974" s="3"/>
      <c r="VF974" s="3"/>
      <c r="VG974" s="3"/>
      <c r="VH974" s="3"/>
      <c r="VI974" s="3"/>
      <c r="VJ974" s="3"/>
      <c r="VK974" s="3"/>
      <c r="VL974" s="3"/>
      <c r="VM974" s="3"/>
      <c r="VN974" s="3"/>
      <c r="VO974" s="3"/>
      <c r="VP974" s="3"/>
      <c r="VQ974" s="3"/>
      <c r="VR974" s="3"/>
      <c r="VS974" s="3"/>
      <c r="VT974" s="3"/>
      <c r="VU974" s="3"/>
      <c r="VV974" s="3"/>
      <c r="VW974" s="3"/>
      <c r="VX974" s="3"/>
      <c r="VY974" s="3"/>
      <c r="VZ974" s="3"/>
      <c r="WA974" s="3"/>
      <c r="WB974" s="3"/>
      <c r="WC974" s="3"/>
      <c r="WD974" s="3"/>
      <c r="WE974" s="3"/>
      <c r="WF974" s="3"/>
      <c r="WG974" s="3"/>
      <c r="WH974" s="3"/>
      <c r="WI974" s="3"/>
      <c r="WJ974" s="3"/>
      <c r="WK974" s="3"/>
      <c r="WL974" s="3"/>
      <c r="WM974" s="3"/>
      <c r="WN974" s="3"/>
      <c r="WO974" s="3"/>
      <c r="WP974" s="3"/>
      <c r="WQ974" s="3"/>
      <c r="WR974" s="3"/>
      <c r="WS974" s="3"/>
      <c r="WT974" s="3"/>
      <c r="WU974" s="3"/>
      <c r="WV974" s="3"/>
      <c r="WW974" s="3"/>
      <c r="WX974" s="3"/>
      <c r="WY974" s="3"/>
      <c r="WZ974" s="3"/>
      <c r="XA974" s="3"/>
      <c r="XB974" s="3"/>
      <c r="XC974" s="3"/>
      <c r="XD974" s="3"/>
      <c r="XE974" s="3"/>
      <c r="XF974" s="3"/>
      <c r="XG974" s="3"/>
      <c r="XH974" s="3"/>
      <c r="XI974" s="3"/>
      <c r="XJ974" s="3"/>
      <c r="XK974" s="3"/>
      <c r="XL974" s="3"/>
      <c r="XM974" s="3"/>
      <c r="XN974" s="3"/>
      <c r="XO974" s="3"/>
      <c r="XP974" s="3"/>
      <c r="XQ974" s="3"/>
      <c r="XR974" s="3"/>
      <c r="XS974" s="3"/>
      <c r="XT974" s="3"/>
      <c r="XU974" s="3"/>
      <c r="XV974" s="3"/>
      <c r="XW974" s="3"/>
      <c r="XX974" s="3"/>
      <c r="XY974" s="3"/>
      <c r="XZ974" s="3"/>
      <c r="YA974" s="3"/>
      <c r="YB974" s="3"/>
      <c r="YC974" s="3"/>
      <c r="YD974" s="3"/>
      <c r="YE974" s="3"/>
      <c r="YF974" s="3"/>
      <c r="YG974" s="3"/>
      <c r="YH974" s="3"/>
      <c r="YI974" s="3"/>
      <c r="YJ974" s="3"/>
      <c r="YK974" s="3"/>
      <c r="YL974" s="3"/>
      <c r="YM974" s="3"/>
      <c r="YN974" s="3"/>
      <c r="YO974" s="3"/>
      <c r="YP974" s="3"/>
      <c r="YQ974" s="3"/>
      <c r="YR974" s="3"/>
      <c r="YS974" s="3"/>
      <c r="YT974" s="3"/>
      <c r="YU974" s="3"/>
      <c r="YV974" s="3"/>
      <c r="YW974" s="3"/>
      <c r="YX974" s="3"/>
      <c r="YY974" s="3"/>
      <c r="YZ974" s="3"/>
      <c r="ZA974" s="3"/>
      <c r="ZB974" s="3"/>
      <c r="ZC974" s="3"/>
      <c r="ZD974" s="3"/>
      <c r="ZE974" s="3"/>
      <c r="ZF974" s="3"/>
      <c r="ZG974" s="3"/>
      <c r="ZH974" s="3"/>
      <c r="ZI974" s="3"/>
      <c r="ZJ974" s="3"/>
      <c r="ZK974" s="3"/>
      <c r="ZL974" s="3"/>
      <c r="ZM974" s="3"/>
      <c r="ZN974" s="3"/>
      <c r="ZO974" s="3"/>
      <c r="ZP974" s="3"/>
      <c r="ZQ974" s="3"/>
      <c r="ZR974" s="3"/>
      <c r="ZS974" s="3"/>
      <c r="ZT974" s="3"/>
      <c r="ZU974" s="3"/>
      <c r="ZV974" s="3"/>
      <c r="ZW974" s="3"/>
      <c r="ZX974" s="3"/>
      <c r="ZY974" s="3"/>
      <c r="ZZ974" s="3"/>
      <c r="AAA974" s="3"/>
      <c r="AAB974" s="3"/>
      <c r="AAC974" s="3"/>
      <c r="AAD974" s="3"/>
      <c r="AAE974" s="3"/>
      <c r="AAF974" s="3"/>
      <c r="AAG974" s="3"/>
      <c r="AAH974" s="3"/>
      <c r="AAI974" s="3"/>
      <c r="AAJ974" s="3"/>
      <c r="AAK974" s="3"/>
      <c r="AAL974" s="3"/>
      <c r="AAM974" s="3"/>
      <c r="AAN974" s="3"/>
      <c r="AAO974" s="3"/>
      <c r="AAP974" s="3"/>
      <c r="AAQ974" s="3"/>
      <c r="AAR974" s="3"/>
      <c r="AAS974" s="3"/>
      <c r="AAT974" s="3"/>
      <c r="AAU974" s="3"/>
      <c r="AAV974" s="3"/>
      <c r="AAW974" s="3"/>
      <c r="AAX974" s="3"/>
      <c r="AAY974" s="3"/>
      <c r="AAZ974" s="3"/>
      <c r="ABA974" s="3"/>
      <c r="ABB974" s="3"/>
      <c r="ABC974" s="3"/>
      <c r="ABD974" s="3"/>
      <c r="ABE974" s="3"/>
      <c r="ABF974" s="3"/>
      <c r="ABG974" s="3"/>
      <c r="ABH974" s="3"/>
      <c r="ABI974" s="3"/>
      <c r="ABJ974" s="3"/>
      <c r="ABK974" s="3"/>
      <c r="ABL974" s="3"/>
      <c r="ABM974" s="3"/>
      <c r="ABN974" s="3"/>
      <c r="ABO974" s="3"/>
      <c r="ABP974" s="3"/>
      <c r="ABQ974" s="3"/>
      <c r="ABR974" s="3"/>
      <c r="ABS974" s="3"/>
      <c r="ABT974" s="3"/>
      <c r="ABU974" s="3"/>
      <c r="ABV974" s="3"/>
      <c r="ABW974" s="3"/>
      <c r="ABX974" s="3"/>
      <c r="ABY974" s="3"/>
      <c r="ABZ974" s="3"/>
      <c r="ACA974" s="3"/>
      <c r="ACB974" s="3"/>
      <c r="ACC974" s="3"/>
      <c r="ACD974" s="3"/>
      <c r="ACE974" s="3"/>
      <c r="ACF974" s="3"/>
      <c r="ACG974" s="3"/>
      <c r="ACH974" s="3"/>
      <c r="ACI974" s="3"/>
      <c r="ACJ974" s="3"/>
      <c r="ACK974" s="3"/>
      <c r="ACL974" s="3"/>
      <c r="ACM974" s="3"/>
      <c r="ACN974" s="3"/>
      <c r="ACO974" s="3"/>
      <c r="ACP974" s="3"/>
      <c r="ACQ974" s="3"/>
      <c r="ACR974" s="3"/>
      <c r="ACS974" s="3"/>
      <c r="ACT974" s="3"/>
      <c r="ACU974" s="3"/>
      <c r="ACV974" s="3"/>
      <c r="ACW974" s="3"/>
      <c r="ACX974" s="3"/>
      <c r="ACY974" s="3"/>
      <c r="ACZ974" s="3"/>
      <c r="ADA974" s="3"/>
      <c r="ADB974" s="3"/>
      <c r="ADC974" s="3"/>
      <c r="ADD974" s="3"/>
      <c r="ADE974" s="3"/>
      <c r="ADF974" s="3"/>
      <c r="ADG974" s="3"/>
      <c r="ADH974" s="3"/>
      <c r="ADI974" s="3"/>
      <c r="ADJ974" s="3"/>
      <c r="ADK974" s="3"/>
      <c r="ADL974" s="3"/>
      <c r="ADM974" s="3"/>
      <c r="ADN974" s="3"/>
      <c r="ADO974" s="3"/>
      <c r="ADP974" s="3"/>
      <c r="ADQ974" s="3"/>
      <c r="ADR974" s="3"/>
      <c r="ADS974" s="3"/>
      <c r="ADT974" s="3"/>
      <c r="ADU974" s="3"/>
      <c r="ADV974" s="3"/>
      <c r="ADW974" s="3"/>
      <c r="ADX974" s="3"/>
      <c r="ADY974" s="3"/>
      <c r="ADZ974" s="3"/>
      <c r="AEA974" s="3"/>
      <c r="AEB974" s="3"/>
      <c r="AEC974" s="3"/>
      <c r="AED974" s="3"/>
      <c r="AEE974" s="3"/>
      <c r="AEF974" s="3"/>
      <c r="AEG974" s="3"/>
      <c r="AEH974" s="3"/>
      <c r="AEI974" s="3"/>
      <c r="AEJ974" s="3"/>
      <c r="AEK974" s="3"/>
      <c r="AEL974" s="3"/>
      <c r="AEM974" s="3"/>
      <c r="AEN974" s="3"/>
      <c r="AEO974" s="3"/>
      <c r="AEP974" s="3"/>
      <c r="AEQ974" s="3"/>
      <c r="AER974" s="3"/>
      <c r="AES974" s="3"/>
      <c r="AET974" s="3"/>
      <c r="AEU974" s="3"/>
      <c r="AEV974" s="3"/>
      <c r="AEW974" s="3"/>
      <c r="AEX974" s="3"/>
      <c r="AEY974" s="3"/>
      <c r="AEZ974" s="3"/>
      <c r="AFA974" s="3"/>
      <c r="AFB974" s="3"/>
      <c r="AFC974" s="3"/>
      <c r="AFD974" s="3"/>
      <c r="AFE974" s="3"/>
      <c r="AFF974" s="3"/>
      <c r="AFG974" s="3"/>
      <c r="AFH974" s="3"/>
      <c r="AFI974" s="3"/>
      <c r="AFJ974" s="3"/>
      <c r="AFK974" s="3"/>
      <c r="AFL974" s="3"/>
      <c r="AFM974" s="3"/>
      <c r="AFN974" s="3"/>
      <c r="AFO974" s="3"/>
      <c r="AFP974" s="3"/>
      <c r="AFQ974" s="3"/>
      <c r="AFR974" s="3"/>
      <c r="AFS974" s="3"/>
      <c r="AFT974" s="3"/>
      <c r="AFU974" s="3"/>
      <c r="AFV974" s="3"/>
      <c r="AFW974" s="3"/>
      <c r="AFX974" s="3"/>
      <c r="AFY974" s="3"/>
      <c r="AFZ974" s="3"/>
      <c r="AGA974" s="3"/>
      <c r="AGB974" s="3"/>
      <c r="AGC974" s="3"/>
      <c r="AGD974" s="3"/>
      <c r="AGE974" s="3"/>
      <c r="AGF974" s="3"/>
      <c r="AGG974" s="3"/>
      <c r="AGH974" s="3"/>
      <c r="AGI974" s="3"/>
      <c r="AGJ974" s="3"/>
      <c r="AGK974" s="3"/>
      <c r="AGL974" s="3"/>
      <c r="AGM974" s="3"/>
      <c r="AGN974" s="3"/>
      <c r="AGO974" s="3"/>
      <c r="AGP974" s="3"/>
      <c r="AGQ974" s="3"/>
      <c r="AGR974" s="3"/>
      <c r="AGS974" s="3"/>
      <c r="AGT974" s="3"/>
      <c r="AGU974" s="3"/>
      <c r="AGV974" s="3"/>
      <c r="AGW974" s="3"/>
      <c r="AGX974" s="3"/>
      <c r="AGY974" s="3"/>
      <c r="AGZ974" s="3"/>
      <c r="AHA974" s="3"/>
      <c r="AHB974" s="3"/>
      <c r="AHC974" s="3"/>
      <c r="AHD974" s="3"/>
      <c r="AHE974" s="3"/>
      <c r="AHF974" s="3"/>
      <c r="AHG974" s="3"/>
      <c r="AHH974" s="3"/>
      <c r="AHI974" s="3"/>
      <c r="AHJ974" s="3"/>
      <c r="AHK974" s="3"/>
      <c r="AHL974" s="3"/>
      <c r="AHM974" s="3"/>
      <c r="AHN974" s="3"/>
      <c r="AHO974" s="3"/>
      <c r="AHP974" s="3"/>
      <c r="AHQ974" s="3"/>
      <c r="AHR974" s="3"/>
      <c r="AHS974" s="3"/>
      <c r="AHT974" s="3"/>
      <c r="AHU974" s="3"/>
      <c r="AHV974" s="3"/>
      <c r="AHW974" s="3"/>
      <c r="AHX974" s="3"/>
      <c r="AHY974" s="3"/>
      <c r="AHZ974" s="3"/>
      <c r="AIA974" s="3"/>
      <c r="AIB974" s="3"/>
      <c r="AIC974" s="3"/>
      <c r="AID974" s="3"/>
      <c r="AIE974" s="3"/>
      <c r="AIF974" s="3"/>
      <c r="AIG974" s="3"/>
      <c r="AIH974" s="3"/>
      <c r="AII974" s="3"/>
      <c r="AIJ974" s="3"/>
      <c r="AIK974" s="3"/>
      <c r="AIL974" s="3"/>
      <c r="AIM974" s="3"/>
      <c r="AIN974" s="3"/>
      <c r="AIO974" s="3"/>
      <c r="AIP974" s="3"/>
      <c r="AIQ974" s="3"/>
      <c r="AIR974" s="3"/>
      <c r="AIS974" s="3"/>
      <c r="AIT974" s="3"/>
      <c r="AIU974" s="3"/>
      <c r="AIV974" s="3"/>
      <c r="AIW974" s="3"/>
      <c r="AIX974" s="3"/>
      <c r="AIY974" s="3"/>
      <c r="AIZ974" s="3"/>
      <c r="AJA974" s="3"/>
      <c r="AJB974" s="3"/>
      <c r="AJC974" s="3"/>
      <c r="AJD974" s="3"/>
      <c r="AJE974" s="3"/>
      <c r="AJF974" s="3"/>
      <c r="AJG974" s="3"/>
      <c r="AJH974" s="3"/>
      <c r="AJI974" s="3"/>
      <c r="AJJ974" s="3"/>
      <c r="AJK974" s="3"/>
      <c r="AJL974" s="3"/>
      <c r="AJM974" s="3"/>
      <c r="AJN974" s="3"/>
      <c r="AJO974" s="3"/>
      <c r="AJP974" s="3"/>
      <c r="AJQ974" s="3"/>
      <c r="AJR974" s="3"/>
      <c r="AJS974" s="3"/>
      <c r="AJT974" s="3"/>
      <c r="AJU974" s="3"/>
      <c r="AJV974" s="3"/>
      <c r="AJW974" s="3"/>
      <c r="AJX974" s="3"/>
      <c r="AJY974" s="3"/>
      <c r="AJZ974" s="3"/>
      <c r="AKA974" s="3"/>
      <c r="AKB974" s="3"/>
      <c r="AKC974" s="3"/>
      <c r="AKD974" s="3"/>
      <c r="AKE974" s="3"/>
      <c r="AKF974" s="3"/>
      <c r="AKG974" s="3"/>
      <c r="AKH974" s="3"/>
      <c r="AKI974" s="3"/>
      <c r="AKJ974" s="3"/>
      <c r="AKK974" s="3"/>
      <c r="AKL974" s="3"/>
      <c r="AKM974" s="3"/>
      <c r="AKN974" s="3"/>
      <c r="AKO974" s="3"/>
      <c r="AKP974" s="3"/>
      <c r="AKQ974" s="3"/>
      <c r="AKR974" s="3"/>
      <c r="AKS974" s="3"/>
      <c r="AKT974" s="3"/>
      <c r="AKU974" s="3"/>
      <c r="AKV974" s="3"/>
      <c r="AKW974" s="3"/>
      <c r="AKX974" s="3"/>
      <c r="AKY974" s="3"/>
      <c r="AKZ974" s="3"/>
      <c r="ALA974" s="3"/>
      <c r="ALB974" s="3"/>
      <c r="ALC974" s="3"/>
      <c r="ALD974" s="3"/>
      <c r="ALE974" s="3"/>
      <c r="ALF974" s="3"/>
      <c r="ALG974" s="3"/>
      <c r="ALH974" s="3"/>
      <c r="ALI974" s="3"/>
      <c r="ALJ974" s="3"/>
      <c r="ALK974" s="3"/>
      <c r="ALL974" s="3"/>
      <c r="ALM974" s="3"/>
      <c r="ALN974" s="3"/>
      <c r="ALO974" s="3"/>
      <c r="ALP974" s="3"/>
      <c r="ALQ974" s="3"/>
      <c r="ALR974" s="3"/>
      <c r="ALS974" s="3"/>
      <c r="ALT974" s="3"/>
      <c r="ALU974" s="3"/>
      <c r="ALV974" s="3"/>
      <c r="ALW974" s="3"/>
      <c r="ALX974" s="3"/>
      <c r="ALY974" s="3"/>
      <c r="ALZ974" s="3"/>
      <c r="AMA974" s="3"/>
      <c r="AMB974" s="3"/>
      <c r="AMC974" s="3"/>
      <c r="AMD974" s="3"/>
      <c r="AME974" s="3"/>
      <c r="AMF974" s="3"/>
      <c r="AMG974" s="3"/>
      <c r="AMH974" s="3"/>
      <c r="AMI974" s="3"/>
      <c r="AMJ974" s="3"/>
      <c r="AMK974" s="3"/>
      <c r="AML974" s="3"/>
      <c r="AMM974" s="3"/>
    </row>
    <row r="975" spans="1:1027" ht="15" customHeight="1">
      <c r="A975" s="12">
        <v>359</v>
      </c>
      <c r="B975" s="13" t="s">
        <v>1585</v>
      </c>
      <c r="C975" s="14"/>
      <c r="D975" s="14" t="s">
        <v>1584</v>
      </c>
      <c r="E975" s="14" t="s">
        <v>137</v>
      </c>
      <c r="F975" s="15" t="s">
        <v>22</v>
      </c>
      <c r="G975" s="14"/>
      <c r="H975" s="58"/>
      <c r="I975" s="14"/>
      <c r="J975" s="14" t="s">
        <v>23</v>
      </c>
      <c r="K975" s="14"/>
      <c r="L975" s="14"/>
      <c r="M975" s="14" t="s">
        <v>1537</v>
      </c>
      <c r="N975" s="14" t="s">
        <v>25</v>
      </c>
      <c r="O975" s="14"/>
      <c r="P975" s="14"/>
      <c r="Q975" s="14"/>
      <c r="R975" s="14" t="s">
        <v>1242</v>
      </c>
    </row>
    <row r="976" spans="1:1027" ht="15" customHeight="1">
      <c r="A976" s="12">
        <v>1157</v>
      </c>
      <c r="B976" s="13" t="s">
        <v>1586</v>
      </c>
      <c r="C976" s="14"/>
      <c r="D976" s="14" t="s">
        <v>1584</v>
      </c>
      <c r="E976" s="14" t="s">
        <v>137</v>
      </c>
      <c r="F976" s="15" t="s">
        <v>22</v>
      </c>
      <c r="G976" s="21"/>
      <c r="H976" s="58">
        <v>1</v>
      </c>
      <c r="I976" s="14"/>
      <c r="J976" s="14" t="s">
        <v>23</v>
      </c>
      <c r="K976" s="14"/>
      <c r="L976" s="14"/>
      <c r="M976" s="14" t="s">
        <v>1534</v>
      </c>
      <c r="N976" s="14" t="s">
        <v>25</v>
      </c>
      <c r="O976" s="14"/>
      <c r="P976" s="14"/>
      <c r="Q976" s="14"/>
      <c r="R976" s="14" t="s">
        <v>1449</v>
      </c>
    </row>
    <row r="977" spans="1:18" ht="15" customHeight="1">
      <c r="A977" s="12">
        <v>1922</v>
      </c>
      <c r="B977" s="13" t="s">
        <v>1587</v>
      </c>
      <c r="C977" s="14"/>
      <c r="D977" s="14" t="s">
        <v>1584</v>
      </c>
      <c r="E977" s="14" t="s">
        <v>137</v>
      </c>
      <c r="F977" s="15" t="s">
        <v>22</v>
      </c>
      <c r="G977" s="14"/>
      <c r="H977" s="58">
        <v>2</v>
      </c>
      <c r="I977" s="14"/>
      <c r="J977" s="14" t="s">
        <v>23</v>
      </c>
      <c r="K977" s="14"/>
      <c r="L977" s="14"/>
      <c r="M977" s="14" t="s">
        <v>32</v>
      </c>
      <c r="N977" s="22"/>
      <c r="O977" s="14"/>
      <c r="P977" s="14"/>
      <c r="Q977" s="14"/>
      <c r="R977" s="14"/>
    </row>
    <row r="978" spans="1:18" ht="15" customHeight="1">
      <c r="A978" s="12">
        <v>360</v>
      </c>
      <c r="B978" s="13" t="s">
        <v>1588</v>
      </c>
      <c r="C978" s="14"/>
      <c r="D978" s="14" t="s">
        <v>1589</v>
      </c>
      <c r="E978" s="14" t="s">
        <v>44</v>
      </c>
      <c r="F978" s="15" t="s">
        <v>22</v>
      </c>
      <c r="G978" s="14"/>
      <c r="H978" s="58"/>
      <c r="I978" s="14"/>
      <c r="J978" s="14" t="s">
        <v>23</v>
      </c>
      <c r="K978" s="14"/>
      <c r="L978" s="14"/>
      <c r="M978" s="14" t="s">
        <v>1537</v>
      </c>
      <c r="N978" s="14" t="s">
        <v>25</v>
      </c>
      <c r="O978" s="14"/>
      <c r="P978" s="14"/>
      <c r="Q978" s="14"/>
      <c r="R978" s="14" t="s">
        <v>1242</v>
      </c>
    </row>
    <row r="979" spans="1:18" ht="15" customHeight="1">
      <c r="A979" s="12">
        <v>1158</v>
      </c>
      <c r="B979" s="13" t="s">
        <v>1590</v>
      </c>
      <c r="C979" s="14"/>
      <c r="D979" s="14" t="s">
        <v>1589</v>
      </c>
      <c r="E979" s="14" t="s">
        <v>44</v>
      </c>
      <c r="F979" s="15" t="s">
        <v>22</v>
      </c>
      <c r="G979" s="21"/>
      <c r="H979" s="58">
        <v>1</v>
      </c>
      <c r="I979" s="14"/>
      <c r="J979" s="14" t="s">
        <v>23</v>
      </c>
      <c r="K979" s="14"/>
      <c r="L979" s="14"/>
      <c r="M979" s="14" t="s">
        <v>1534</v>
      </c>
      <c r="N979" s="14" t="s">
        <v>25</v>
      </c>
      <c r="O979" s="14"/>
      <c r="P979" s="14"/>
      <c r="Q979" s="14"/>
      <c r="R979" s="14" t="s">
        <v>1449</v>
      </c>
    </row>
    <row r="980" spans="1:18" ht="15" customHeight="1">
      <c r="A980" s="12">
        <v>1923</v>
      </c>
      <c r="B980" s="13" t="s">
        <v>1591</v>
      </c>
      <c r="C980" s="14"/>
      <c r="D980" s="14" t="s">
        <v>1589</v>
      </c>
      <c r="E980" s="14" t="s">
        <v>44</v>
      </c>
      <c r="F980" s="15" t="s">
        <v>22</v>
      </c>
      <c r="G980" s="14"/>
      <c r="H980" s="58">
        <v>2</v>
      </c>
      <c r="I980" s="14"/>
      <c r="J980" s="14" t="s">
        <v>23</v>
      </c>
      <c r="K980" s="14"/>
      <c r="L980" s="14"/>
      <c r="M980" s="14" t="s">
        <v>32</v>
      </c>
      <c r="N980" s="22"/>
      <c r="O980" s="14"/>
      <c r="P980" s="14"/>
      <c r="Q980" s="14"/>
      <c r="R980" s="14"/>
    </row>
    <row r="981" spans="1:18" ht="15" customHeight="1">
      <c r="A981" s="12">
        <v>361</v>
      </c>
      <c r="B981" s="13" t="s">
        <v>1592</v>
      </c>
      <c r="C981" s="14"/>
      <c r="D981" s="14" t="s">
        <v>1593</v>
      </c>
      <c r="E981" s="14" t="s">
        <v>36</v>
      </c>
      <c r="F981" s="15" t="s">
        <v>22</v>
      </c>
      <c r="G981" s="14"/>
      <c r="H981" s="58"/>
      <c r="I981" s="14"/>
      <c r="J981" s="14" t="s">
        <v>23</v>
      </c>
      <c r="K981" s="14"/>
      <c r="L981" s="14"/>
      <c r="M981" s="14" t="s">
        <v>1537</v>
      </c>
      <c r="N981" s="14" t="s">
        <v>25</v>
      </c>
      <c r="O981" s="14"/>
      <c r="P981" s="14"/>
      <c r="Q981" s="14"/>
      <c r="R981" s="14" t="s">
        <v>1242</v>
      </c>
    </row>
    <row r="982" spans="1:18" ht="15" customHeight="1">
      <c r="A982" s="12">
        <v>1159</v>
      </c>
      <c r="B982" s="13" t="s">
        <v>1594</v>
      </c>
      <c r="C982" s="14"/>
      <c r="D982" s="14" t="s">
        <v>1593</v>
      </c>
      <c r="E982" s="14" t="s">
        <v>36</v>
      </c>
      <c r="F982" s="15" t="s">
        <v>22</v>
      </c>
      <c r="G982" s="21"/>
      <c r="H982" s="58">
        <v>1</v>
      </c>
      <c r="I982" s="14"/>
      <c r="J982" s="14" t="s">
        <v>23</v>
      </c>
      <c r="K982" s="14"/>
      <c r="L982" s="14"/>
      <c r="M982" s="14" t="s">
        <v>1534</v>
      </c>
      <c r="N982" s="14" t="s">
        <v>25</v>
      </c>
      <c r="O982" s="14"/>
      <c r="P982" s="14"/>
      <c r="Q982" s="14"/>
      <c r="R982" s="14" t="s">
        <v>1449</v>
      </c>
    </row>
    <row r="983" spans="1:18" ht="15" customHeight="1">
      <c r="A983" s="12">
        <v>1924</v>
      </c>
      <c r="B983" s="13" t="s">
        <v>1595</v>
      </c>
      <c r="C983" s="14"/>
      <c r="D983" s="14" t="s">
        <v>1593</v>
      </c>
      <c r="E983" s="14" t="s">
        <v>36</v>
      </c>
      <c r="F983" s="15" t="s">
        <v>22</v>
      </c>
      <c r="G983" s="14"/>
      <c r="H983" s="58">
        <v>1</v>
      </c>
      <c r="I983" s="14"/>
      <c r="J983" s="14" t="s">
        <v>23</v>
      </c>
      <c r="K983" s="14"/>
      <c r="L983" s="14"/>
      <c r="M983" s="14" t="s">
        <v>32</v>
      </c>
      <c r="N983" s="22"/>
      <c r="O983" s="14"/>
      <c r="P983" s="14"/>
      <c r="Q983" s="14"/>
      <c r="R983" s="14"/>
    </row>
    <row r="984" spans="1:18" ht="15" customHeight="1">
      <c r="A984" s="12">
        <v>362</v>
      </c>
      <c r="B984" s="13" t="s">
        <v>1596</v>
      </c>
      <c r="C984" s="14"/>
      <c r="D984" s="14" t="s">
        <v>1597</v>
      </c>
      <c r="E984" s="14" t="s">
        <v>44</v>
      </c>
      <c r="F984" s="15" t="s">
        <v>22</v>
      </c>
      <c r="G984" s="14"/>
      <c r="H984" s="58"/>
      <c r="I984" s="14"/>
      <c r="J984" s="14" t="s">
        <v>23</v>
      </c>
      <c r="K984" s="14"/>
      <c r="L984" s="14"/>
      <c r="M984" s="14" t="s">
        <v>1537</v>
      </c>
      <c r="N984" s="14" t="s">
        <v>25</v>
      </c>
      <c r="O984" s="14"/>
      <c r="P984" s="14"/>
      <c r="Q984" s="14"/>
      <c r="R984" s="14" t="s">
        <v>1242</v>
      </c>
    </row>
    <row r="985" spans="1:18" ht="15" customHeight="1">
      <c r="A985" s="12">
        <v>1160</v>
      </c>
      <c r="B985" s="13" t="s">
        <v>1598</v>
      </c>
      <c r="C985" s="14"/>
      <c r="D985" s="14" t="s">
        <v>1597</v>
      </c>
      <c r="E985" s="14" t="s">
        <v>44</v>
      </c>
      <c r="F985" s="15" t="s">
        <v>22</v>
      </c>
      <c r="G985" s="21"/>
      <c r="H985" s="58">
        <v>2</v>
      </c>
      <c r="I985" s="14"/>
      <c r="J985" s="14" t="s">
        <v>23</v>
      </c>
      <c r="K985" s="14"/>
      <c r="L985" s="14"/>
      <c r="M985" s="14" t="s">
        <v>1534</v>
      </c>
      <c r="N985" s="25" t="s">
        <v>37</v>
      </c>
      <c r="O985" s="14" t="s">
        <v>1599</v>
      </c>
      <c r="P985" s="14"/>
      <c r="Q985" s="14"/>
      <c r="R985" s="14" t="s">
        <v>1449</v>
      </c>
    </row>
    <row r="986" spans="1:18" ht="15" customHeight="1">
      <c r="A986" s="12">
        <v>1925</v>
      </c>
      <c r="B986" s="13" t="s">
        <v>1600</v>
      </c>
      <c r="C986" s="14"/>
      <c r="D986" s="14" t="s">
        <v>1597</v>
      </c>
      <c r="E986" s="14" t="s">
        <v>44</v>
      </c>
      <c r="F986" s="15" t="s">
        <v>22</v>
      </c>
      <c r="G986" s="14"/>
      <c r="H986" s="58">
        <v>3</v>
      </c>
      <c r="I986" s="14"/>
      <c r="J986" s="14" t="s">
        <v>23</v>
      </c>
      <c r="K986" s="14"/>
      <c r="L986" s="14"/>
      <c r="M986" s="14" t="s">
        <v>32</v>
      </c>
      <c r="N986" s="22"/>
      <c r="O986" s="14"/>
      <c r="P986" s="14"/>
      <c r="Q986" s="14"/>
      <c r="R986" s="14"/>
    </row>
    <row r="987" spans="1:18" ht="15" customHeight="1">
      <c r="A987" s="12">
        <v>363</v>
      </c>
      <c r="B987" s="13" t="s">
        <v>1601</v>
      </c>
      <c r="C987" s="14"/>
      <c r="D987" s="14" t="s">
        <v>1602</v>
      </c>
      <c r="E987" s="14" t="s">
        <v>137</v>
      </c>
      <c r="F987" s="15" t="s">
        <v>22</v>
      </c>
      <c r="G987" s="14"/>
      <c r="H987" s="58"/>
      <c r="I987" s="14"/>
      <c r="J987" s="14" t="s">
        <v>23</v>
      </c>
      <c r="K987" s="14"/>
      <c r="L987" s="14"/>
      <c r="M987" s="14" t="s">
        <v>1537</v>
      </c>
      <c r="N987" s="25" t="s">
        <v>37</v>
      </c>
      <c r="O987" s="14" t="s">
        <v>45</v>
      </c>
      <c r="P987" s="14"/>
      <c r="Q987" s="14"/>
      <c r="R987" s="14" t="s">
        <v>1242</v>
      </c>
    </row>
    <row r="988" spans="1:18" ht="15" customHeight="1">
      <c r="A988" s="12">
        <v>1161</v>
      </c>
      <c r="B988" s="13" t="s">
        <v>1603</v>
      </c>
      <c r="C988" s="14"/>
      <c r="D988" s="14" t="s">
        <v>1602</v>
      </c>
      <c r="E988" s="14" t="s">
        <v>137</v>
      </c>
      <c r="F988" s="15" t="s">
        <v>22</v>
      </c>
      <c r="G988" s="21"/>
      <c r="H988" s="58">
        <v>4</v>
      </c>
      <c r="I988" s="14"/>
      <c r="J988" s="14" t="s">
        <v>23</v>
      </c>
      <c r="K988" s="14"/>
      <c r="L988" s="14"/>
      <c r="M988" s="14" t="s">
        <v>1534</v>
      </c>
      <c r="N988" s="25" t="s">
        <v>37</v>
      </c>
      <c r="O988" s="14" t="s">
        <v>1604</v>
      </c>
      <c r="P988" s="14"/>
      <c r="Q988" s="14"/>
      <c r="R988" s="14" t="s">
        <v>1449</v>
      </c>
    </row>
    <row r="989" spans="1:18" ht="15" customHeight="1">
      <c r="A989" s="12">
        <v>1926</v>
      </c>
      <c r="B989" s="13" t="s">
        <v>1605</v>
      </c>
      <c r="C989" s="14"/>
      <c r="D989" s="14" t="s">
        <v>1602</v>
      </c>
      <c r="E989" s="14" t="s">
        <v>137</v>
      </c>
      <c r="F989" s="15" t="s">
        <v>22</v>
      </c>
      <c r="G989" s="14"/>
      <c r="H989" s="58">
        <v>4</v>
      </c>
      <c r="I989" s="14"/>
      <c r="J989" s="14" t="s">
        <v>23</v>
      </c>
      <c r="K989" s="14"/>
      <c r="L989" s="14"/>
      <c r="M989" s="14" t="s">
        <v>32</v>
      </c>
      <c r="N989" s="22"/>
      <c r="O989" s="14"/>
      <c r="P989" s="14"/>
      <c r="Q989" s="14"/>
      <c r="R989" s="14"/>
    </row>
    <row r="990" spans="1:18" ht="15" customHeight="1">
      <c r="A990" s="12">
        <v>364</v>
      </c>
      <c r="B990" s="13" t="s">
        <v>1606</v>
      </c>
      <c r="C990" s="14"/>
      <c r="D990" s="14" t="s">
        <v>1607</v>
      </c>
      <c r="E990" s="14"/>
      <c r="F990" s="15" t="s">
        <v>22</v>
      </c>
      <c r="G990" s="14"/>
      <c r="H990" s="58"/>
      <c r="I990" s="14"/>
      <c r="J990" s="14" t="s">
        <v>23</v>
      </c>
      <c r="K990" s="14"/>
      <c r="L990" s="14"/>
      <c r="M990" s="14" t="s">
        <v>1537</v>
      </c>
      <c r="N990" s="14" t="s">
        <v>25</v>
      </c>
      <c r="O990" s="14"/>
      <c r="P990" s="14"/>
      <c r="Q990" s="14"/>
      <c r="R990" s="14" t="s">
        <v>1242</v>
      </c>
    </row>
    <row r="991" spans="1:18" ht="15" customHeight="1">
      <c r="A991" s="12">
        <v>1162</v>
      </c>
      <c r="B991" s="13" t="s">
        <v>1608</v>
      </c>
      <c r="C991" s="14"/>
      <c r="D991" s="14" t="s">
        <v>1607</v>
      </c>
      <c r="E991" s="14" t="s">
        <v>172</v>
      </c>
      <c r="F991" s="15" t="s">
        <v>22</v>
      </c>
      <c r="G991" s="21"/>
      <c r="H991" s="58">
        <v>0</v>
      </c>
      <c r="I991" s="14"/>
      <c r="J991" s="14" t="s">
        <v>23</v>
      </c>
      <c r="K991" s="14"/>
      <c r="L991" s="14"/>
      <c r="M991" s="14" t="s">
        <v>1534</v>
      </c>
      <c r="N991" s="14" t="s">
        <v>25</v>
      </c>
      <c r="O991" s="14"/>
      <c r="P991" s="14"/>
      <c r="Q991" s="14"/>
      <c r="R991" s="14" t="s">
        <v>1449</v>
      </c>
    </row>
    <row r="992" spans="1:18" ht="15" customHeight="1">
      <c r="A992" s="12">
        <v>1927</v>
      </c>
      <c r="B992" s="13" t="s">
        <v>1609</v>
      </c>
      <c r="C992" s="14"/>
      <c r="D992" s="14" t="s">
        <v>1607</v>
      </c>
      <c r="E992" s="14"/>
      <c r="F992" s="15" t="s">
        <v>22</v>
      </c>
      <c r="G992" s="14"/>
      <c r="H992" s="58">
        <v>0</v>
      </c>
      <c r="I992" s="14"/>
      <c r="J992" s="14" t="s">
        <v>23</v>
      </c>
      <c r="K992" s="14"/>
      <c r="L992" s="14"/>
      <c r="M992" s="14" t="s">
        <v>32</v>
      </c>
      <c r="N992" s="22"/>
      <c r="O992" s="14"/>
      <c r="P992" s="14"/>
      <c r="Q992" s="14"/>
      <c r="R992" s="14"/>
    </row>
    <row r="993" spans="1:18" ht="15" customHeight="1">
      <c r="A993" s="12">
        <v>365</v>
      </c>
      <c r="B993" s="13" t="s">
        <v>1610</v>
      </c>
      <c r="C993" s="14"/>
      <c r="D993" s="14" t="s">
        <v>1611</v>
      </c>
      <c r="E993" s="14" t="s">
        <v>44</v>
      </c>
      <c r="F993" s="15" t="s">
        <v>22</v>
      </c>
      <c r="G993" s="14"/>
      <c r="H993" s="58"/>
      <c r="I993" s="14"/>
      <c r="J993" s="14" t="s">
        <v>23</v>
      </c>
      <c r="K993" s="14"/>
      <c r="L993" s="14"/>
      <c r="M993" s="14" t="s">
        <v>1537</v>
      </c>
      <c r="N993" s="14" t="s">
        <v>25</v>
      </c>
      <c r="O993" s="14"/>
      <c r="P993" s="14"/>
      <c r="Q993" s="14"/>
      <c r="R993" s="14" t="s">
        <v>1242</v>
      </c>
    </row>
    <row r="994" spans="1:18" ht="15" customHeight="1">
      <c r="A994" s="12">
        <v>1118</v>
      </c>
      <c r="B994" s="13" t="s">
        <v>1612</v>
      </c>
      <c r="C994" s="14"/>
      <c r="D994" s="14" t="s">
        <v>1611</v>
      </c>
      <c r="E994" s="14" t="s">
        <v>44</v>
      </c>
      <c r="F994" s="15" t="s">
        <v>22</v>
      </c>
      <c r="G994" s="21"/>
      <c r="H994" s="58">
        <v>1</v>
      </c>
      <c r="I994" s="14"/>
      <c r="J994" s="14" t="s">
        <v>23</v>
      </c>
      <c r="K994" s="14"/>
      <c r="L994" s="14"/>
      <c r="M994" s="14" t="s">
        <v>29</v>
      </c>
      <c r="N994" s="25" t="s">
        <v>37</v>
      </c>
      <c r="O994" s="14" t="s">
        <v>1613</v>
      </c>
      <c r="P994" s="14"/>
      <c r="Q994" s="14"/>
      <c r="R994" s="14" t="s">
        <v>1449</v>
      </c>
    </row>
    <row r="995" spans="1:18" ht="15" customHeight="1">
      <c r="A995" s="12">
        <v>1928</v>
      </c>
      <c r="B995" s="13" t="s">
        <v>1614</v>
      </c>
      <c r="C995" s="14"/>
      <c r="D995" s="14" t="s">
        <v>1611</v>
      </c>
      <c r="E995" s="14" t="s">
        <v>44</v>
      </c>
      <c r="F995" s="15" t="s">
        <v>22</v>
      </c>
      <c r="G995" s="14"/>
      <c r="H995" s="58">
        <v>2</v>
      </c>
      <c r="I995" s="14"/>
      <c r="J995" s="14" t="s">
        <v>23</v>
      </c>
      <c r="K995" s="14"/>
      <c r="L995" s="14"/>
      <c r="M995" s="14" t="s">
        <v>32</v>
      </c>
      <c r="N995" s="22"/>
      <c r="O995" s="14"/>
      <c r="P995" s="14"/>
      <c r="Q995" s="14"/>
      <c r="R995" s="14"/>
    </row>
    <row r="996" spans="1:18" ht="15" customHeight="1">
      <c r="A996" s="12">
        <v>366</v>
      </c>
      <c r="B996" s="13" t="s">
        <v>1615</v>
      </c>
      <c r="C996" s="14"/>
      <c r="D996" s="14" t="s">
        <v>1616</v>
      </c>
      <c r="E996" s="14" t="s">
        <v>44</v>
      </c>
      <c r="F996" s="15" t="s">
        <v>22</v>
      </c>
      <c r="G996" s="14"/>
      <c r="H996" s="58"/>
      <c r="I996" s="14"/>
      <c r="J996" s="14" t="s">
        <v>23</v>
      </c>
      <c r="K996" s="14"/>
      <c r="L996" s="14"/>
      <c r="M996" s="14" t="s">
        <v>1537</v>
      </c>
      <c r="N996" s="14" t="s">
        <v>25</v>
      </c>
      <c r="O996" s="14"/>
      <c r="P996" s="14"/>
      <c r="Q996" s="14"/>
      <c r="R996" s="14" t="s">
        <v>1242</v>
      </c>
    </row>
    <row r="997" spans="1:18" ht="15" customHeight="1">
      <c r="A997" s="12">
        <v>1163</v>
      </c>
      <c r="B997" s="13" t="s">
        <v>1617</v>
      </c>
      <c r="C997" s="14"/>
      <c r="D997" s="14" t="s">
        <v>1616</v>
      </c>
      <c r="E997" s="14" t="s">
        <v>44</v>
      </c>
      <c r="F997" s="15" t="s">
        <v>22</v>
      </c>
      <c r="G997" s="21"/>
      <c r="H997" s="58">
        <v>4</v>
      </c>
      <c r="I997" s="14"/>
      <c r="J997" s="14" t="s">
        <v>23</v>
      </c>
      <c r="K997" s="14"/>
      <c r="L997" s="14"/>
      <c r="M997" s="14" t="s">
        <v>1534</v>
      </c>
      <c r="N997" s="25" t="s">
        <v>37</v>
      </c>
      <c r="O997" s="14" t="s">
        <v>1618</v>
      </c>
      <c r="P997" s="14"/>
      <c r="Q997" s="14"/>
      <c r="R997" s="14" t="s">
        <v>1449</v>
      </c>
    </row>
    <row r="998" spans="1:18" ht="15" customHeight="1">
      <c r="A998" s="12">
        <v>1929</v>
      </c>
      <c r="B998" s="13" t="s">
        <v>1619</v>
      </c>
      <c r="C998" s="14"/>
      <c r="D998" s="14" t="s">
        <v>1616</v>
      </c>
      <c r="E998" s="14" t="s">
        <v>44</v>
      </c>
      <c r="F998" s="15" t="s">
        <v>22</v>
      </c>
      <c r="G998" s="14"/>
      <c r="H998" s="58">
        <v>2</v>
      </c>
      <c r="I998" s="14"/>
      <c r="J998" s="14" t="s">
        <v>23</v>
      </c>
      <c r="K998" s="14"/>
      <c r="L998" s="14"/>
      <c r="M998" s="14" t="s">
        <v>32</v>
      </c>
      <c r="N998" s="22"/>
      <c r="O998" s="14"/>
      <c r="P998" s="14"/>
      <c r="Q998" s="14"/>
      <c r="R998" s="14"/>
    </row>
    <row r="999" spans="1:18" ht="15" customHeight="1">
      <c r="A999" s="12">
        <v>367</v>
      </c>
      <c r="B999" s="13" t="s">
        <v>1620</v>
      </c>
      <c r="C999" s="14"/>
      <c r="D999" s="14" t="s">
        <v>1621</v>
      </c>
      <c r="E999" s="14" t="s">
        <v>36</v>
      </c>
      <c r="F999" s="15" t="s">
        <v>22</v>
      </c>
      <c r="G999" s="14"/>
      <c r="H999" s="58"/>
      <c r="I999" s="14"/>
      <c r="J999" s="14" t="s">
        <v>23</v>
      </c>
      <c r="K999" s="14"/>
      <c r="L999" s="14"/>
      <c r="M999" s="14" t="s">
        <v>1537</v>
      </c>
      <c r="N999" s="14" t="s">
        <v>25</v>
      </c>
      <c r="O999" s="14"/>
      <c r="P999" s="14"/>
      <c r="Q999" s="14"/>
      <c r="R999" s="14" t="s">
        <v>1242</v>
      </c>
    </row>
    <row r="1000" spans="1:18" ht="15" customHeight="1">
      <c r="A1000" s="12">
        <v>1119</v>
      </c>
      <c r="B1000" s="13" t="s">
        <v>1622</v>
      </c>
      <c r="C1000" s="14"/>
      <c r="D1000" s="14" t="s">
        <v>1621</v>
      </c>
      <c r="E1000" s="14" t="s">
        <v>36</v>
      </c>
      <c r="F1000" s="15" t="s">
        <v>22</v>
      </c>
      <c r="G1000" s="21"/>
      <c r="H1000" s="58">
        <v>1</v>
      </c>
      <c r="I1000" s="14"/>
      <c r="J1000" s="14" t="s">
        <v>23</v>
      </c>
      <c r="K1000" s="14"/>
      <c r="L1000" s="14"/>
      <c r="M1000" s="14" t="s">
        <v>29</v>
      </c>
      <c r="N1000" s="25" t="s">
        <v>37</v>
      </c>
      <c r="O1000" s="14" t="s">
        <v>1623</v>
      </c>
      <c r="P1000" s="14"/>
      <c r="Q1000" s="14"/>
      <c r="R1000" s="14" t="s">
        <v>1449</v>
      </c>
    </row>
    <row r="1001" spans="1:18" ht="15" customHeight="1">
      <c r="A1001" s="12">
        <v>1930</v>
      </c>
      <c r="B1001" s="13" t="s">
        <v>1624</v>
      </c>
      <c r="C1001" s="14"/>
      <c r="D1001" s="14" t="s">
        <v>1621</v>
      </c>
      <c r="E1001" s="14" t="s">
        <v>36</v>
      </c>
      <c r="F1001" s="15" t="s">
        <v>22</v>
      </c>
      <c r="G1001" s="14"/>
      <c r="H1001" s="58">
        <v>3</v>
      </c>
      <c r="I1001" s="14"/>
      <c r="J1001" s="14" t="s">
        <v>23</v>
      </c>
      <c r="K1001" s="14"/>
      <c r="L1001" s="14"/>
      <c r="M1001" s="14" t="s">
        <v>32</v>
      </c>
      <c r="N1001" s="22"/>
      <c r="O1001" s="14"/>
      <c r="P1001" s="14"/>
      <c r="Q1001" s="14"/>
      <c r="R1001" s="14"/>
    </row>
    <row r="1002" spans="1:18" ht="15" customHeight="1">
      <c r="A1002" s="12">
        <v>368</v>
      </c>
      <c r="B1002" s="13" t="s">
        <v>1625</v>
      </c>
      <c r="C1002" s="14"/>
      <c r="D1002" s="14" t="s">
        <v>1626</v>
      </c>
      <c r="E1002" s="14" t="s">
        <v>172</v>
      </c>
      <c r="F1002" s="15" t="s">
        <v>22</v>
      </c>
      <c r="G1002" s="14"/>
      <c r="H1002" s="58"/>
      <c r="I1002" s="14"/>
      <c r="J1002" s="14" t="s">
        <v>23</v>
      </c>
      <c r="K1002" s="14"/>
      <c r="L1002" s="14"/>
      <c r="M1002" s="14" t="s">
        <v>1537</v>
      </c>
      <c r="N1002" s="25" t="s">
        <v>289</v>
      </c>
      <c r="O1002" s="14" t="s">
        <v>138</v>
      </c>
      <c r="P1002" s="14"/>
      <c r="Q1002" s="14"/>
      <c r="R1002" s="14" t="s">
        <v>1242</v>
      </c>
    </row>
    <row r="1003" spans="1:18" ht="15" customHeight="1">
      <c r="A1003" s="12">
        <v>1164</v>
      </c>
      <c r="B1003" s="13" t="s">
        <v>1627</v>
      </c>
      <c r="C1003" s="14"/>
      <c r="D1003" s="14" t="s">
        <v>1626</v>
      </c>
      <c r="E1003" s="14" t="s">
        <v>172</v>
      </c>
      <c r="F1003" s="15" t="s">
        <v>22</v>
      </c>
      <c r="G1003" s="21"/>
      <c r="H1003" s="58">
        <v>4</v>
      </c>
      <c r="I1003" s="14"/>
      <c r="J1003" s="14" t="s">
        <v>23</v>
      </c>
      <c r="K1003" s="14"/>
      <c r="L1003" s="14"/>
      <c r="M1003" s="14" t="s">
        <v>1534</v>
      </c>
      <c r="N1003" s="25" t="s">
        <v>37</v>
      </c>
      <c r="O1003" s="14" t="s">
        <v>1628</v>
      </c>
      <c r="P1003" s="14"/>
      <c r="Q1003" s="14"/>
      <c r="R1003" s="14" t="s">
        <v>1449</v>
      </c>
    </row>
    <row r="1004" spans="1:18" ht="15" customHeight="1">
      <c r="A1004" s="12">
        <v>1931</v>
      </c>
      <c r="B1004" s="13" t="s">
        <v>1629</v>
      </c>
      <c r="C1004" s="14"/>
      <c r="D1004" s="14" t="s">
        <v>1626</v>
      </c>
      <c r="E1004" s="14" t="s">
        <v>172</v>
      </c>
      <c r="F1004" s="15" t="s">
        <v>22</v>
      </c>
      <c r="G1004" s="14"/>
      <c r="H1004" s="58">
        <v>3</v>
      </c>
      <c r="I1004" s="14"/>
      <c r="J1004" s="14" t="s">
        <v>23</v>
      </c>
      <c r="K1004" s="14"/>
      <c r="L1004" s="14"/>
      <c r="M1004" s="14" t="s">
        <v>32</v>
      </c>
      <c r="N1004" s="22"/>
      <c r="O1004" s="14"/>
      <c r="P1004" s="14"/>
      <c r="Q1004" s="14"/>
      <c r="R1004" s="14"/>
    </row>
    <row r="1005" spans="1:18" ht="15" customHeight="1">
      <c r="A1005" s="12">
        <v>369</v>
      </c>
      <c r="B1005" s="13" t="s">
        <v>1630</v>
      </c>
      <c r="C1005" s="14"/>
      <c r="D1005" s="14" t="s">
        <v>1631</v>
      </c>
      <c r="E1005" s="14" t="s">
        <v>36</v>
      </c>
      <c r="F1005" s="15" t="s">
        <v>22</v>
      </c>
      <c r="G1005" s="14"/>
      <c r="H1005" s="58"/>
      <c r="I1005" s="14"/>
      <c r="J1005" s="14" t="s">
        <v>23</v>
      </c>
      <c r="K1005" s="14"/>
      <c r="L1005" s="14"/>
      <c r="M1005" s="14" t="s">
        <v>1537</v>
      </c>
      <c r="N1005" s="25" t="s">
        <v>37</v>
      </c>
      <c r="O1005" s="14" t="s">
        <v>189</v>
      </c>
      <c r="P1005" s="14"/>
      <c r="Q1005" s="14"/>
      <c r="R1005" s="14" t="s">
        <v>1242</v>
      </c>
    </row>
    <row r="1006" spans="1:18" ht="15" customHeight="1">
      <c r="A1006" s="12">
        <v>1120</v>
      </c>
      <c r="B1006" s="13" t="s">
        <v>1632</v>
      </c>
      <c r="C1006" s="14"/>
      <c r="D1006" s="14" t="s">
        <v>1631</v>
      </c>
      <c r="E1006" s="14" t="s">
        <v>36</v>
      </c>
      <c r="F1006" s="15" t="s">
        <v>22</v>
      </c>
      <c r="G1006" s="21"/>
      <c r="H1006" s="58">
        <v>1</v>
      </c>
      <c r="I1006" s="14"/>
      <c r="J1006" s="14" t="s">
        <v>23</v>
      </c>
      <c r="K1006" s="14"/>
      <c r="L1006" s="14"/>
      <c r="M1006" s="14" t="s">
        <v>29</v>
      </c>
      <c r="N1006" s="25" t="s">
        <v>37</v>
      </c>
      <c r="O1006" s="14" t="s">
        <v>1082</v>
      </c>
      <c r="P1006" s="14"/>
      <c r="Q1006" s="14"/>
      <c r="R1006" s="14" t="s">
        <v>1449</v>
      </c>
    </row>
    <row r="1007" spans="1:18" ht="15" customHeight="1">
      <c r="A1007" s="12">
        <v>1932</v>
      </c>
      <c r="B1007" s="13" t="s">
        <v>1633</v>
      </c>
      <c r="C1007" s="14"/>
      <c r="D1007" s="14" t="s">
        <v>1631</v>
      </c>
      <c r="E1007" s="14" t="s">
        <v>36</v>
      </c>
      <c r="F1007" s="15" t="s">
        <v>22</v>
      </c>
      <c r="G1007" s="14"/>
      <c r="H1007" s="58">
        <v>3</v>
      </c>
      <c r="I1007" s="14"/>
      <c r="J1007" s="14" t="s">
        <v>23</v>
      </c>
      <c r="K1007" s="14"/>
      <c r="L1007" s="14"/>
      <c r="M1007" s="14" t="s">
        <v>32</v>
      </c>
      <c r="N1007" s="22"/>
      <c r="O1007" s="14"/>
      <c r="P1007" s="14"/>
      <c r="Q1007" s="14"/>
      <c r="R1007" s="14"/>
    </row>
    <row r="1008" spans="1:18" ht="15" customHeight="1">
      <c r="A1008" s="12">
        <v>370</v>
      </c>
      <c r="B1008" s="13" t="s">
        <v>1634</v>
      </c>
      <c r="C1008" s="14"/>
      <c r="D1008" s="14" t="s">
        <v>1635</v>
      </c>
      <c r="E1008" s="14" t="s">
        <v>44</v>
      </c>
      <c r="F1008" s="15" t="s">
        <v>22</v>
      </c>
      <c r="G1008" s="14"/>
      <c r="H1008" s="58"/>
      <c r="I1008" s="14"/>
      <c r="J1008" s="14" t="s">
        <v>23</v>
      </c>
      <c r="K1008" s="14"/>
      <c r="L1008" s="14"/>
      <c r="M1008" s="14" t="s">
        <v>1537</v>
      </c>
      <c r="N1008" s="25" t="s">
        <v>37</v>
      </c>
      <c r="O1008" s="14" t="s">
        <v>185</v>
      </c>
      <c r="P1008" s="14"/>
      <c r="Q1008" s="14"/>
      <c r="R1008" s="14" t="s">
        <v>1242</v>
      </c>
    </row>
    <row r="1009" spans="1:18" ht="15" customHeight="1">
      <c r="A1009" s="12">
        <v>1121</v>
      </c>
      <c r="B1009" s="13" t="s">
        <v>1636</v>
      </c>
      <c r="C1009" s="14"/>
      <c r="D1009" s="14" t="s">
        <v>1635</v>
      </c>
      <c r="E1009" s="14" t="s">
        <v>44</v>
      </c>
      <c r="F1009" s="15" t="s">
        <v>22</v>
      </c>
      <c r="G1009" s="21"/>
      <c r="H1009" s="58">
        <v>4</v>
      </c>
      <c r="I1009" s="14"/>
      <c r="J1009" s="14" t="s">
        <v>23</v>
      </c>
      <c r="K1009" s="14"/>
      <c r="L1009" s="14"/>
      <c r="M1009" s="14" t="s">
        <v>29</v>
      </c>
      <c r="N1009" s="25" t="s">
        <v>37</v>
      </c>
      <c r="O1009" s="14" t="s">
        <v>171</v>
      </c>
      <c r="P1009" s="14"/>
      <c r="Q1009" s="14"/>
      <c r="R1009" s="14" t="s">
        <v>1449</v>
      </c>
    </row>
    <row r="1010" spans="1:18" ht="15" customHeight="1">
      <c r="A1010" s="12">
        <v>371</v>
      </c>
      <c r="B1010" s="13" t="s">
        <v>1637</v>
      </c>
      <c r="C1010" s="14"/>
      <c r="D1010" s="14" t="s">
        <v>1638</v>
      </c>
      <c r="E1010" s="14" t="s">
        <v>44</v>
      </c>
      <c r="F1010" s="15" t="s">
        <v>22</v>
      </c>
      <c r="G1010" s="14"/>
      <c r="H1010" s="58"/>
      <c r="I1010" s="14"/>
      <c r="J1010" s="14" t="s">
        <v>23</v>
      </c>
      <c r="K1010" s="14"/>
      <c r="L1010" s="14"/>
      <c r="M1010" s="14" t="s">
        <v>1537</v>
      </c>
      <c r="N1010" s="25" t="s">
        <v>37</v>
      </c>
      <c r="O1010" s="14" t="s">
        <v>38</v>
      </c>
      <c r="P1010" s="14"/>
      <c r="Q1010" s="14"/>
      <c r="R1010" s="14" t="s">
        <v>1242</v>
      </c>
    </row>
    <row r="1011" spans="1:18" ht="15" customHeight="1">
      <c r="A1011" s="12">
        <v>1122</v>
      </c>
      <c r="B1011" s="13" t="s">
        <v>1639</v>
      </c>
      <c r="C1011" s="14"/>
      <c r="D1011" s="14" t="s">
        <v>1638</v>
      </c>
      <c r="E1011" s="14" t="s">
        <v>36</v>
      </c>
      <c r="F1011" s="15" t="s">
        <v>22</v>
      </c>
      <c r="G1011" s="21"/>
      <c r="H1011" s="58">
        <v>1</v>
      </c>
      <c r="I1011" s="14"/>
      <c r="J1011" s="14" t="s">
        <v>23</v>
      </c>
      <c r="K1011" s="14"/>
      <c r="L1011" s="14"/>
      <c r="M1011" s="14" t="s">
        <v>29</v>
      </c>
      <c r="N1011" s="25" t="s">
        <v>37</v>
      </c>
      <c r="O1011" s="14" t="s">
        <v>1640</v>
      </c>
      <c r="P1011" s="14"/>
      <c r="Q1011" s="14"/>
      <c r="R1011" s="14" t="s">
        <v>1449</v>
      </c>
    </row>
    <row r="1012" spans="1:18" ht="15" customHeight="1">
      <c r="A1012" s="12">
        <v>1933</v>
      </c>
      <c r="B1012" s="13" t="s">
        <v>1641</v>
      </c>
      <c r="C1012" s="14"/>
      <c r="D1012" s="14" t="s">
        <v>1638</v>
      </c>
      <c r="E1012" s="14" t="s">
        <v>36</v>
      </c>
      <c r="F1012" s="15" t="s">
        <v>22</v>
      </c>
      <c r="G1012" s="14"/>
      <c r="H1012" s="58">
        <v>4</v>
      </c>
      <c r="I1012" s="14"/>
      <c r="J1012" s="14" t="s">
        <v>23</v>
      </c>
      <c r="K1012" s="14"/>
      <c r="L1012" s="14"/>
      <c r="M1012" s="14" t="s">
        <v>32</v>
      </c>
      <c r="N1012" s="22"/>
      <c r="O1012" s="14"/>
      <c r="P1012" s="14"/>
      <c r="Q1012" s="14"/>
      <c r="R1012" s="14"/>
    </row>
    <row r="1013" spans="1:18" ht="15" customHeight="1">
      <c r="A1013" s="12">
        <v>372</v>
      </c>
      <c r="B1013" s="13" t="s">
        <v>1642</v>
      </c>
      <c r="C1013" s="14"/>
      <c r="D1013" s="14" t="s">
        <v>1643</v>
      </c>
      <c r="E1013" s="14" t="s">
        <v>36</v>
      </c>
      <c r="F1013" s="15" t="s">
        <v>22</v>
      </c>
      <c r="G1013" s="14"/>
      <c r="H1013" s="58"/>
      <c r="I1013" s="14"/>
      <c r="J1013" s="14" t="s">
        <v>23</v>
      </c>
      <c r="K1013" s="14"/>
      <c r="L1013" s="14"/>
      <c r="M1013" s="14" t="s">
        <v>1537</v>
      </c>
      <c r="N1013" s="14" t="s">
        <v>25</v>
      </c>
      <c r="O1013" s="14"/>
      <c r="P1013" s="14"/>
      <c r="Q1013" s="14"/>
      <c r="R1013" s="14" t="s">
        <v>1242</v>
      </c>
    </row>
    <row r="1014" spans="1:18" ht="15" customHeight="1">
      <c r="A1014" s="12">
        <v>1934</v>
      </c>
      <c r="B1014" s="13" t="s">
        <v>1644</v>
      </c>
      <c r="C1014" s="14"/>
      <c r="D1014" s="14" t="s">
        <v>1643</v>
      </c>
      <c r="E1014" s="14" t="s">
        <v>36</v>
      </c>
      <c r="F1014" s="15" t="s">
        <v>22</v>
      </c>
      <c r="G1014" s="14"/>
      <c r="H1014" s="58">
        <v>0</v>
      </c>
      <c r="I1014" s="14"/>
      <c r="J1014" s="14" t="s">
        <v>23</v>
      </c>
      <c r="K1014" s="14"/>
      <c r="L1014" s="14"/>
      <c r="M1014" s="14" t="s">
        <v>32</v>
      </c>
      <c r="N1014" s="22"/>
      <c r="O1014" s="14"/>
      <c r="P1014" s="14"/>
      <c r="Q1014" s="14"/>
      <c r="R1014" s="14"/>
    </row>
    <row r="1015" spans="1:18" ht="15" customHeight="1">
      <c r="A1015" s="12">
        <v>373</v>
      </c>
      <c r="B1015" s="13" t="s">
        <v>1645</v>
      </c>
      <c r="C1015" s="14"/>
      <c r="D1015" s="14" t="s">
        <v>1646</v>
      </c>
      <c r="E1015" s="14" t="s">
        <v>580</v>
      </c>
      <c r="F1015" s="15" t="s">
        <v>22</v>
      </c>
      <c r="G1015" s="14"/>
      <c r="H1015" s="58"/>
      <c r="I1015" s="14"/>
      <c r="J1015" s="14" t="s">
        <v>23</v>
      </c>
      <c r="K1015" s="14"/>
      <c r="L1015" s="14"/>
      <c r="M1015" s="14" t="s">
        <v>1537</v>
      </c>
      <c r="N1015" s="25" t="s">
        <v>289</v>
      </c>
      <c r="O1015" s="14" t="s">
        <v>189</v>
      </c>
      <c r="P1015" s="14"/>
      <c r="Q1015" s="14"/>
      <c r="R1015" s="14" t="s">
        <v>1242</v>
      </c>
    </row>
    <row r="1016" spans="1:18" ht="15" customHeight="1">
      <c r="A1016" s="12">
        <v>1165</v>
      </c>
      <c r="B1016" s="13" t="s">
        <v>1647</v>
      </c>
      <c r="C1016" s="14"/>
      <c r="D1016" s="14" t="s">
        <v>1646</v>
      </c>
      <c r="E1016" s="14" t="s">
        <v>580</v>
      </c>
      <c r="F1016" s="15" t="s">
        <v>22</v>
      </c>
      <c r="G1016" s="21"/>
      <c r="H1016" s="58">
        <v>3</v>
      </c>
      <c r="I1016" s="14"/>
      <c r="J1016" s="14" t="s">
        <v>23</v>
      </c>
      <c r="K1016" s="14"/>
      <c r="L1016" s="14"/>
      <c r="M1016" s="14" t="s">
        <v>1534</v>
      </c>
      <c r="N1016" s="25" t="s">
        <v>37</v>
      </c>
      <c r="O1016" s="14" t="s">
        <v>997</v>
      </c>
      <c r="P1016" s="14"/>
      <c r="Q1016" s="14"/>
      <c r="R1016" s="14" t="s">
        <v>1449</v>
      </c>
    </row>
    <row r="1017" spans="1:18" ht="15" customHeight="1">
      <c r="A1017" s="12">
        <v>1935</v>
      </c>
      <c r="B1017" s="13" t="s">
        <v>1648</v>
      </c>
      <c r="C1017" s="14"/>
      <c r="D1017" s="14" t="s">
        <v>1646</v>
      </c>
      <c r="E1017" s="14" t="s">
        <v>580</v>
      </c>
      <c r="F1017" s="15" t="s">
        <v>22</v>
      </c>
      <c r="G1017" s="14"/>
      <c r="H1017" s="58">
        <v>4</v>
      </c>
      <c r="I1017" s="14"/>
      <c r="J1017" s="14" t="s">
        <v>23</v>
      </c>
      <c r="K1017" s="14"/>
      <c r="L1017" s="14"/>
      <c r="M1017" s="14" t="s">
        <v>32</v>
      </c>
      <c r="N1017" s="22"/>
      <c r="O1017" s="14"/>
      <c r="P1017" s="14"/>
      <c r="Q1017" s="14"/>
      <c r="R1017" s="14"/>
    </row>
    <row r="1018" spans="1:18" ht="15" customHeight="1">
      <c r="A1018" s="12">
        <v>374</v>
      </c>
      <c r="B1018" s="13" t="s">
        <v>1649</v>
      </c>
      <c r="C1018" s="14"/>
      <c r="D1018" s="14" t="s">
        <v>1650</v>
      </c>
      <c r="E1018" s="14" t="s">
        <v>44</v>
      </c>
      <c r="F1018" s="15" t="s">
        <v>22</v>
      </c>
      <c r="G1018" s="14"/>
      <c r="H1018" s="58"/>
      <c r="I1018" s="14"/>
      <c r="J1018" s="14" t="s">
        <v>23</v>
      </c>
      <c r="K1018" s="14"/>
      <c r="L1018" s="14"/>
      <c r="M1018" s="14" t="s">
        <v>1537</v>
      </c>
      <c r="N1018" s="25" t="s">
        <v>289</v>
      </c>
      <c r="O1018" s="14" t="s">
        <v>189</v>
      </c>
      <c r="P1018" s="14"/>
      <c r="Q1018" s="14"/>
      <c r="R1018" s="14" t="s">
        <v>1242</v>
      </c>
    </row>
    <row r="1019" spans="1:18" ht="15" customHeight="1">
      <c r="A1019" s="12">
        <v>1166</v>
      </c>
      <c r="B1019" s="13" t="s">
        <v>1651</v>
      </c>
      <c r="C1019" s="14"/>
      <c r="D1019" s="14" t="s">
        <v>1650</v>
      </c>
      <c r="E1019" s="14" t="s">
        <v>44</v>
      </c>
      <c r="F1019" s="15" t="s">
        <v>22</v>
      </c>
      <c r="G1019" s="21"/>
      <c r="H1019" s="58">
        <v>3</v>
      </c>
      <c r="I1019" s="14"/>
      <c r="J1019" s="14" t="s">
        <v>23</v>
      </c>
      <c r="K1019" s="14"/>
      <c r="L1019" s="14"/>
      <c r="M1019" s="14" t="s">
        <v>1534</v>
      </c>
      <c r="N1019" s="25" t="s">
        <v>37</v>
      </c>
      <c r="O1019" s="14" t="s">
        <v>1652</v>
      </c>
      <c r="P1019" s="14"/>
      <c r="Q1019" s="14"/>
      <c r="R1019" s="14" t="s">
        <v>1449</v>
      </c>
    </row>
    <row r="1020" spans="1:18" ht="15" customHeight="1">
      <c r="A1020" s="12">
        <v>1936</v>
      </c>
      <c r="B1020" s="13" t="s">
        <v>1653</v>
      </c>
      <c r="C1020" s="14"/>
      <c r="D1020" s="14" t="s">
        <v>1650</v>
      </c>
      <c r="E1020" s="14" t="s">
        <v>44</v>
      </c>
      <c r="F1020" s="15" t="s">
        <v>22</v>
      </c>
      <c r="G1020" s="14"/>
      <c r="H1020" s="58">
        <v>4</v>
      </c>
      <c r="I1020" s="14"/>
      <c r="J1020" s="14" t="s">
        <v>23</v>
      </c>
      <c r="K1020" s="14"/>
      <c r="L1020" s="14"/>
      <c r="M1020" s="14" t="s">
        <v>32</v>
      </c>
      <c r="N1020" s="22"/>
      <c r="O1020" s="14"/>
      <c r="P1020" s="14"/>
      <c r="Q1020" s="14"/>
      <c r="R1020" s="14"/>
    </row>
    <row r="1021" spans="1:18" ht="15" customHeight="1">
      <c r="A1021" s="12">
        <v>375</v>
      </c>
      <c r="B1021" s="13" t="s">
        <v>1654</v>
      </c>
      <c r="C1021" s="14"/>
      <c r="D1021" s="14" t="s">
        <v>1655</v>
      </c>
      <c r="E1021" s="14" t="s">
        <v>21</v>
      </c>
      <c r="F1021" s="15" t="s">
        <v>22</v>
      </c>
      <c r="G1021" s="14"/>
      <c r="H1021" s="58"/>
      <c r="I1021" s="14"/>
      <c r="J1021" s="14" t="s">
        <v>23</v>
      </c>
      <c r="K1021" s="14"/>
      <c r="L1021" s="14"/>
      <c r="M1021" s="14" t="s">
        <v>1537</v>
      </c>
      <c r="N1021" s="14" t="s">
        <v>25</v>
      </c>
      <c r="O1021" s="14"/>
      <c r="P1021" s="14"/>
      <c r="Q1021" s="14"/>
      <c r="R1021" s="14" t="s">
        <v>1242</v>
      </c>
    </row>
    <row r="1022" spans="1:18" ht="15" customHeight="1">
      <c r="A1022" s="12">
        <v>1123</v>
      </c>
      <c r="B1022" s="13" t="s">
        <v>1656</v>
      </c>
      <c r="C1022" s="14"/>
      <c r="D1022" s="14" t="s">
        <v>1655</v>
      </c>
      <c r="E1022" s="14" t="s">
        <v>21</v>
      </c>
      <c r="F1022" s="15" t="s">
        <v>22</v>
      </c>
      <c r="G1022" s="21"/>
      <c r="H1022" s="58"/>
      <c r="I1022" s="14"/>
      <c r="J1022" s="14" t="s">
        <v>23</v>
      </c>
      <c r="K1022" s="14"/>
      <c r="L1022" s="14"/>
      <c r="M1022" s="14" t="s">
        <v>29</v>
      </c>
      <c r="N1022" s="14" t="s">
        <v>25</v>
      </c>
      <c r="O1022" s="14"/>
      <c r="P1022" s="14"/>
      <c r="Q1022" s="14"/>
      <c r="R1022" s="14" t="s">
        <v>1449</v>
      </c>
    </row>
    <row r="1023" spans="1:18" ht="15" customHeight="1">
      <c r="A1023" s="12">
        <v>1937</v>
      </c>
      <c r="B1023" s="13" t="s">
        <v>1657</v>
      </c>
      <c r="C1023" s="14"/>
      <c r="D1023" s="14" t="s">
        <v>1655</v>
      </c>
      <c r="E1023" s="14" t="s">
        <v>21</v>
      </c>
      <c r="F1023" s="15" t="s">
        <v>22</v>
      </c>
      <c r="G1023" s="14"/>
      <c r="H1023" s="58">
        <v>0</v>
      </c>
      <c r="I1023" s="14"/>
      <c r="J1023" s="14" t="s">
        <v>23</v>
      </c>
      <c r="K1023" s="14"/>
      <c r="L1023" s="14"/>
      <c r="M1023" s="14" t="s">
        <v>32</v>
      </c>
      <c r="N1023" s="22"/>
      <c r="O1023" s="14"/>
      <c r="P1023" s="14"/>
      <c r="Q1023" s="14"/>
      <c r="R1023" s="14"/>
    </row>
    <row r="1024" spans="1:18" ht="15" customHeight="1">
      <c r="A1024" s="12">
        <v>376</v>
      </c>
      <c r="B1024" s="13" t="s">
        <v>1658</v>
      </c>
      <c r="C1024" s="14"/>
      <c r="D1024" s="14" t="s">
        <v>1659</v>
      </c>
      <c r="E1024" s="14"/>
      <c r="F1024" s="15" t="s">
        <v>22</v>
      </c>
      <c r="G1024" s="14"/>
      <c r="H1024" s="58"/>
      <c r="I1024" s="14"/>
      <c r="J1024" s="14" t="s">
        <v>23</v>
      </c>
      <c r="K1024" s="14"/>
      <c r="L1024" s="14"/>
      <c r="M1024" s="14" t="s">
        <v>1537</v>
      </c>
      <c r="N1024" s="14" t="s">
        <v>25</v>
      </c>
      <c r="O1024" s="14"/>
      <c r="P1024" s="14"/>
      <c r="Q1024" s="14"/>
      <c r="R1024" s="14" t="s">
        <v>1242</v>
      </c>
    </row>
    <row r="1025" spans="1:18" ht="15" customHeight="1">
      <c r="A1025" s="12">
        <v>1167</v>
      </c>
      <c r="B1025" s="13" t="s">
        <v>1660</v>
      </c>
      <c r="C1025" s="14"/>
      <c r="D1025" s="14" t="s">
        <v>1659</v>
      </c>
      <c r="E1025" s="14" t="s">
        <v>172</v>
      </c>
      <c r="F1025" s="15" t="s">
        <v>22</v>
      </c>
      <c r="G1025" s="21"/>
      <c r="H1025" s="58">
        <v>2</v>
      </c>
      <c r="I1025" s="14"/>
      <c r="J1025" s="14" t="s">
        <v>23</v>
      </c>
      <c r="K1025" s="14"/>
      <c r="L1025" s="14"/>
      <c r="M1025" s="14" t="s">
        <v>1534</v>
      </c>
      <c r="N1025" s="25" t="s">
        <v>37</v>
      </c>
      <c r="O1025" s="14" t="s">
        <v>920</v>
      </c>
      <c r="P1025" s="14"/>
      <c r="Q1025" s="14"/>
      <c r="R1025" s="14" t="s">
        <v>1449</v>
      </c>
    </row>
    <row r="1026" spans="1:18" ht="15" customHeight="1">
      <c r="A1026" s="12">
        <v>1938</v>
      </c>
      <c r="B1026" s="13" t="s">
        <v>1661</v>
      </c>
      <c r="C1026" s="14"/>
      <c r="D1026" s="14" t="s">
        <v>1659</v>
      </c>
      <c r="E1026" s="14"/>
      <c r="F1026" s="15" t="s">
        <v>22</v>
      </c>
      <c r="G1026" s="14"/>
      <c r="H1026" s="58">
        <v>3</v>
      </c>
      <c r="I1026" s="14"/>
      <c r="J1026" s="14" t="s">
        <v>23</v>
      </c>
      <c r="K1026" s="14"/>
      <c r="L1026" s="14"/>
      <c r="M1026" s="14" t="s">
        <v>32</v>
      </c>
      <c r="N1026" s="22"/>
      <c r="O1026" s="14"/>
      <c r="P1026" s="14"/>
      <c r="Q1026" s="14"/>
      <c r="R1026" s="14"/>
    </row>
    <row r="1027" spans="1:18" ht="15" customHeight="1">
      <c r="A1027" s="12">
        <v>377</v>
      </c>
      <c r="B1027" s="13" t="s">
        <v>1662</v>
      </c>
      <c r="C1027" s="14"/>
      <c r="D1027" s="14" t="s">
        <v>1663</v>
      </c>
      <c r="E1027" s="14" t="s">
        <v>21</v>
      </c>
      <c r="F1027" s="15" t="s">
        <v>22</v>
      </c>
      <c r="G1027" s="14"/>
      <c r="H1027" s="58"/>
      <c r="I1027" s="14"/>
      <c r="J1027" s="14" t="s">
        <v>23</v>
      </c>
      <c r="K1027" s="14"/>
      <c r="L1027" s="14"/>
      <c r="M1027" s="14" t="s">
        <v>1537</v>
      </c>
      <c r="N1027" s="14" t="s">
        <v>25</v>
      </c>
      <c r="O1027" s="14"/>
      <c r="P1027" s="14"/>
      <c r="Q1027" s="14"/>
      <c r="R1027" s="14" t="s">
        <v>1242</v>
      </c>
    </row>
    <row r="1028" spans="1:18" ht="15" customHeight="1">
      <c r="A1028" s="12">
        <v>1124</v>
      </c>
      <c r="B1028" s="13" t="s">
        <v>1664</v>
      </c>
      <c r="C1028" s="14"/>
      <c r="D1028" s="14" t="s">
        <v>1663</v>
      </c>
      <c r="E1028" s="14" t="s">
        <v>21</v>
      </c>
      <c r="F1028" s="15" t="s">
        <v>22</v>
      </c>
      <c r="G1028" s="21"/>
      <c r="H1028" s="58"/>
      <c r="I1028" s="14"/>
      <c r="J1028" s="14" t="s">
        <v>23</v>
      </c>
      <c r="K1028" s="14"/>
      <c r="L1028" s="14"/>
      <c r="M1028" s="14" t="s">
        <v>29</v>
      </c>
      <c r="N1028" s="14" t="s">
        <v>25</v>
      </c>
      <c r="O1028" s="14"/>
      <c r="P1028" s="14"/>
      <c r="Q1028" s="14"/>
      <c r="R1028" s="14" t="s">
        <v>1449</v>
      </c>
    </row>
    <row r="1029" spans="1:18" ht="15" customHeight="1">
      <c r="A1029" s="12">
        <v>1939</v>
      </c>
      <c r="B1029" s="13" t="s">
        <v>1665</v>
      </c>
      <c r="C1029" s="14"/>
      <c r="D1029" s="14" t="s">
        <v>1663</v>
      </c>
      <c r="E1029" s="14" t="s">
        <v>21</v>
      </c>
      <c r="F1029" s="15" t="s">
        <v>22</v>
      </c>
      <c r="G1029" s="14"/>
      <c r="H1029" s="58">
        <v>0</v>
      </c>
      <c r="I1029" s="14"/>
      <c r="J1029" s="14" t="s">
        <v>23</v>
      </c>
      <c r="K1029" s="14"/>
      <c r="L1029" s="14"/>
      <c r="M1029" s="14" t="s">
        <v>32</v>
      </c>
      <c r="N1029" s="22"/>
      <c r="O1029" s="14"/>
      <c r="P1029" s="14"/>
      <c r="Q1029" s="14"/>
      <c r="R1029" s="14"/>
    </row>
    <row r="1030" spans="1:18" ht="15" customHeight="1">
      <c r="A1030" s="12">
        <v>378</v>
      </c>
      <c r="B1030" s="13" t="s">
        <v>1666</v>
      </c>
      <c r="C1030" s="14"/>
      <c r="D1030" s="14" t="s">
        <v>1667</v>
      </c>
      <c r="E1030" s="44" t="s">
        <v>172</v>
      </c>
      <c r="F1030" s="15" t="s">
        <v>22</v>
      </c>
      <c r="G1030" s="14"/>
      <c r="H1030" s="58"/>
      <c r="I1030" s="14"/>
      <c r="J1030" s="14" t="s">
        <v>23</v>
      </c>
      <c r="K1030" s="14"/>
      <c r="L1030" s="14"/>
      <c r="M1030" s="14" t="s">
        <v>1537</v>
      </c>
      <c r="N1030" s="14" t="s">
        <v>25</v>
      </c>
      <c r="O1030" s="14"/>
      <c r="P1030" s="14"/>
      <c r="Q1030" s="14"/>
      <c r="R1030" s="14" t="s">
        <v>1242</v>
      </c>
    </row>
    <row r="1031" spans="1:18" ht="15" customHeight="1">
      <c r="A1031" s="12">
        <v>1168</v>
      </c>
      <c r="B1031" s="13" t="s">
        <v>1668</v>
      </c>
      <c r="C1031" s="14"/>
      <c r="D1031" s="14" t="s">
        <v>1667</v>
      </c>
      <c r="E1031" s="44" t="s">
        <v>172</v>
      </c>
      <c r="F1031" s="15" t="s">
        <v>22</v>
      </c>
      <c r="G1031" s="21"/>
      <c r="H1031" s="58">
        <v>2</v>
      </c>
      <c r="I1031" s="14"/>
      <c r="J1031" s="14" t="s">
        <v>23</v>
      </c>
      <c r="K1031" s="14"/>
      <c r="L1031" s="14"/>
      <c r="M1031" s="14" t="s">
        <v>1534</v>
      </c>
      <c r="N1031" s="25" t="s">
        <v>37</v>
      </c>
      <c r="O1031" s="14" t="s">
        <v>385</v>
      </c>
      <c r="P1031" s="14"/>
      <c r="Q1031" s="14"/>
      <c r="R1031" s="14" t="s">
        <v>1449</v>
      </c>
    </row>
    <row r="1032" spans="1:18" ht="15" customHeight="1">
      <c r="A1032" s="12">
        <v>1940</v>
      </c>
      <c r="B1032" s="13" t="s">
        <v>1669</v>
      </c>
      <c r="C1032" s="14"/>
      <c r="D1032" s="14" t="s">
        <v>1667</v>
      </c>
      <c r="E1032" s="14" t="s">
        <v>172</v>
      </c>
      <c r="F1032" s="15" t="s">
        <v>22</v>
      </c>
      <c r="G1032" s="14"/>
      <c r="H1032" s="58">
        <v>4</v>
      </c>
      <c r="I1032" s="14"/>
      <c r="J1032" s="14" t="s">
        <v>23</v>
      </c>
      <c r="K1032" s="14"/>
      <c r="L1032" s="14"/>
      <c r="M1032" s="14" t="s">
        <v>32</v>
      </c>
      <c r="N1032" s="22"/>
      <c r="O1032" s="14"/>
      <c r="P1032" s="14"/>
      <c r="Q1032" s="14"/>
      <c r="R1032" s="14"/>
    </row>
    <row r="1033" spans="1:18" ht="15" customHeight="1">
      <c r="A1033" s="12">
        <v>379</v>
      </c>
      <c r="B1033" s="13" t="s">
        <v>1670</v>
      </c>
      <c r="C1033" s="14"/>
      <c r="D1033" s="14" t="s">
        <v>1671</v>
      </c>
      <c r="E1033" s="14" t="s">
        <v>21</v>
      </c>
      <c r="F1033" s="15" t="s">
        <v>22</v>
      </c>
      <c r="G1033" s="14"/>
      <c r="H1033" s="58"/>
      <c r="I1033" s="14"/>
      <c r="J1033" s="14" t="s">
        <v>23</v>
      </c>
      <c r="K1033" s="14"/>
      <c r="L1033" s="14"/>
      <c r="M1033" s="14" t="s">
        <v>1537</v>
      </c>
      <c r="N1033" s="25" t="s">
        <v>37</v>
      </c>
      <c r="O1033" s="14" t="s">
        <v>179</v>
      </c>
      <c r="P1033" s="14"/>
      <c r="Q1033" s="14"/>
      <c r="R1033" s="14" t="s">
        <v>1242</v>
      </c>
    </row>
    <row r="1034" spans="1:18" ht="15" customHeight="1">
      <c r="A1034" s="12">
        <v>1125</v>
      </c>
      <c r="B1034" s="13" t="s">
        <v>1672</v>
      </c>
      <c r="C1034" s="14"/>
      <c r="D1034" s="14" t="s">
        <v>1671</v>
      </c>
      <c r="E1034" s="14" t="s">
        <v>21</v>
      </c>
      <c r="F1034" s="15" t="s">
        <v>22</v>
      </c>
      <c r="G1034" s="21"/>
      <c r="H1034" s="58">
        <v>2</v>
      </c>
      <c r="I1034" s="14"/>
      <c r="J1034" s="14" t="s">
        <v>23</v>
      </c>
      <c r="K1034" s="14"/>
      <c r="L1034" s="14"/>
      <c r="M1034" s="14" t="s">
        <v>29</v>
      </c>
      <c r="N1034" s="25" t="s">
        <v>37</v>
      </c>
      <c r="O1034" s="14" t="s">
        <v>1673</v>
      </c>
      <c r="P1034" s="14"/>
      <c r="Q1034" s="14"/>
      <c r="R1034" s="14" t="s">
        <v>1449</v>
      </c>
    </row>
    <row r="1035" spans="1:18" ht="15" customHeight="1">
      <c r="A1035" s="12">
        <v>1941</v>
      </c>
      <c r="B1035" s="13" t="s">
        <v>1674</v>
      </c>
      <c r="C1035" s="14"/>
      <c r="D1035" s="14" t="s">
        <v>1671</v>
      </c>
      <c r="E1035" s="14" t="s">
        <v>21</v>
      </c>
      <c r="F1035" s="15" t="s">
        <v>22</v>
      </c>
      <c r="G1035" s="14"/>
      <c r="H1035" s="58">
        <v>4</v>
      </c>
      <c r="I1035" s="14"/>
      <c r="J1035" s="14" t="s">
        <v>23</v>
      </c>
      <c r="K1035" s="14"/>
      <c r="L1035" s="14"/>
      <c r="M1035" s="14" t="s">
        <v>32</v>
      </c>
      <c r="N1035" s="22"/>
      <c r="O1035" s="14"/>
      <c r="P1035" s="14"/>
      <c r="Q1035" s="14"/>
      <c r="R1035" s="14"/>
    </row>
    <row r="1036" spans="1:18" ht="15" customHeight="1">
      <c r="A1036" s="12">
        <v>380</v>
      </c>
      <c r="B1036" s="13" t="s">
        <v>1675</v>
      </c>
      <c r="C1036" s="14"/>
      <c r="D1036" s="14" t="s">
        <v>1676</v>
      </c>
      <c r="E1036" s="14" t="s">
        <v>44</v>
      </c>
      <c r="F1036" s="15" t="s">
        <v>22</v>
      </c>
      <c r="G1036" s="14"/>
      <c r="H1036" s="58"/>
      <c r="I1036" s="14"/>
      <c r="J1036" s="14" t="s">
        <v>23</v>
      </c>
      <c r="K1036" s="14"/>
      <c r="L1036" s="14"/>
      <c r="M1036" s="14" t="s">
        <v>1537</v>
      </c>
      <c r="N1036" s="14" t="s">
        <v>25</v>
      </c>
      <c r="O1036" s="14"/>
      <c r="P1036" s="14"/>
      <c r="Q1036" s="14"/>
      <c r="R1036" s="14" t="s">
        <v>1242</v>
      </c>
    </row>
    <row r="1037" spans="1:18" ht="15" customHeight="1">
      <c r="A1037" s="12">
        <v>1169</v>
      </c>
      <c r="B1037" s="13" t="s">
        <v>1677</v>
      </c>
      <c r="C1037" s="14"/>
      <c r="D1037" s="14" t="s">
        <v>1676</v>
      </c>
      <c r="E1037" s="14" t="s">
        <v>44</v>
      </c>
      <c r="F1037" s="15" t="s">
        <v>22</v>
      </c>
      <c r="G1037" s="21"/>
      <c r="H1037" s="58">
        <v>3</v>
      </c>
      <c r="I1037" s="14"/>
      <c r="J1037" s="14" t="s">
        <v>23</v>
      </c>
      <c r="K1037" s="14"/>
      <c r="L1037" s="14"/>
      <c r="M1037" s="14" t="s">
        <v>1534</v>
      </c>
      <c r="N1037" s="25" t="s">
        <v>37</v>
      </c>
      <c r="O1037" s="14" t="s">
        <v>1678</v>
      </c>
      <c r="P1037" s="14"/>
      <c r="Q1037" s="14"/>
      <c r="R1037" s="14" t="s">
        <v>1449</v>
      </c>
    </row>
    <row r="1038" spans="1:18" ht="15" customHeight="1">
      <c r="A1038" s="12">
        <v>1942</v>
      </c>
      <c r="B1038" s="13" t="s">
        <v>1679</v>
      </c>
      <c r="C1038" s="14"/>
      <c r="D1038" s="14" t="s">
        <v>1676</v>
      </c>
      <c r="E1038" s="14" t="s">
        <v>44</v>
      </c>
      <c r="F1038" s="15" t="s">
        <v>22</v>
      </c>
      <c r="G1038" s="14"/>
      <c r="H1038" s="58">
        <v>1</v>
      </c>
      <c r="I1038" s="14"/>
      <c r="J1038" s="14" t="s">
        <v>23</v>
      </c>
      <c r="K1038" s="14"/>
      <c r="L1038" s="14"/>
      <c r="M1038" s="14" t="s">
        <v>32</v>
      </c>
      <c r="N1038" s="22"/>
      <c r="O1038" s="14"/>
      <c r="P1038" s="14"/>
      <c r="Q1038" s="14"/>
      <c r="R1038" s="14"/>
    </row>
    <row r="1039" spans="1:18" ht="15" customHeight="1">
      <c r="A1039" s="12">
        <v>381</v>
      </c>
      <c r="B1039" s="13" t="s">
        <v>1680</v>
      </c>
      <c r="C1039" s="14"/>
      <c r="D1039" s="14" t="s">
        <v>1681</v>
      </c>
      <c r="E1039" s="14" t="s">
        <v>21</v>
      </c>
      <c r="F1039" s="15" t="s">
        <v>22</v>
      </c>
      <c r="G1039" s="14"/>
      <c r="H1039" s="58"/>
      <c r="I1039" s="14"/>
      <c r="J1039" s="14" t="s">
        <v>23</v>
      </c>
      <c r="K1039" s="14"/>
      <c r="L1039" s="14"/>
      <c r="M1039" s="14" t="s">
        <v>1537</v>
      </c>
      <c r="N1039" s="14" t="s">
        <v>25</v>
      </c>
      <c r="O1039" s="14"/>
      <c r="P1039" s="14"/>
      <c r="Q1039" s="14"/>
      <c r="R1039" s="14" t="s">
        <v>1242</v>
      </c>
    </row>
    <row r="1040" spans="1:18" ht="15" customHeight="1">
      <c r="A1040" s="12">
        <v>1126</v>
      </c>
      <c r="B1040" s="13" t="s">
        <v>1682</v>
      </c>
      <c r="C1040" s="14"/>
      <c r="D1040" s="14" t="s">
        <v>1681</v>
      </c>
      <c r="E1040" s="14" t="s">
        <v>21</v>
      </c>
      <c r="F1040" s="15" t="s">
        <v>22</v>
      </c>
      <c r="G1040" s="21"/>
      <c r="H1040" s="58"/>
      <c r="I1040" s="14"/>
      <c r="J1040" s="14" t="s">
        <v>23</v>
      </c>
      <c r="K1040" s="14"/>
      <c r="L1040" s="14"/>
      <c r="M1040" s="14" t="s">
        <v>29</v>
      </c>
      <c r="N1040" s="14" t="s">
        <v>25</v>
      </c>
      <c r="O1040" s="14"/>
      <c r="P1040" s="14"/>
      <c r="Q1040" s="14"/>
      <c r="R1040" s="14" t="s">
        <v>1449</v>
      </c>
    </row>
    <row r="1041" spans="1:18" ht="15" customHeight="1">
      <c r="A1041" s="12">
        <v>1943</v>
      </c>
      <c r="B1041" s="13" t="s">
        <v>1683</v>
      </c>
      <c r="C1041" s="14"/>
      <c r="D1041" s="14" t="s">
        <v>1681</v>
      </c>
      <c r="E1041" s="14" t="s">
        <v>21</v>
      </c>
      <c r="F1041" s="15" t="s">
        <v>22</v>
      </c>
      <c r="G1041" s="14"/>
      <c r="H1041" s="58">
        <v>0</v>
      </c>
      <c r="I1041" s="14"/>
      <c r="J1041" s="14" t="s">
        <v>23</v>
      </c>
      <c r="K1041" s="14"/>
      <c r="L1041" s="14"/>
      <c r="M1041" s="14" t="s">
        <v>32</v>
      </c>
      <c r="N1041" s="22"/>
      <c r="O1041" s="14"/>
      <c r="P1041" s="14"/>
      <c r="Q1041" s="14"/>
      <c r="R1041" s="14"/>
    </row>
    <row r="1042" spans="1:18" ht="15" customHeight="1">
      <c r="A1042" s="12">
        <v>1127</v>
      </c>
      <c r="B1042" s="13" t="s">
        <v>1684</v>
      </c>
      <c r="C1042" s="14"/>
      <c r="D1042" s="14" t="s">
        <v>1685</v>
      </c>
      <c r="E1042" s="14" t="s">
        <v>215</v>
      </c>
      <c r="F1042" s="15" t="s">
        <v>22</v>
      </c>
      <c r="G1042" s="21"/>
      <c r="H1042" s="58"/>
      <c r="I1042" s="14"/>
      <c r="J1042" s="14" t="s">
        <v>23</v>
      </c>
      <c r="K1042" s="14"/>
      <c r="L1042" s="14"/>
      <c r="M1042" s="14" t="s">
        <v>29</v>
      </c>
      <c r="N1042" s="25" t="s">
        <v>37</v>
      </c>
      <c r="O1042" s="14" t="s">
        <v>1686</v>
      </c>
      <c r="P1042" s="14"/>
      <c r="Q1042" s="14"/>
      <c r="R1042" s="14" t="s">
        <v>1449</v>
      </c>
    </row>
    <row r="1043" spans="1:18" ht="15" customHeight="1">
      <c r="A1043" s="12">
        <v>1944</v>
      </c>
      <c r="B1043" s="13" t="s">
        <v>1687</v>
      </c>
      <c r="C1043" s="14"/>
      <c r="D1043" s="14" t="s">
        <v>1685</v>
      </c>
      <c r="E1043" s="14" t="s">
        <v>215</v>
      </c>
      <c r="F1043" s="15" t="s">
        <v>22</v>
      </c>
      <c r="G1043" s="14"/>
      <c r="H1043" s="58">
        <v>3</v>
      </c>
      <c r="I1043" s="14"/>
      <c r="J1043" s="14" t="s">
        <v>23</v>
      </c>
      <c r="K1043" s="14"/>
      <c r="L1043" s="14"/>
      <c r="M1043" s="14" t="s">
        <v>32</v>
      </c>
      <c r="N1043" s="22"/>
      <c r="O1043" s="14"/>
      <c r="P1043" s="14"/>
      <c r="Q1043" s="14"/>
      <c r="R1043" s="14"/>
    </row>
    <row r="1044" spans="1:18" ht="15" customHeight="1">
      <c r="A1044" s="12">
        <v>382</v>
      </c>
      <c r="B1044" s="13" t="s">
        <v>1688</v>
      </c>
      <c r="C1044" s="14"/>
      <c r="D1044" s="14" t="s">
        <v>1689</v>
      </c>
      <c r="E1044" s="14" t="s">
        <v>215</v>
      </c>
      <c r="F1044" s="15" t="s">
        <v>22</v>
      </c>
      <c r="G1044" s="14"/>
      <c r="H1044" s="58"/>
      <c r="I1044" s="14"/>
      <c r="J1044" s="14" t="s">
        <v>23</v>
      </c>
      <c r="K1044" s="14"/>
      <c r="L1044" s="14"/>
      <c r="M1044" s="14" t="s">
        <v>1537</v>
      </c>
      <c r="N1044" s="25" t="s">
        <v>37</v>
      </c>
      <c r="O1044" s="14" t="s">
        <v>179</v>
      </c>
      <c r="P1044" s="14"/>
      <c r="Q1044" s="14"/>
      <c r="R1044" s="14" t="s">
        <v>1242</v>
      </c>
    </row>
    <row r="1045" spans="1:18" ht="15" customHeight="1">
      <c r="A1045" s="12">
        <v>1128</v>
      </c>
      <c r="B1045" s="13" t="s">
        <v>1690</v>
      </c>
      <c r="C1045" s="14"/>
      <c r="D1045" s="14" t="s">
        <v>1689</v>
      </c>
      <c r="E1045" s="14" t="s">
        <v>215</v>
      </c>
      <c r="F1045" s="15" t="s">
        <v>22</v>
      </c>
      <c r="G1045" s="21"/>
      <c r="H1045" s="58">
        <v>3</v>
      </c>
      <c r="I1045" s="14"/>
      <c r="J1045" s="14" t="s">
        <v>23</v>
      </c>
      <c r="K1045" s="14"/>
      <c r="L1045" s="14"/>
      <c r="M1045" s="14" t="s">
        <v>29</v>
      </c>
      <c r="N1045" s="25" t="s">
        <v>37</v>
      </c>
      <c r="O1045" s="14" t="s">
        <v>1691</v>
      </c>
      <c r="P1045" s="14"/>
      <c r="Q1045" s="14"/>
      <c r="R1045" s="14" t="s">
        <v>1449</v>
      </c>
    </row>
    <row r="1046" spans="1:18" ht="15" customHeight="1">
      <c r="A1046" s="12">
        <v>1945</v>
      </c>
      <c r="B1046" s="13" t="s">
        <v>1692</v>
      </c>
      <c r="C1046" s="14"/>
      <c r="D1046" s="14" t="s">
        <v>1689</v>
      </c>
      <c r="E1046" s="14" t="s">
        <v>215</v>
      </c>
      <c r="F1046" s="15" t="s">
        <v>22</v>
      </c>
      <c r="G1046" s="14"/>
      <c r="H1046" s="58">
        <v>3</v>
      </c>
      <c r="I1046" s="14"/>
      <c r="J1046" s="14" t="s">
        <v>23</v>
      </c>
      <c r="K1046" s="14"/>
      <c r="L1046" s="14"/>
      <c r="M1046" s="14" t="s">
        <v>32</v>
      </c>
      <c r="N1046" s="22"/>
      <c r="O1046" s="14"/>
      <c r="P1046" s="14"/>
      <c r="Q1046" s="14"/>
      <c r="R1046" s="14"/>
    </row>
    <row r="1047" spans="1:18" ht="15" customHeight="1">
      <c r="A1047" s="12">
        <v>383</v>
      </c>
      <c r="B1047" s="13" t="s">
        <v>1693</v>
      </c>
      <c r="C1047" s="14"/>
      <c r="D1047" s="14" t="s">
        <v>1694</v>
      </c>
      <c r="E1047" s="14" t="s">
        <v>36</v>
      </c>
      <c r="F1047" s="15" t="s">
        <v>22</v>
      </c>
      <c r="G1047" s="14"/>
      <c r="H1047" s="58"/>
      <c r="I1047" s="14"/>
      <c r="J1047" s="14" t="s">
        <v>23</v>
      </c>
      <c r="K1047" s="14"/>
      <c r="L1047" s="14"/>
      <c r="M1047" s="14" t="s">
        <v>1537</v>
      </c>
      <c r="N1047" s="25" t="s">
        <v>37</v>
      </c>
      <c r="O1047" s="14" t="s">
        <v>179</v>
      </c>
      <c r="P1047" s="14"/>
      <c r="Q1047" s="14"/>
      <c r="R1047" s="14" t="s">
        <v>1242</v>
      </c>
    </row>
    <row r="1048" spans="1:18" ht="15" customHeight="1">
      <c r="A1048" s="12">
        <v>1129</v>
      </c>
      <c r="B1048" s="13" t="s">
        <v>1695</v>
      </c>
      <c r="C1048" s="14"/>
      <c r="D1048" s="14" t="s">
        <v>1694</v>
      </c>
      <c r="E1048" s="14" t="s">
        <v>36</v>
      </c>
      <c r="F1048" s="15" t="s">
        <v>22</v>
      </c>
      <c r="G1048" s="21"/>
      <c r="H1048" s="58"/>
      <c r="I1048" s="14"/>
      <c r="J1048" s="14" t="s">
        <v>23</v>
      </c>
      <c r="K1048" s="14"/>
      <c r="L1048" s="14"/>
      <c r="M1048" s="14" t="s">
        <v>29</v>
      </c>
      <c r="N1048" s="25" t="s">
        <v>37</v>
      </c>
      <c r="O1048" s="14" t="s">
        <v>1696</v>
      </c>
      <c r="P1048" s="14"/>
      <c r="Q1048" s="14"/>
      <c r="R1048" s="14" t="s">
        <v>1449</v>
      </c>
    </row>
    <row r="1049" spans="1:18" ht="15" customHeight="1">
      <c r="A1049" s="12">
        <v>1946</v>
      </c>
      <c r="B1049" s="13" t="s">
        <v>1697</v>
      </c>
      <c r="C1049" s="14"/>
      <c r="D1049" s="14" t="s">
        <v>1694</v>
      </c>
      <c r="E1049" s="14" t="s">
        <v>36</v>
      </c>
      <c r="F1049" s="15" t="s">
        <v>22</v>
      </c>
      <c r="G1049" s="14"/>
      <c r="H1049" s="58">
        <v>3</v>
      </c>
      <c r="I1049" s="14"/>
      <c r="J1049" s="14" t="s">
        <v>23</v>
      </c>
      <c r="K1049" s="14"/>
      <c r="L1049" s="14"/>
      <c r="M1049" s="14" t="s">
        <v>32</v>
      </c>
      <c r="N1049" s="22"/>
      <c r="O1049" s="14"/>
      <c r="P1049" s="14"/>
      <c r="Q1049" s="14"/>
      <c r="R1049" s="14"/>
    </row>
    <row r="1050" spans="1:18" ht="15" customHeight="1">
      <c r="A1050" s="12">
        <v>384</v>
      </c>
      <c r="B1050" s="13" t="s">
        <v>1698</v>
      </c>
      <c r="C1050" s="14"/>
      <c r="D1050" s="14" t="s">
        <v>1699</v>
      </c>
      <c r="E1050" s="14"/>
      <c r="F1050" s="15" t="s">
        <v>22</v>
      </c>
      <c r="G1050" s="14"/>
      <c r="H1050" s="58"/>
      <c r="I1050" s="14"/>
      <c r="J1050" s="14" t="s">
        <v>23</v>
      </c>
      <c r="K1050" s="14"/>
      <c r="L1050" s="14"/>
      <c r="M1050" s="14" t="s">
        <v>1537</v>
      </c>
      <c r="N1050" s="14" t="s">
        <v>25</v>
      </c>
      <c r="O1050" s="14"/>
      <c r="P1050" s="14"/>
      <c r="Q1050" s="14"/>
      <c r="R1050" s="14" t="s">
        <v>1242</v>
      </c>
    </row>
    <row r="1051" spans="1:18" ht="15" customHeight="1">
      <c r="A1051" s="12">
        <v>1130</v>
      </c>
      <c r="B1051" s="13" t="s">
        <v>1700</v>
      </c>
      <c r="C1051" s="14"/>
      <c r="D1051" s="14" t="s">
        <v>1699</v>
      </c>
      <c r="E1051" s="14"/>
      <c r="F1051" s="15" t="s">
        <v>22</v>
      </c>
      <c r="G1051" s="21"/>
      <c r="H1051" s="58"/>
      <c r="I1051" s="14"/>
      <c r="J1051" s="14" t="s">
        <v>23</v>
      </c>
      <c r="K1051" s="14"/>
      <c r="L1051" s="14"/>
      <c r="M1051" s="14" t="s">
        <v>29</v>
      </c>
      <c r="N1051" s="14" t="s">
        <v>25</v>
      </c>
      <c r="O1051" s="14"/>
      <c r="P1051" s="14"/>
      <c r="Q1051" s="14"/>
      <c r="R1051" s="14" t="s">
        <v>1449</v>
      </c>
    </row>
    <row r="1052" spans="1:18" ht="15" customHeight="1">
      <c r="A1052" s="12">
        <v>1947</v>
      </c>
      <c r="B1052" s="13" t="s">
        <v>1701</v>
      </c>
      <c r="C1052" s="14"/>
      <c r="D1052" s="14" t="s">
        <v>1699</v>
      </c>
      <c r="E1052" s="14"/>
      <c r="F1052" s="15" t="s">
        <v>22</v>
      </c>
      <c r="G1052" s="14"/>
      <c r="H1052" s="58">
        <v>0</v>
      </c>
      <c r="I1052" s="14"/>
      <c r="J1052" s="14" t="s">
        <v>23</v>
      </c>
      <c r="K1052" s="14"/>
      <c r="L1052" s="14"/>
      <c r="M1052" s="14" t="s">
        <v>32</v>
      </c>
      <c r="N1052" s="22"/>
      <c r="O1052" s="14"/>
      <c r="P1052" s="14"/>
      <c r="Q1052" s="14"/>
      <c r="R1052" s="14"/>
    </row>
    <row r="1053" spans="1:18" ht="15" customHeight="1">
      <c r="A1053" s="12">
        <v>385</v>
      </c>
      <c r="B1053" s="13" t="s">
        <v>1702</v>
      </c>
      <c r="C1053" s="14"/>
      <c r="D1053" s="14" t="s">
        <v>1703</v>
      </c>
      <c r="E1053" s="14" t="s">
        <v>580</v>
      </c>
      <c r="F1053" s="15" t="s">
        <v>22</v>
      </c>
      <c r="G1053" s="14"/>
      <c r="H1053" s="58"/>
      <c r="I1053" s="14"/>
      <c r="J1053" s="14" t="s">
        <v>23</v>
      </c>
      <c r="K1053" s="14"/>
      <c r="L1053" s="14"/>
      <c r="M1053" s="14" t="s">
        <v>1537</v>
      </c>
      <c r="N1053" s="14" t="s">
        <v>25</v>
      </c>
      <c r="O1053" s="14"/>
      <c r="P1053" s="14"/>
      <c r="Q1053" s="14"/>
      <c r="R1053" s="14" t="s">
        <v>1242</v>
      </c>
    </row>
    <row r="1054" spans="1:18" ht="15" customHeight="1">
      <c r="A1054" s="12">
        <v>1131</v>
      </c>
      <c r="B1054" s="13" t="s">
        <v>1704</v>
      </c>
      <c r="C1054" s="14"/>
      <c r="D1054" s="14" t="s">
        <v>1703</v>
      </c>
      <c r="E1054" s="14" t="s">
        <v>580</v>
      </c>
      <c r="F1054" s="15" t="s">
        <v>22</v>
      </c>
      <c r="G1054" s="21"/>
      <c r="H1054" s="58">
        <v>1</v>
      </c>
      <c r="I1054" s="14"/>
      <c r="J1054" s="14" t="s">
        <v>23</v>
      </c>
      <c r="K1054" s="14"/>
      <c r="L1054" s="14"/>
      <c r="M1054" s="14" t="s">
        <v>29</v>
      </c>
      <c r="N1054" s="14" t="s">
        <v>25</v>
      </c>
      <c r="O1054" s="14"/>
      <c r="P1054" s="14"/>
      <c r="Q1054" s="14"/>
      <c r="R1054" s="14" t="s">
        <v>1449</v>
      </c>
    </row>
    <row r="1055" spans="1:18" ht="15" customHeight="1">
      <c r="A1055" s="12">
        <v>1948</v>
      </c>
      <c r="B1055" s="13" t="s">
        <v>1705</v>
      </c>
      <c r="C1055" s="14"/>
      <c r="D1055" s="14" t="s">
        <v>1703</v>
      </c>
      <c r="E1055" s="14" t="s">
        <v>580</v>
      </c>
      <c r="F1055" s="15" t="s">
        <v>22</v>
      </c>
      <c r="G1055" s="14"/>
      <c r="H1055" s="58">
        <v>0</v>
      </c>
      <c r="I1055" s="14"/>
      <c r="J1055" s="14" t="s">
        <v>23</v>
      </c>
      <c r="K1055" s="14"/>
      <c r="L1055" s="14"/>
      <c r="M1055" s="14" t="s">
        <v>32</v>
      </c>
      <c r="N1055" s="22"/>
      <c r="O1055" s="14"/>
      <c r="P1055" s="14"/>
      <c r="Q1055" s="14"/>
      <c r="R1055" s="14"/>
    </row>
    <row r="1056" spans="1:18" ht="15" customHeight="1">
      <c r="A1056" s="12">
        <v>386</v>
      </c>
      <c r="B1056" s="13" t="s">
        <v>1706</v>
      </c>
      <c r="C1056" s="14"/>
      <c r="D1056" s="14" t="s">
        <v>1707</v>
      </c>
      <c r="E1056" s="14" t="s">
        <v>36</v>
      </c>
      <c r="F1056" s="15" t="s">
        <v>22</v>
      </c>
      <c r="G1056" s="14"/>
      <c r="H1056" s="58"/>
      <c r="I1056" s="14"/>
      <c r="J1056" s="14" t="s">
        <v>23</v>
      </c>
      <c r="K1056" s="14"/>
      <c r="L1056" s="14"/>
      <c r="M1056" s="14" t="s">
        <v>1537</v>
      </c>
      <c r="N1056" s="25" t="s">
        <v>37</v>
      </c>
      <c r="O1056" s="14" t="s">
        <v>179</v>
      </c>
      <c r="P1056" s="14"/>
      <c r="Q1056" s="14"/>
      <c r="R1056" s="14" t="s">
        <v>1242</v>
      </c>
    </row>
    <row r="1057" spans="1:18" ht="15" customHeight="1">
      <c r="A1057" s="12">
        <v>1132</v>
      </c>
      <c r="B1057" s="13" t="s">
        <v>1708</v>
      </c>
      <c r="C1057" s="14"/>
      <c r="D1057" s="14" t="s">
        <v>1707</v>
      </c>
      <c r="E1057" s="14" t="s">
        <v>36</v>
      </c>
      <c r="F1057" s="15" t="s">
        <v>22</v>
      </c>
      <c r="G1057" s="21"/>
      <c r="H1057" s="58">
        <v>1</v>
      </c>
      <c r="I1057" s="14"/>
      <c r="J1057" s="14" t="s">
        <v>23</v>
      </c>
      <c r="K1057" s="14"/>
      <c r="L1057" s="14"/>
      <c r="M1057" s="14" t="s">
        <v>29</v>
      </c>
      <c r="N1057" s="25" t="s">
        <v>37</v>
      </c>
      <c r="O1057" s="14" t="s">
        <v>1709</v>
      </c>
      <c r="P1057" s="14"/>
      <c r="Q1057" s="14"/>
      <c r="R1057" s="14" t="s">
        <v>1449</v>
      </c>
    </row>
    <row r="1058" spans="1:18" ht="15" customHeight="1">
      <c r="A1058" s="12">
        <v>1949</v>
      </c>
      <c r="B1058" s="13" t="s">
        <v>1710</v>
      </c>
      <c r="C1058" s="14"/>
      <c r="D1058" s="14" t="s">
        <v>1707</v>
      </c>
      <c r="E1058" s="14" t="s">
        <v>36</v>
      </c>
      <c r="F1058" s="15" t="s">
        <v>22</v>
      </c>
      <c r="G1058" s="14"/>
      <c r="H1058" s="58">
        <v>3</v>
      </c>
      <c r="I1058" s="14"/>
      <c r="J1058" s="14" t="s">
        <v>23</v>
      </c>
      <c r="K1058" s="14"/>
      <c r="L1058" s="14"/>
      <c r="M1058" s="14" t="s">
        <v>32</v>
      </c>
      <c r="N1058" s="22"/>
      <c r="O1058" s="14"/>
      <c r="P1058" s="14"/>
      <c r="Q1058" s="14"/>
      <c r="R1058" s="14"/>
    </row>
    <row r="1059" spans="1:18" ht="15" customHeight="1">
      <c r="A1059" s="12">
        <v>387</v>
      </c>
      <c r="B1059" s="13" t="s">
        <v>1711</v>
      </c>
      <c r="C1059" s="14"/>
      <c r="D1059" s="14" t="s">
        <v>1712</v>
      </c>
      <c r="E1059" s="14" t="s">
        <v>21</v>
      </c>
      <c r="F1059" s="15" t="s">
        <v>22</v>
      </c>
      <c r="G1059" s="14"/>
      <c r="H1059" s="58"/>
      <c r="I1059" s="14"/>
      <c r="J1059" s="14" t="s">
        <v>23</v>
      </c>
      <c r="K1059" s="14"/>
      <c r="L1059" s="14"/>
      <c r="M1059" s="14" t="s">
        <v>1537</v>
      </c>
      <c r="N1059" s="14" t="s">
        <v>25</v>
      </c>
      <c r="O1059" s="14"/>
      <c r="P1059" s="14"/>
      <c r="Q1059" s="14"/>
      <c r="R1059" s="14" t="s">
        <v>1242</v>
      </c>
    </row>
    <row r="1060" spans="1:18" ht="15" customHeight="1">
      <c r="A1060" s="12">
        <v>1133</v>
      </c>
      <c r="B1060" s="13" t="s">
        <v>1713</v>
      </c>
      <c r="C1060" s="14"/>
      <c r="D1060" s="14" t="s">
        <v>1712</v>
      </c>
      <c r="E1060" s="14" t="s">
        <v>21</v>
      </c>
      <c r="F1060" s="15" t="s">
        <v>22</v>
      </c>
      <c r="G1060" s="21"/>
      <c r="H1060" s="58"/>
      <c r="I1060" s="14"/>
      <c r="J1060" s="14" t="s">
        <v>23</v>
      </c>
      <c r="K1060" s="14"/>
      <c r="L1060" s="14"/>
      <c r="M1060" s="14" t="s">
        <v>29</v>
      </c>
      <c r="N1060" s="14" t="s">
        <v>25</v>
      </c>
      <c r="O1060" s="14"/>
      <c r="P1060" s="14"/>
      <c r="Q1060" s="14"/>
      <c r="R1060" s="14" t="s">
        <v>1449</v>
      </c>
    </row>
    <row r="1061" spans="1:18" ht="15" customHeight="1">
      <c r="A1061" s="12">
        <v>1950</v>
      </c>
      <c r="B1061" s="13" t="s">
        <v>1714</v>
      </c>
      <c r="C1061" s="14"/>
      <c r="D1061" s="14" t="s">
        <v>1712</v>
      </c>
      <c r="E1061" s="14" t="s">
        <v>21</v>
      </c>
      <c r="F1061" s="15" t="s">
        <v>22</v>
      </c>
      <c r="G1061" s="14"/>
      <c r="H1061" s="58">
        <v>0</v>
      </c>
      <c r="I1061" s="14"/>
      <c r="J1061" s="14" t="s">
        <v>23</v>
      </c>
      <c r="K1061" s="14"/>
      <c r="L1061" s="14"/>
      <c r="M1061" s="14" t="s">
        <v>32</v>
      </c>
      <c r="N1061" s="22"/>
      <c r="O1061" s="14"/>
      <c r="P1061" s="14"/>
      <c r="Q1061" s="14"/>
      <c r="R1061" s="14"/>
    </row>
    <row r="1062" spans="1:18" ht="15" customHeight="1">
      <c r="A1062" s="12">
        <v>388</v>
      </c>
      <c r="B1062" s="13" t="s">
        <v>1715</v>
      </c>
      <c r="C1062" s="14"/>
      <c r="D1062" s="14" t="s">
        <v>1716</v>
      </c>
      <c r="E1062" s="14" t="s">
        <v>92</v>
      </c>
      <c r="F1062" s="15" t="s">
        <v>22</v>
      </c>
      <c r="G1062" s="14"/>
      <c r="H1062" s="58"/>
      <c r="I1062" s="14"/>
      <c r="J1062" s="14" t="s">
        <v>23</v>
      </c>
      <c r="K1062" s="14"/>
      <c r="L1062" s="14"/>
      <c r="M1062" s="14" t="s">
        <v>1537</v>
      </c>
      <c r="N1062" s="14" t="s">
        <v>25</v>
      </c>
      <c r="O1062" s="14"/>
      <c r="P1062" s="14"/>
      <c r="Q1062" s="14"/>
      <c r="R1062" s="14" t="s">
        <v>1242</v>
      </c>
    </row>
    <row r="1063" spans="1:18" ht="15" customHeight="1">
      <c r="A1063" s="12">
        <v>1134</v>
      </c>
      <c r="B1063" s="13" t="s">
        <v>1717</v>
      </c>
      <c r="C1063" s="14"/>
      <c r="D1063" s="14" t="s">
        <v>1716</v>
      </c>
      <c r="E1063" s="14" t="s">
        <v>92</v>
      </c>
      <c r="F1063" s="15" t="s">
        <v>22</v>
      </c>
      <c r="G1063" s="21"/>
      <c r="H1063" s="58"/>
      <c r="I1063" s="14"/>
      <c r="J1063" s="14" t="s">
        <v>23</v>
      </c>
      <c r="K1063" s="14"/>
      <c r="L1063" s="14"/>
      <c r="M1063" s="14" t="s">
        <v>29</v>
      </c>
      <c r="N1063" s="14" t="s">
        <v>25</v>
      </c>
      <c r="O1063" s="14"/>
      <c r="P1063" s="14"/>
      <c r="Q1063" s="14"/>
      <c r="R1063" s="14" t="s">
        <v>1449</v>
      </c>
    </row>
    <row r="1064" spans="1:18" ht="15" customHeight="1">
      <c r="A1064" s="12">
        <v>1951</v>
      </c>
      <c r="B1064" s="13" t="s">
        <v>1718</v>
      </c>
      <c r="C1064" s="14"/>
      <c r="D1064" s="14" t="s">
        <v>1716</v>
      </c>
      <c r="E1064" s="14" t="s">
        <v>92</v>
      </c>
      <c r="F1064" s="15" t="s">
        <v>22</v>
      </c>
      <c r="G1064" s="14"/>
      <c r="H1064" s="58">
        <v>0</v>
      </c>
      <c r="I1064" s="14"/>
      <c r="J1064" s="14" t="s">
        <v>23</v>
      </c>
      <c r="K1064" s="14"/>
      <c r="L1064" s="14"/>
      <c r="M1064" s="14" t="s">
        <v>32</v>
      </c>
      <c r="N1064" s="22"/>
      <c r="O1064" s="14"/>
      <c r="P1064" s="14"/>
      <c r="Q1064" s="14"/>
      <c r="R1064" s="14"/>
    </row>
    <row r="1065" spans="1:18" ht="15" customHeight="1">
      <c r="A1065" s="12">
        <v>389</v>
      </c>
      <c r="B1065" s="13" t="s">
        <v>1719</v>
      </c>
      <c r="C1065" s="14"/>
      <c r="D1065" s="14" t="s">
        <v>1720</v>
      </c>
      <c r="E1065" s="14" t="s">
        <v>36</v>
      </c>
      <c r="F1065" s="15" t="s">
        <v>22</v>
      </c>
      <c r="G1065" s="14"/>
      <c r="H1065" s="58"/>
      <c r="I1065" s="14"/>
      <c r="J1065" s="14" t="s">
        <v>23</v>
      </c>
      <c r="K1065" s="14"/>
      <c r="L1065" s="14"/>
      <c r="M1065" s="14" t="s">
        <v>1537</v>
      </c>
      <c r="N1065" s="14" t="s">
        <v>25</v>
      </c>
      <c r="O1065" s="14"/>
      <c r="P1065" s="14"/>
      <c r="Q1065" s="14"/>
      <c r="R1065" s="14" t="s">
        <v>1242</v>
      </c>
    </row>
    <row r="1066" spans="1:18" ht="15" customHeight="1">
      <c r="A1066" s="12">
        <v>1135</v>
      </c>
      <c r="B1066" s="13" t="s">
        <v>1721</v>
      </c>
      <c r="C1066" s="14"/>
      <c r="D1066" s="14" t="s">
        <v>1720</v>
      </c>
      <c r="E1066" s="14" t="s">
        <v>36</v>
      </c>
      <c r="F1066" s="15" t="s">
        <v>22</v>
      </c>
      <c r="G1066" s="21"/>
      <c r="H1066" s="58"/>
      <c r="I1066" s="14"/>
      <c r="J1066" s="14" t="s">
        <v>23</v>
      </c>
      <c r="K1066" s="14"/>
      <c r="L1066" s="14"/>
      <c r="M1066" s="14" t="s">
        <v>29</v>
      </c>
      <c r="N1066" s="14" t="s">
        <v>25</v>
      </c>
      <c r="O1066" s="14"/>
      <c r="P1066" s="14"/>
      <c r="Q1066" s="14"/>
      <c r="R1066" s="14" t="s">
        <v>1449</v>
      </c>
    </row>
    <row r="1067" spans="1:18" ht="15" customHeight="1">
      <c r="A1067" s="12">
        <v>1952</v>
      </c>
      <c r="B1067" s="13" t="s">
        <v>1722</v>
      </c>
      <c r="C1067" s="14"/>
      <c r="D1067" s="14" t="s">
        <v>1720</v>
      </c>
      <c r="E1067" s="14" t="s">
        <v>36</v>
      </c>
      <c r="F1067" s="15" t="s">
        <v>22</v>
      </c>
      <c r="G1067" s="14"/>
      <c r="H1067" s="58">
        <v>2</v>
      </c>
      <c r="I1067" s="14"/>
      <c r="J1067" s="14" t="s">
        <v>23</v>
      </c>
      <c r="K1067" s="14"/>
      <c r="L1067" s="14"/>
      <c r="M1067" s="14" t="s">
        <v>32</v>
      </c>
      <c r="N1067" s="22"/>
      <c r="O1067" s="14"/>
      <c r="P1067" s="14"/>
      <c r="Q1067" s="14"/>
      <c r="R1067" s="14"/>
    </row>
    <row r="1068" spans="1:18" ht="15" customHeight="1">
      <c r="A1068" s="12">
        <v>390</v>
      </c>
      <c r="B1068" s="13" t="s">
        <v>1723</v>
      </c>
      <c r="C1068" s="14"/>
      <c r="D1068" s="14" t="s">
        <v>1724</v>
      </c>
      <c r="E1068" s="14" t="s">
        <v>21</v>
      </c>
      <c r="F1068" s="15" t="s">
        <v>22</v>
      </c>
      <c r="G1068" s="14"/>
      <c r="H1068" s="58"/>
      <c r="I1068" s="14"/>
      <c r="J1068" s="14" t="s">
        <v>23</v>
      </c>
      <c r="K1068" s="14"/>
      <c r="L1068" s="14"/>
      <c r="M1068" s="14" t="s">
        <v>1537</v>
      </c>
      <c r="N1068" s="14" t="s">
        <v>25</v>
      </c>
      <c r="O1068" s="14"/>
      <c r="P1068" s="14"/>
      <c r="Q1068" s="14"/>
      <c r="R1068" s="14" t="s">
        <v>1242</v>
      </c>
    </row>
    <row r="1069" spans="1:18" ht="15" customHeight="1">
      <c r="A1069" s="12">
        <v>1136</v>
      </c>
      <c r="B1069" s="13" t="s">
        <v>1725</v>
      </c>
      <c r="C1069" s="14"/>
      <c r="D1069" s="14" t="s">
        <v>1724</v>
      </c>
      <c r="E1069" s="14" t="s">
        <v>21</v>
      </c>
      <c r="F1069" s="15" t="s">
        <v>22</v>
      </c>
      <c r="G1069" s="21"/>
      <c r="H1069" s="58"/>
      <c r="I1069" s="14"/>
      <c r="J1069" s="14" t="s">
        <v>23</v>
      </c>
      <c r="K1069" s="14"/>
      <c r="L1069" s="14"/>
      <c r="M1069" s="14" t="s">
        <v>29</v>
      </c>
      <c r="N1069" s="14" t="s">
        <v>25</v>
      </c>
      <c r="O1069" s="14"/>
      <c r="P1069" s="14"/>
      <c r="Q1069" s="14"/>
      <c r="R1069" s="14" t="s">
        <v>1449</v>
      </c>
    </row>
    <row r="1070" spans="1:18" ht="15" customHeight="1">
      <c r="A1070" s="12">
        <v>1953</v>
      </c>
      <c r="B1070" s="13" t="s">
        <v>1726</v>
      </c>
      <c r="C1070" s="14"/>
      <c r="D1070" s="14" t="s">
        <v>1724</v>
      </c>
      <c r="E1070" s="14" t="s">
        <v>21</v>
      </c>
      <c r="F1070" s="15" t="s">
        <v>22</v>
      </c>
      <c r="G1070" s="14"/>
      <c r="H1070" s="58">
        <v>0</v>
      </c>
      <c r="I1070" s="14"/>
      <c r="J1070" s="14" t="s">
        <v>23</v>
      </c>
      <c r="K1070" s="14"/>
      <c r="L1070" s="14"/>
      <c r="M1070" s="14" t="s">
        <v>32</v>
      </c>
      <c r="N1070" s="22"/>
      <c r="O1070" s="14"/>
      <c r="P1070" s="14"/>
      <c r="Q1070" s="14"/>
      <c r="R1070" s="14"/>
    </row>
    <row r="1071" spans="1:18" ht="15" customHeight="1">
      <c r="A1071" s="12">
        <v>391</v>
      </c>
      <c r="B1071" s="13" t="s">
        <v>1727</v>
      </c>
      <c r="C1071" s="14"/>
      <c r="D1071" s="14" t="s">
        <v>1728</v>
      </c>
      <c r="E1071" s="14" t="s">
        <v>137</v>
      </c>
      <c r="F1071" s="15" t="s">
        <v>22</v>
      </c>
      <c r="G1071" s="14"/>
      <c r="H1071" s="58"/>
      <c r="I1071" s="14"/>
      <c r="J1071" s="14" t="s">
        <v>23</v>
      </c>
      <c r="K1071" s="14"/>
      <c r="L1071" s="14"/>
      <c r="M1071" s="14" t="s">
        <v>1537</v>
      </c>
      <c r="N1071" s="14" t="s">
        <v>25</v>
      </c>
      <c r="O1071" s="14"/>
      <c r="P1071" s="14"/>
      <c r="Q1071" s="14"/>
      <c r="R1071" s="14" t="s">
        <v>1242</v>
      </c>
    </row>
    <row r="1072" spans="1:18" ht="15" customHeight="1">
      <c r="A1072" s="12">
        <v>1137</v>
      </c>
      <c r="B1072" s="13" t="s">
        <v>1729</v>
      </c>
      <c r="C1072" s="14"/>
      <c r="D1072" s="14" t="s">
        <v>1728</v>
      </c>
      <c r="E1072" s="14" t="s">
        <v>137</v>
      </c>
      <c r="F1072" s="15" t="s">
        <v>22</v>
      </c>
      <c r="G1072" s="21"/>
      <c r="H1072" s="58"/>
      <c r="I1072" s="14"/>
      <c r="J1072" s="14" t="s">
        <v>23</v>
      </c>
      <c r="K1072" s="14"/>
      <c r="L1072" s="14"/>
      <c r="M1072" s="14" t="s">
        <v>29</v>
      </c>
      <c r="N1072" s="25" t="s">
        <v>37</v>
      </c>
      <c r="O1072" s="14" t="s">
        <v>1730</v>
      </c>
      <c r="P1072" s="14"/>
      <c r="Q1072" s="14"/>
      <c r="R1072" s="14" t="s">
        <v>1449</v>
      </c>
    </row>
    <row r="1073" spans="1:18" ht="15" customHeight="1">
      <c r="A1073" s="12">
        <v>1954</v>
      </c>
      <c r="B1073" s="13" t="s">
        <v>1731</v>
      </c>
      <c r="C1073" s="14"/>
      <c r="D1073" s="14" t="s">
        <v>1728</v>
      </c>
      <c r="E1073" s="14" t="s">
        <v>137</v>
      </c>
      <c r="F1073" s="15" t="s">
        <v>22</v>
      </c>
      <c r="G1073" s="14"/>
      <c r="H1073" s="58">
        <v>0</v>
      </c>
      <c r="I1073" s="14"/>
      <c r="J1073" s="14" t="s">
        <v>23</v>
      </c>
      <c r="K1073" s="14"/>
      <c r="L1073" s="14"/>
      <c r="M1073" s="14" t="s">
        <v>32</v>
      </c>
      <c r="N1073" s="22"/>
      <c r="O1073" s="14"/>
      <c r="P1073" s="14"/>
      <c r="Q1073" s="14"/>
      <c r="R1073" s="14"/>
    </row>
    <row r="1074" spans="1:18" ht="15" customHeight="1">
      <c r="A1074" s="12">
        <v>392</v>
      </c>
      <c r="B1074" s="13" t="s">
        <v>1732</v>
      </c>
      <c r="C1074" s="14"/>
      <c r="D1074" s="14" t="s">
        <v>1733</v>
      </c>
      <c r="E1074" s="14" t="s">
        <v>21</v>
      </c>
      <c r="F1074" s="15" t="s">
        <v>22</v>
      </c>
      <c r="G1074" s="14"/>
      <c r="H1074" s="58">
        <v>1</v>
      </c>
      <c r="I1074" s="14"/>
      <c r="J1074" s="14" t="s">
        <v>23</v>
      </c>
      <c r="K1074" s="14"/>
      <c r="L1074" s="14"/>
      <c r="M1074" s="14" t="s">
        <v>1537</v>
      </c>
      <c r="N1074" s="14" t="s">
        <v>25</v>
      </c>
      <c r="O1074" s="14"/>
      <c r="P1074" s="14"/>
      <c r="Q1074" s="14"/>
      <c r="R1074" s="14" t="s">
        <v>1242</v>
      </c>
    </row>
    <row r="1075" spans="1:18" ht="15" customHeight="1">
      <c r="A1075" s="12">
        <v>1138</v>
      </c>
      <c r="B1075" s="13" t="s">
        <v>1734</v>
      </c>
      <c r="C1075" s="14"/>
      <c r="D1075" s="14" t="s">
        <v>1733</v>
      </c>
      <c r="E1075" s="14" t="s">
        <v>21</v>
      </c>
      <c r="F1075" s="15" t="s">
        <v>22</v>
      </c>
      <c r="G1075" s="21"/>
      <c r="H1075" s="58">
        <v>1</v>
      </c>
      <c r="I1075" s="14"/>
      <c r="J1075" s="14" t="s">
        <v>23</v>
      </c>
      <c r="K1075" s="14"/>
      <c r="L1075" s="14"/>
      <c r="M1075" s="14" t="s">
        <v>29</v>
      </c>
      <c r="N1075" s="14" t="s">
        <v>25</v>
      </c>
      <c r="O1075" s="14"/>
      <c r="P1075" s="14"/>
      <c r="Q1075" s="14"/>
      <c r="R1075" s="14" t="s">
        <v>1449</v>
      </c>
    </row>
    <row r="1076" spans="1:18" ht="15" customHeight="1">
      <c r="A1076" s="12">
        <v>1955</v>
      </c>
      <c r="B1076" s="13" t="s">
        <v>1735</v>
      </c>
      <c r="C1076" s="14"/>
      <c r="D1076" s="14" t="s">
        <v>1733</v>
      </c>
      <c r="E1076" s="14" t="s">
        <v>21</v>
      </c>
      <c r="F1076" s="15" t="s">
        <v>22</v>
      </c>
      <c r="G1076" s="14"/>
      <c r="H1076" s="58">
        <v>2</v>
      </c>
      <c r="I1076" s="14"/>
      <c r="J1076" s="14" t="s">
        <v>23</v>
      </c>
      <c r="K1076" s="14"/>
      <c r="L1076" s="14"/>
      <c r="M1076" s="14" t="s">
        <v>32</v>
      </c>
      <c r="N1076" s="22"/>
      <c r="O1076" s="14"/>
      <c r="P1076" s="14"/>
      <c r="Q1076" s="14"/>
      <c r="R1076" s="14"/>
    </row>
    <row r="1077" spans="1:18" ht="15" customHeight="1">
      <c r="A1077" s="12">
        <v>393</v>
      </c>
      <c r="B1077" s="13" t="s">
        <v>1736</v>
      </c>
      <c r="C1077" s="14"/>
      <c r="D1077" s="14" t="s">
        <v>1737</v>
      </c>
      <c r="E1077" s="14" t="s">
        <v>137</v>
      </c>
      <c r="F1077" s="15" t="s">
        <v>22</v>
      </c>
      <c r="G1077" s="14"/>
      <c r="H1077" s="58"/>
      <c r="I1077" s="14"/>
      <c r="J1077" s="14" t="s">
        <v>23</v>
      </c>
      <c r="K1077" s="14"/>
      <c r="L1077" s="14"/>
      <c r="M1077" s="14" t="s">
        <v>1537</v>
      </c>
      <c r="N1077" s="25" t="s">
        <v>37</v>
      </c>
      <c r="O1077" s="14" t="s">
        <v>179</v>
      </c>
      <c r="P1077" s="14"/>
      <c r="Q1077" s="14"/>
      <c r="R1077" s="14" t="s">
        <v>1242</v>
      </c>
    </row>
    <row r="1078" spans="1:18" ht="15" customHeight="1">
      <c r="A1078" s="12">
        <v>1139</v>
      </c>
      <c r="B1078" s="13" t="s">
        <v>1738</v>
      </c>
      <c r="C1078" s="14"/>
      <c r="D1078" s="14" t="s">
        <v>1737</v>
      </c>
      <c r="E1078" s="14" t="s">
        <v>137</v>
      </c>
      <c r="F1078" s="15" t="s">
        <v>22</v>
      </c>
      <c r="G1078" s="21"/>
      <c r="H1078" s="58"/>
      <c r="I1078" s="14"/>
      <c r="J1078" s="14" t="s">
        <v>23</v>
      </c>
      <c r="K1078" s="14"/>
      <c r="L1078" s="14"/>
      <c r="M1078" s="14" t="s">
        <v>29</v>
      </c>
      <c r="N1078" s="25" t="s">
        <v>37</v>
      </c>
      <c r="O1078" s="14" t="s">
        <v>1153</v>
      </c>
      <c r="P1078" s="14"/>
      <c r="Q1078" s="14"/>
      <c r="R1078" s="14" t="s">
        <v>1449</v>
      </c>
    </row>
    <row r="1079" spans="1:18" ht="15" customHeight="1">
      <c r="A1079" s="12">
        <v>1956</v>
      </c>
      <c r="B1079" s="13" t="s">
        <v>1739</v>
      </c>
      <c r="C1079" s="14"/>
      <c r="D1079" s="14" t="s">
        <v>1737</v>
      </c>
      <c r="E1079" s="14" t="s">
        <v>137</v>
      </c>
      <c r="F1079" s="15" t="s">
        <v>22</v>
      </c>
      <c r="G1079" s="14"/>
      <c r="H1079" s="58">
        <v>0</v>
      </c>
      <c r="I1079" s="14"/>
      <c r="J1079" s="14" t="s">
        <v>23</v>
      </c>
      <c r="K1079" s="14"/>
      <c r="L1079" s="14"/>
      <c r="M1079" s="14" t="s">
        <v>32</v>
      </c>
      <c r="N1079" s="22"/>
      <c r="O1079" s="14"/>
      <c r="P1079" s="14"/>
      <c r="Q1079" s="14"/>
      <c r="R1079" s="14"/>
    </row>
    <row r="1080" spans="1:18" ht="15" customHeight="1">
      <c r="A1080" s="12">
        <v>394</v>
      </c>
      <c r="B1080" s="13" t="s">
        <v>1740</v>
      </c>
      <c r="C1080" s="14"/>
      <c r="D1080" s="14" t="s">
        <v>1741</v>
      </c>
      <c r="E1080" s="14" t="s">
        <v>92</v>
      </c>
      <c r="F1080" s="15" t="s">
        <v>22</v>
      </c>
      <c r="G1080" s="14"/>
      <c r="H1080" s="58"/>
      <c r="I1080" s="14"/>
      <c r="J1080" s="14" t="s">
        <v>23</v>
      </c>
      <c r="K1080" s="14"/>
      <c r="L1080" s="14"/>
      <c r="M1080" s="14" t="s">
        <v>1537</v>
      </c>
      <c r="N1080" s="14" t="s">
        <v>25</v>
      </c>
      <c r="O1080" s="14"/>
      <c r="P1080" s="14"/>
      <c r="Q1080" s="14"/>
      <c r="R1080" s="14" t="s">
        <v>1242</v>
      </c>
    </row>
    <row r="1081" spans="1:18" ht="15" customHeight="1">
      <c r="A1081" s="12">
        <v>1140</v>
      </c>
      <c r="B1081" s="13" t="s">
        <v>1742</v>
      </c>
      <c r="C1081" s="14"/>
      <c r="D1081" s="14" t="s">
        <v>1741</v>
      </c>
      <c r="E1081" s="14" t="s">
        <v>92</v>
      </c>
      <c r="F1081" s="15" t="s">
        <v>22</v>
      </c>
      <c r="G1081" s="21"/>
      <c r="H1081" s="58"/>
      <c r="I1081" s="14"/>
      <c r="J1081" s="14" t="s">
        <v>23</v>
      </c>
      <c r="K1081" s="14"/>
      <c r="L1081" s="14"/>
      <c r="M1081" s="14" t="s">
        <v>29</v>
      </c>
      <c r="N1081" s="25" t="s">
        <v>37</v>
      </c>
      <c r="O1081" s="14" t="s">
        <v>1743</v>
      </c>
      <c r="P1081" s="14"/>
      <c r="Q1081" s="14"/>
      <c r="R1081" s="14" t="s">
        <v>1449</v>
      </c>
    </row>
    <row r="1082" spans="1:18" ht="15" customHeight="1">
      <c r="A1082" s="12">
        <v>1957</v>
      </c>
      <c r="B1082" s="13" t="s">
        <v>1744</v>
      </c>
      <c r="C1082" s="14"/>
      <c r="D1082" s="14" t="s">
        <v>1741</v>
      </c>
      <c r="E1082" s="14" t="s">
        <v>92</v>
      </c>
      <c r="F1082" s="15" t="s">
        <v>22</v>
      </c>
      <c r="G1082" s="14"/>
      <c r="H1082" s="58">
        <v>1</v>
      </c>
      <c r="I1082" s="14"/>
      <c r="J1082" s="14" t="s">
        <v>23</v>
      </c>
      <c r="K1082" s="14"/>
      <c r="L1082" s="14"/>
      <c r="M1082" s="14" t="s">
        <v>32</v>
      </c>
      <c r="N1082" s="22"/>
      <c r="O1082" s="14"/>
      <c r="P1082" s="14"/>
      <c r="Q1082" s="14"/>
      <c r="R1082" s="14"/>
    </row>
    <row r="1083" spans="1:18" ht="15" customHeight="1">
      <c r="A1083" s="12">
        <v>395</v>
      </c>
      <c r="B1083" s="13" t="s">
        <v>1745</v>
      </c>
      <c r="C1083" s="14"/>
      <c r="D1083" s="14" t="s">
        <v>1746</v>
      </c>
      <c r="E1083" s="14" t="s">
        <v>1102</v>
      </c>
      <c r="F1083" s="15" t="s">
        <v>22</v>
      </c>
      <c r="G1083" s="14"/>
      <c r="H1083" s="58"/>
      <c r="I1083" s="14"/>
      <c r="J1083" s="14" t="s">
        <v>23</v>
      </c>
      <c r="K1083" s="14"/>
      <c r="L1083" s="14"/>
      <c r="M1083" s="14" t="s">
        <v>1537</v>
      </c>
      <c r="N1083" s="14" t="s">
        <v>25</v>
      </c>
      <c r="O1083" s="14"/>
      <c r="P1083" s="14"/>
      <c r="Q1083" s="14"/>
      <c r="R1083" s="14" t="s">
        <v>1242</v>
      </c>
    </row>
    <row r="1084" spans="1:18" ht="15" customHeight="1">
      <c r="A1084" s="12">
        <v>1141</v>
      </c>
      <c r="B1084" s="13" t="s">
        <v>1747</v>
      </c>
      <c r="C1084" s="14"/>
      <c r="D1084" s="14" t="s">
        <v>1746</v>
      </c>
      <c r="E1084" s="14" t="s">
        <v>1102</v>
      </c>
      <c r="F1084" s="15" t="s">
        <v>22</v>
      </c>
      <c r="G1084" s="21"/>
      <c r="H1084" s="58"/>
      <c r="I1084" s="14"/>
      <c r="J1084" s="14" t="s">
        <v>23</v>
      </c>
      <c r="K1084" s="14"/>
      <c r="L1084" s="14"/>
      <c r="M1084" s="14" t="s">
        <v>29</v>
      </c>
      <c r="N1084" s="14" t="s">
        <v>25</v>
      </c>
      <c r="O1084" s="14"/>
      <c r="P1084" s="14"/>
      <c r="Q1084" s="14"/>
      <c r="R1084" s="14" t="s">
        <v>1449</v>
      </c>
    </row>
    <row r="1085" spans="1:18" ht="15" customHeight="1">
      <c r="A1085" s="12">
        <v>1958</v>
      </c>
      <c r="B1085" s="13" t="s">
        <v>1748</v>
      </c>
      <c r="C1085" s="14"/>
      <c r="D1085" s="14" t="s">
        <v>1746</v>
      </c>
      <c r="E1085" s="14" t="s">
        <v>1102</v>
      </c>
      <c r="F1085" s="15" t="s">
        <v>22</v>
      </c>
      <c r="G1085" s="14"/>
      <c r="H1085" s="58">
        <v>0</v>
      </c>
      <c r="I1085" s="14"/>
      <c r="J1085" s="14" t="s">
        <v>23</v>
      </c>
      <c r="K1085" s="14"/>
      <c r="L1085" s="14"/>
      <c r="M1085" s="14" t="s">
        <v>32</v>
      </c>
      <c r="N1085" s="22"/>
      <c r="O1085" s="14"/>
      <c r="P1085" s="14"/>
      <c r="Q1085" s="14"/>
      <c r="R1085" s="14"/>
    </row>
    <row r="1086" spans="1:18" ht="15" customHeight="1">
      <c r="A1086" s="12">
        <v>396</v>
      </c>
      <c r="B1086" s="13" t="s">
        <v>1749</v>
      </c>
      <c r="C1086" s="14"/>
      <c r="D1086" s="14" t="s">
        <v>1750</v>
      </c>
      <c r="E1086" s="14" t="s">
        <v>44</v>
      </c>
      <c r="F1086" s="15" t="s">
        <v>22</v>
      </c>
      <c r="G1086" s="14"/>
      <c r="H1086" s="58"/>
      <c r="I1086" s="14"/>
      <c r="J1086" s="14" t="s">
        <v>23</v>
      </c>
      <c r="K1086" s="14"/>
      <c r="L1086" s="14"/>
      <c r="M1086" s="14" t="s">
        <v>1537</v>
      </c>
      <c r="N1086" s="14" t="s">
        <v>25</v>
      </c>
      <c r="O1086" s="14"/>
      <c r="P1086" s="14"/>
      <c r="Q1086" s="14"/>
      <c r="R1086" s="14" t="s">
        <v>1242</v>
      </c>
    </row>
    <row r="1087" spans="1:18" ht="15" customHeight="1">
      <c r="A1087" s="12">
        <v>1142</v>
      </c>
      <c r="B1087" s="13" t="s">
        <v>1751</v>
      </c>
      <c r="C1087" s="14"/>
      <c r="D1087" s="14" t="s">
        <v>1750</v>
      </c>
      <c r="E1087" s="14" t="s">
        <v>44</v>
      </c>
      <c r="F1087" s="15" t="s">
        <v>22</v>
      </c>
      <c r="G1087" s="21"/>
      <c r="H1087" s="58"/>
      <c r="I1087" s="14"/>
      <c r="J1087" s="14" t="s">
        <v>23</v>
      </c>
      <c r="K1087" s="14"/>
      <c r="L1087" s="14"/>
      <c r="M1087" s="14" t="s">
        <v>29</v>
      </c>
      <c r="N1087" s="14" t="s">
        <v>25</v>
      </c>
      <c r="O1087" s="14"/>
      <c r="P1087" s="14"/>
      <c r="Q1087" s="14"/>
      <c r="R1087" s="14" t="s">
        <v>1449</v>
      </c>
    </row>
    <row r="1088" spans="1:18" ht="15" customHeight="1">
      <c r="A1088" s="12">
        <v>1959</v>
      </c>
      <c r="B1088" s="13" t="s">
        <v>1752</v>
      </c>
      <c r="C1088" s="14"/>
      <c r="D1088" s="14" t="s">
        <v>1750</v>
      </c>
      <c r="E1088" s="14" t="s">
        <v>44</v>
      </c>
      <c r="F1088" s="15" t="s">
        <v>22</v>
      </c>
      <c r="G1088" s="14"/>
      <c r="H1088" s="58">
        <v>0</v>
      </c>
      <c r="I1088" s="14"/>
      <c r="J1088" s="14" t="s">
        <v>23</v>
      </c>
      <c r="K1088" s="14"/>
      <c r="L1088" s="14"/>
      <c r="M1088" s="14" t="s">
        <v>32</v>
      </c>
      <c r="N1088" s="22"/>
      <c r="O1088" s="14"/>
      <c r="P1088" s="14"/>
      <c r="Q1088" s="14"/>
      <c r="R1088" s="14"/>
    </row>
    <row r="1089" spans="1:36" ht="15" customHeight="1">
      <c r="A1089" s="12">
        <v>397</v>
      </c>
      <c r="B1089" s="13" t="s">
        <v>1753</v>
      </c>
      <c r="C1089" s="14"/>
      <c r="D1089" s="14" t="s">
        <v>1754</v>
      </c>
      <c r="E1089" s="14" t="s">
        <v>36</v>
      </c>
      <c r="F1089" s="15" t="s">
        <v>22</v>
      </c>
      <c r="G1089" s="14"/>
      <c r="H1089" s="58"/>
      <c r="I1089" s="14"/>
      <c r="J1089" s="14" t="s">
        <v>23</v>
      </c>
      <c r="K1089" s="14"/>
      <c r="L1089" s="14"/>
      <c r="M1089" s="14" t="s">
        <v>1537</v>
      </c>
      <c r="N1089" s="14" t="s">
        <v>25</v>
      </c>
      <c r="O1089" s="14"/>
      <c r="P1089" s="14"/>
      <c r="Q1089" s="14"/>
      <c r="R1089" s="14" t="s">
        <v>1242</v>
      </c>
    </row>
    <row r="1090" spans="1:36" ht="15" customHeight="1">
      <c r="A1090" s="12">
        <v>1143</v>
      </c>
      <c r="B1090" s="13" t="s">
        <v>1755</v>
      </c>
      <c r="C1090" s="14"/>
      <c r="D1090" s="14" t="s">
        <v>1754</v>
      </c>
      <c r="E1090" s="14" t="s">
        <v>36</v>
      </c>
      <c r="F1090" s="15" t="s">
        <v>22</v>
      </c>
      <c r="G1090" s="21"/>
      <c r="H1090" s="58">
        <v>2</v>
      </c>
      <c r="I1090" s="14"/>
      <c r="J1090" s="14" t="s">
        <v>23</v>
      </c>
      <c r="K1090" s="14"/>
      <c r="L1090" s="14"/>
      <c r="M1090" s="14" t="s">
        <v>29</v>
      </c>
      <c r="N1090" s="25" t="s">
        <v>37</v>
      </c>
      <c r="O1090" s="14" t="s">
        <v>926</v>
      </c>
      <c r="P1090" s="14"/>
      <c r="Q1090" s="14"/>
      <c r="R1090" s="14" t="s">
        <v>1449</v>
      </c>
    </row>
    <row r="1091" spans="1:36" ht="15" customHeight="1">
      <c r="A1091" s="12">
        <v>1960</v>
      </c>
      <c r="B1091" s="13" t="s">
        <v>1756</v>
      </c>
      <c r="C1091" s="14"/>
      <c r="D1091" s="14" t="s">
        <v>1754</v>
      </c>
      <c r="E1091" s="14" t="s">
        <v>36</v>
      </c>
      <c r="F1091" s="15" t="s">
        <v>22</v>
      </c>
      <c r="G1091" s="14"/>
      <c r="H1091" s="58">
        <v>3</v>
      </c>
      <c r="I1091" s="14"/>
      <c r="J1091" s="14" t="s">
        <v>23</v>
      </c>
      <c r="K1091" s="14"/>
      <c r="L1091" s="14"/>
      <c r="M1091" s="14" t="s">
        <v>32</v>
      </c>
      <c r="N1091" s="22"/>
      <c r="O1091" s="14"/>
      <c r="P1091" s="14"/>
      <c r="Q1091" s="14"/>
      <c r="R1091" s="14"/>
    </row>
    <row r="1092" spans="1:36" ht="15" customHeight="1">
      <c r="A1092" s="12">
        <v>398</v>
      </c>
      <c r="B1092" s="13" t="s">
        <v>1757</v>
      </c>
      <c r="C1092" s="14"/>
      <c r="D1092" s="14" t="s">
        <v>1758</v>
      </c>
      <c r="E1092" s="14" t="s">
        <v>36</v>
      </c>
      <c r="F1092" s="15" t="s">
        <v>22</v>
      </c>
      <c r="G1092" s="14"/>
      <c r="H1092" s="58"/>
      <c r="I1092" s="14"/>
      <c r="J1092" s="14" t="s">
        <v>23</v>
      </c>
      <c r="K1092" s="14"/>
      <c r="L1092" s="14"/>
      <c r="M1092" s="14" t="s">
        <v>1537</v>
      </c>
      <c r="N1092" s="14" t="s">
        <v>25</v>
      </c>
      <c r="O1092" s="14"/>
      <c r="P1092" s="14"/>
      <c r="Q1092" s="14"/>
      <c r="R1092" s="14" t="s">
        <v>1242</v>
      </c>
    </row>
    <row r="1093" spans="1:36" ht="15" customHeight="1">
      <c r="A1093" s="12">
        <v>1144</v>
      </c>
      <c r="B1093" s="13" t="s">
        <v>1759</v>
      </c>
      <c r="C1093" s="14"/>
      <c r="D1093" s="14" t="s">
        <v>1758</v>
      </c>
      <c r="E1093" s="14" t="s">
        <v>36</v>
      </c>
      <c r="F1093" s="15" t="s">
        <v>22</v>
      </c>
      <c r="G1093" s="21"/>
      <c r="H1093" s="58"/>
      <c r="I1093" s="14"/>
      <c r="J1093" s="14" t="s">
        <v>23</v>
      </c>
      <c r="K1093" s="14"/>
      <c r="L1093" s="14"/>
      <c r="M1093" s="14" t="s">
        <v>29</v>
      </c>
      <c r="N1093" s="14" t="s">
        <v>25</v>
      </c>
      <c r="O1093" s="14"/>
      <c r="P1093" s="14"/>
      <c r="Q1093" s="14"/>
      <c r="R1093" s="14" t="s">
        <v>1449</v>
      </c>
    </row>
    <row r="1094" spans="1:36" ht="15" customHeight="1">
      <c r="A1094" s="12">
        <v>1961</v>
      </c>
      <c r="B1094" s="13" t="s">
        <v>1760</v>
      </c>
      <c r="C1094" s="14"/>
      <c r="D1094" s="14" t="s">
        <v>1758</v>
      </c>
      <c r="E1094" s="14" t="s">
        <v>36</v>
      </c>
      <c r="F1094" s="15" t="s">
        <v>22</v>
      </c>
      <c r="G1094" s="14"/>
      <c r="H1094" s="58">
        <v>0</v>
      </c>
      <c r="I1094" s="14"/>
      <c r="J1094" s="14" t="s">
        <v>23</v>
      </c>
      <c r="K1094" s="14"/>
      <c r="L1094" s="14"/>
      <c r="M1094" s="14" t="s">
        <v>32</v>
      </c>
      <c r="N1094" s="22"/>
      <c r="O1094" s="14"/>
      <c r="P1094" s="14"/>
      <c r="Q1094" s="14"/>
      <c r="R1094" s="14"/>
    </row>
    <row r="1095" spans="1:36" ht="15" customHeight="1">
      <c r="A1095" s="12">
        <v>399</v>
      </c>
      <c r="B1095" s="13" t="s">
        <v>1761</v>
      </c>
      <c r="C1095" s="14"/>
      <c r="D1095" s="14" t="s">
        <v>1762</v>
      </c>
      <c r="E1095" s="14" t="s">
        <v>172</v>
      </c>
      <c r="F1095" s="15" t="s">
        <v>22</v>
      </c>
      <c r="G1095" s="14"/>
      <c r="H1095" s="58"/>
      <c r="I1095" s="14"/>
      <c r="J1095" s="14" t="s">
        <v>23</v>
      </c>
      <c r="K1095" s="14"/>
      <c r="L1095" s="14"/>
      <c r="M1095" s="14" t="s">
        <v>1537</v>
      </c>
      <c r="N1095" s="14" t="s">
        <v>25</v>
      </c>
      <c r="O1095" s="14"/>
      <c r="P1095" s="14"/>
      <c r="Q1095" s="14"/>
      <c r="R1095" s="14" t="s">
        <v>1242</v>
      </c>
    </row>
    <row r="1096" spans="1:36" ht="15" customHeight="1">
      <c r="A1096" s="12">
        <v>1170</v>
      </c>
      <c r="B1096" s="13" t="s">
        <v>1763</v>
      </c>
      <c r="C1096" s="14"/>
      <c r="D1096" s="14" t="s">
        <v>1762</v>
      </c>
      <c r="E1096" s="14" t="s">
        <v>172</v>
      </c>
      <c r="F1096" s="15" t="s">
        <v>22</v>
      </c>
      <c r="G1096" s="21"/>
      <c r="H1096" s="58">
        <v>0</v>
      </c>
      <c r="I1096" s="14"/>
      <c r="J1096" s="14" t="s">
        <v>23</v>
      </c>
      <c r="K1096" s="14"/>
      <c r="L1096" s="14"/>
      <c r="M1096" s="14" t="s">
        <v>1534</v>
      </c>
      <c r="N1096" s="25" t="s">
        <v>289</v>
      </c>
      <c r="O1096" s="14" t="s">
        <v>1764</v>
      </c>
      <c r="P1096" s="14"/>
      <c r="Q1096" s="14"/>
      <c r="R1096" s="14" t="s">
        <v>1449</v>
      </c>
    </row>
    <row r="1097" spans="1:36" ht="15" customHeight="1">
      <c r="A1097" s="12">
        <v>2026</v>
      </c>
      <c r="B1097" s="13" t="s">
        <v>1765</v>
      </c>
      <c r="C1097" s="14"/>
      <c r="D1097" s="16">
        <v>361</v>
      </c>
      <c r="E1097" s="16" t="s">
        <v>172</v>
      </c>
      <c r="F1097" s="15" t="s">
        <v>22</v>
      </c>
      <c r="G1097" s="18"/>
      <c r="H1097" s="58"/>
      <c r="I1097" s="16"/>
      <c r="J1097" s="14" t="s">
        <v>23</v>
      </c>
      <c r="K1097" s="18"/>
      <c r="L1097" s="18"/>
      <c r="M1097" s="18"/>
      <c r="N1097" s="18"/>
      <c r="O1097" s="18"/>
      <c r="P1097" s="18"/>
      <c r="Q1097" s="18"/>
      <c r="R1097" s="18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</row>
    <row r="1098" spans="1:36" ht="15" customHeight="1">
      <c r="A1098" s="12">
        <v>400</v>
      </c>
      <c r="B1098" s="13" t="s">
        <v>1766</v>
      </c>
      <c r="C1098" s="14"/>
      <c r="D1098" s="14" t="s">
        <v>1767</v>
      </c>
      <c r="E1098" s="14" t="s">
        <v>44</v>
      </c>
      <c r="F1098" s="15" t="s">
        <v>22</v>
      </c>
      <c r="G1098" s="14"/>
      <c r="H1098" s="58"/>
      <c r="I1098" s="14"/>
      <c r="J1098" s="14" t="s">
        <v>23</v>
      </c>
      <c r="K1098" s="14"/>
      <c r="L1098" s="14"/>
      <c r="M1098" s="14" t="s">
        <v>1537</v>
      </c>
      <c r="N1098" s="25" t="s">
        <v>37</v>
      </c>
      <c r="O1098" s="14" t="s">
        <v>179</v>
      </c>
      <c r="P1098" s="14"/>
      <c r="Q1098" s="14"/>
      <c r="R1098" s="14" t="s">
        <v>1242</v>
      </c>
    </row>
    <row r="1099" spans="1:36" ht="15" customHeight="1">
      <c r="A1099" s="12">
        <v>1171</v>
      </c>
      <c r="B1099" s="13" t="s">
        <v>1768</v>
      </c>
      <c r="C1099" s="14"/>
      <c r="D1099" s="14" t="s">
        <v>1767</v>
      </c>
      <c r="E1099" s="14" t="s">
        <v>44</v>
      </c>
      <c r="F1099" s="15" t="s">
        <v>22</v>
      </c>
      <c r="G1099" s="21"/>
      <c r="H1099" s="58">
        <v>4</v>
      </c>
      <c r="I1099" s="14"/>
      <c r="J1099" s="14" t="s">
        <v>23</v>
      </c>
      <c r="K1099" s="14"/>
      <c r="L1099" s="14"/>
      <c r="M1099" s="14" t="s">
        <v>1534</v>
      </c>
      <c r="N1099" s="25" t="s">
        <v>37</v>
      </c>
      <c r="O1099" s="14" t="s">
        <v>1769</v>
      </c>
      <c r="P1099" s="14"/>
      <c r="Q1099" s="14"/>
      <c r="R1099" s="14" t="s">
        <v>1449</v>
      </c>
    </row>
    <row r="1100" spans="1:36" ht="15" customHeight="1">
      <c r="A1100" s="12">
        <v>2027</v>
      </c>
      <c r="B1100" s="13" t="s">
        <v>1770</v>
      </c>
      <c r="C1100" s="14"/>
      <c r="D1100" s="16">
        <v>362</v>
      </c>
      <c r="E1100" s="16" t="s">
        <v>44</v>
      </c>
      <c r="F1100" s="15" t="s">
        <v>22</v>
      </c>
      <c r="G1100" s="18"/>
      <c r="H1100" s="58">
        <v>3</v>
      </c>
      <c r="I1100" s="16"/>
      <c r="J1100" s="14" t="s">
        <v>23</v>
      </c>
      <c r="K1100" s="18"/>
      <c r="L1100" s="18"/>
      <c r="M1100" s="18"/>
      <c r="N1100" s="18"/>
      <c r="O1100" s="18"/>
      <c r="P1100" s="18"/>
      <c r="Q1100" s="18"/>
      <c r="R1100" s="18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</row>
    <row r="1101" spans="1:36" ht="15" customHeight="1">
      <c r="A1101" s="12">
        <v>401</v>
      </c>
      <c r="B1101" s="13" t="s">
        <v>1771</v>
      </c>
      <c r="C1101" s="14"/>
      <c r="D1101" s="14" t="s">
        <v>1772</v>
      </c>
      <c r="E1101" s="14" t="s">
        <v>21</v>
      </c>
      <c r="F1101" s="15" t="s">
        <v>22</v>
      </c>
      <c r="G1101" s="14"/>
      <c r="H1101" s="58"/>
      <c r="I1101" s="14"/>
      <c r="J1101" s="14" t="s">
        <v>23</v>
      </c>
      <c r="K1101" s="14"/>
      <c r="L1101" s="14"/>
      <c r="M1101" s="14" t="s">
        <v>1537</v>
      </c>
      <c r="N1101" s="14" t="s">
        <v>25</v>
      </c>
      <c r="O1101" s="14"/>
      <c r="P1101" s="14"/>
      <c r="Q1101" s="14"/>
      <c r="R1101" s="14" t="s">
        <v>1242</v>
      </c>
    </row>
    <row r="1102" spans="1:36" ht="15" customHeight="1">
      <c r="A1102" s="12">
        <v>1172</v>
      </c>
      <c r="B1102" s="13" t="s">
        <v>1773</v>
      </c>
      <c r="C1102" s="14"/>
      <c r="D1102" s="14" t="s">
        <v>1772</v>
      </c>
      <c r="E1102" s="14" t="s">
        <v>21</v>
      </c>
      <c r="F1102" s="15" t="s">
        <v>22</v>
      </c>
      <c r="G1102" s="21"/>
      <c r="H1102" s="58">
        <v>3</v>
      </c>
      <c r="I1102" s="14"/>
      <c r="J1102" s="14" t="s">
        <v>23</v>
      </c>
      <c r="K1102" s="14"/>
      <c r="L1102" s="14"/>
      <c r="M1102" s="14" t="s">
        <v>1534</v>
      </c>
      <c r="N1102" s="14" t="s">
        <v>25</v>
      </c>
      <c r="O1102" s="14"/>
      <c r="P1102" s="14"/>
      <c r="Q1102" s="14"/>
      <c r="R1102" s="14" t="s">
        <v>1449</v>
      </c>
    </row>
    <row r="1103" spans="1:36" ht="15" customHeight="1">
      <c r="A1103" s="12">
        <v>2028</v>
      </c>
      <c r="B1103" s="13" t="s">
        <v>1774</v>
      </c>
      <c r="C1103" s="14"/>
      <c r="D1103" s="16">
        <v>363</v>
      </c>
      <c r="E1103" s="16" t="s">
        <v>21</v>
      </c>
      <c r="F1103" s="15" t="s">
        <v>22</v>
      </c>
      <c r="G1103" s="18"/>
      <c r="H1103" s="58">
        <v>1</v>
      </c>
      <c r="I1103" s="16"/>
      <c r="J1103" s="14" t="s">
        <v>23</v>
      </c>
      <c r="K1103" s="18"/>
      <c r="L1103" s="18"/>
      <c r="M1103" s="18"/>
      <c r="N1103" s="18"/>
      <c r="O1103" s="18"/>
      <c r="P1103" s="18"/>
      <c r="Q1103" s="18"/>
      <c r="R1103" s="18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</row>
    <row r="1104" spans="1:36" ht="15" customHeight="1">
      <c r="A1104" s="12">
        <v>402</v>
      </c>
      <c r="B1104" s="13" t="s">
        <v>1775</v>
      </c>
      <c r="C1104" s="14"/>
      <c r="D1104" s="14" t="s">
        <v>1776</v>
      </c>
      <c r="E1104" s="14" t="s">
        <v>44</v>
      </c>
      <c r="F1104" s="15" t="s">
        <v>22</v>
      </c>
      <c r="G1104" s="14"/>
      <c r="H1104" s="58"/>
      <c r="I1104" s="14"/>
      <c r="J1104" s="14" t="s">
        <v>23</v>
      </c>
      <c r="K1104" s="14"/>
      <c r="L1104" s="14"/>
      <c r="M1104" s="14" t="s">
        <v>1537</v>
      </c>
      <c r="N1104" s="14" t="s">
        <v>25</v>
      </c>
      <c r="O1104" s="14"/>
      <c r="P1104" s="14"/>
      <c r="Q1104" s="14"/>
      <c r="R1104" s="14" t="s">
        <v>1242</v>
      </c>
    </row>
    <row r="1105" spans="1:1027" ht="15" customHeight="1">
      <c r="A1105" s="12">
        <v>1173</v>
      </c>
      <c r="B1105" s="13" t="s">
        <v>1777</v>
      </c>
      <c r="C1105" s="14"/>
      <c r="D1105" s="14" t="s">
        <v>1776</v>
      </c>
      <c r="E1105" s="14" t="s">
        <v>44</v>
      </c>
      <c r="F1105" s="15" t="s">
        <v>22</v>
      </c>
      <c r="G1105" s="21"/>
      <c r="H1105" s="58">
        <v>3</v>
      </c>
      <c r="I1105" s="14"/>
      <c r="J1105" s="14" t="s">
        <v>23</v>
      </c>
      <c r="K1105" s="14"/>
      <c r="L1105" s="14"/>
      <c r="M1105" s="14" t="s">
        <v>1534</v>
      </c>
      <c r="N1105" s="14" t="s">
        <v>25</v>
      </c>
      <c r="O1105" s="14"/>
      <c r="P1105" s="14"/>
      <c r="Q1105" s="14"/>
      <c r="R1105" s="14" t="s">
        <v>1449</v>
      </c>
    </row>
    <row r="1106" spans="1:1027" ht="15" customHeight="1">
      <c r="A1106" s="12">
        <v>2029</v>
      </c>
      <c r="B1106" s="13" t="s">
        <v>1778</v>
      </c>
      <c r="C1106" s="14"/>
      <c r="D1106" s="16">
        <v>364</v>
      </c>
      <c r="E1106" s="16" t="s">
        <v>44</v>
      </c>
      <c r="F1106" s="15" t="s">
        <v>22</v>
      </c>
      <c r="G1106" s="18"/>
      <c r="H1106" s="58"/>
      <c r="I1106" s="16"/>
      <c r="J1106" s="14" t="s">
        <v>23</v>
      </c>
      <c r="K1106" s="18"/>
      <c r="L1106" s="18"/>
      <c r="M1106" s="18"/>
      <c r="N1106" s="18"/>
      <c r="O1106" s="18"/>
      <c r="P1106" s="18"/>
      <c r="Q1106" s="18"/>
      <c r="R1106" s="18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</row>
    <row r="1107" spans="1:1027" ht="15" customHeight="1">
      <c r="A1107" s="12">
        <v>403</v>
      </c>
      <c r="B1107" s="13" t="s">
        <v>1779</v>
      </c>
      <c r="C1107" s="14"/>
      <c r="D1107" s="14" t="s">
        <v>1780</v>
      </c>
      <c r="E1107" s="14" t="s">
        <v>44</v>
      </c>
      <c r="F1107" s="15" t="s">
        <v>22</v>
      </c>
      <c r="G1107" s="14"/>
      <c r="H1107" s="58"/>
      <c r="I1107" s="14"/>
      <c r="J1107" s="14" t="s">
        <v>23</v>
      </c>
      <c r="K1107" s="14"/>
      <c r="L1107" s="14"/>
      <c r="M1107" s="14" t="s">
        <v>1537</v>
      </c>
      <c r="N1107" s="14" t="s">
        <v>25</v>
      </c>
      <c r="O1107" s="14"/>
      <c r="P1107" s="14"/>
      <c r="Q1107" s="14"/>
      <c r="R1107" s="14" t="s">
        <v>1242</v>
      </c>
    </row>
    <row r="1108" spans="1:1027" ht="15" customHeight="1">
      <c r="A1108" s="12">
        <v>1174</v>
      </c>
      <c r="B1108" s="13" t="s">
        <v>1781</v>
      </c>
      <c r="C1108" s="14"/>
      <c r="D1108" s="14" t="s">
        <v>1780</v>
      </c>
      <c r="E1108" s="14" t="s">
        <v>44</v>
      </c>
      <c r="F1108" s="15" t="s">
        <v>22</v>
      </c>
      <c r="G1108" s="21"/>
      <c r="H1108" s="58">
        <v>4</v>
      </c>
      <c r="I1108" s="14"/>
      <c r="J1108" s="14" t="s">
        <v>23</v>
      </c>
      <c r="K1108" s="14"/>
      <c r="L1108" s="14"/>
      <c r="M1108" s="14" t="s">
        <v>1534</v>
      </c>
      <c r="N1108" s="25" t="s">
        <v>289</v>
      </c>
      <c r="O1108" s="14" t="s">
        <v>189</v>
      </c>
      <c r="P1108" s="14"/>
      <c r="Q1108" s="14"/>
      <c r="R1108" s="14" t="s">
        <v>1449</v>
      </c>
    </row>
    <row r="1109" spans="1:1027" ht="15" customHeight="1">
      <c r="A1109" s="12">
        <v>2030</v>
      </c>
      <c r="B1109" s="13" t="s">
        <v>1782</v>
      </c>
      <c r="C1109" s="14"/>
      <c r="D1109" s="16">
        <v>365</v>
      </c>
      <c r="E1109" s="16" t="s">
        <v>44</v>
      </c>
      <c r="F1109" s="15" t="s">
        <v>22</v>
      </c>
      <c r="G1109" s="18"/>
      <c r="H1109" s="58">
        <v>2</v>
      </c>
      <c r="I1109" s="16"/>
      <c r="J1109" s="14" t="s">
        <v>23</v>
      </c>
      <c r="K1109" s="18"/>
      <c r="L1109" s="18"/>
      <c r="M1109" s="18"/>
      <c r="N1109" s="18"/>
      <c r="O1109" s="18"/>
      <c r="P1109" s="18"/>
      <c r="Q1109" s="18"/>
      <c r="R1109" s="18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</row>
    <row r="1110" spans="1:1027" ht="15" customHeight="1">
      <c r="A1110" s="12">
        <v>404</v>
      </c>
      <c r="B1110" s="13" t="s">
        <v>1783</v>
      </c>
      <c r="C1110" s="14"/>
      <c r="D1110" s="14" t="s">
        <v>1784</v>
      </c>
      <c r="E1110" s="14" t="s">
        <v>137</v>
      </c>
      <c r="F1110" s="15" t="s">
        <v>22</v>
      </c>
      <c r="G1110" s="14"/>
      <c r="H1110" s="58"/>
      <c r="I1110" s="14"/>
      <c r="J1110" s="14" t="s">
        <v>23</v>
      </c>
      <c r="K1110" s="14"/>
      <c r="L1110" s="14"/>
      <c r="M1110" s="14" t="s">
        <v>1537</v>
      </c>
      <c r="N1110" s="25" t="s">
        <v>37</v>
      </c>
      <c r="O1110" s="14" t="s">
        <v>45</v>
      </c>
      <c r="P1110" s="14"/>
      <c r="Q1110" s="14"/>
      <c r="R1110" s="14" t="s">
        <v>1242</v>
      </c>
    </row>
    <row r="1111" spans="1:1027" ht="15" customHeight="1">
      <c r="A1111" s="12">
        <v>1175</v>
      </c>
      <c r="B1111" s="13" t="s">
        <v>1785</v>
      </c>
      <c r="C1111" s="14"/>
      <c r="D1111" s="14" t="s">
        <v>1784</v>
      </c>
      <c r="E1111" s="14" t="s">
        <v>137</v>
      </c>
      <c r="F1111" s="15" t="s">
        <v>22</v>
      </c>
      <c r="G1111" s="21"/>
      <c r="H1111" s="58">
        <v>3</v>
      </c>
      <c r="I1111" s="14"/>
      <c r="J1111" s="14" t="s">
        <v>23</v>
      </c>
      <c r="K1111" s="14"/>
      <c r="L1111" s="14"/>
      <c r="M1111" s="14" t="s">
        <v>1534</v>
      </c>
      <c r="N1111" s="25" t="s">
        <v>37</v>
      </c>
      <c r="O1111" s="14" t="s">
        <v>1786</v>
      </c>
      <c r="P1111" s="14"/>
      <c r="Q1111" s="14"/>
      <c r="R1111" s="14" t="s">
        <v>1449</v>
      </c>
    </row>
    <row r="1112" spans="1:1027" ht="15" customHeight="1">
      <c r="A1112" s="12">
        <v>1962</v>
      </c>
      <c r="B1112" s="13" t="s">
        <v>1787</v>
      </c>
      <c r="C1112" s="14"/>
      <c r="D1112" s="14" t="s">
        <v>1784</v>
      </c>
      <c r="E1112" s="14" t="s">
        <v>137</v>
      </c>
      <c r="F1112" s="15" t="s">
        <v>22</v>
      </c>
      <c r="G1112" s="14"/>
      <c r="H1112" s="58">
        <v>3</v>
      </c>
      <c r="I1112" s="14"/>
      <c r="J1112" s="14" t="s">
        <v>23</v>
      </c>
      <c r="K1112" s="14"/>
      <c r="L1112" s="14"/>
      <c r="M1112" s="14" t="s">
        <v>32</v>
      </c>
      <c r="N1112" s="22"/>
      <c r="O1112" s="14"/>
      <c r="P1112" s="14"/>
      <c r="Q1112" s="14"/>
      <c r="R1112" s="14"/>
    </row>
    <row r="1113" spans="1:1027" ht="15" customHeight="1">
      <c r="A1113" s="12">
        <v>405</v>
      </c>
      <c r="B1113" s="13" t="s">
        <v>1788</v>
      </c>
      <c r="C1113" s="14"/>
      <c r="D1113" s="14" t="s">
        <v>1789</v>
      </c>
      <c r="E1113" s="14" t="s">
        <v>44</v>
      </c>
      <c r="F1113" s="15" t="s">
        <v>22</v>
      </c>
      <c r="G1113" s="14"/>
      <c r="H1113" s="58"/>
      <c r="I1113" s="14"/>
      <c r="J1113" s="14" t="s">
        <v>23</v>
      </c>
      <c r="K1113" s="14"/>
      <c r="L1113" s="14"/>
      <c r="M1113" s="14" t="s">
        <v>1537</v>
      </c>
      <c r="N1113" s="25" t="s">
        <v>37</v>
      </c>
      <c r="O1113" s="14" t="s">
        <v>179</v>
      </c>
      <c r="P1113" s="14"/>
      <c r="Q1113" s="14"/>
      <c r="R1113" s="14" t="s">
        <v>1242</v>
      </c>
    </row>
    <row r="1114" spans="1:1027" ht="15" customHeight="1">
      <c r="A1114" s="12">
        <v>1176</v>
      </c>
      <c r="B1114" s="13" t="s">
        <v>1790</v>
      </c>
      <c r="C1114" s="14"/>
      <c r="D1114" s="14" t="s">
        <v>1789</v>
      </c>
      <c r="E1114" s="14" t="s">
        <v>44</v>
      </c>
      <c r="F1114" s="15" t="s">
        <v>22</v>
      </c>
      <c r="G1114" s="21"/>
      <c r="H1114" s="58">
        <v>1</v>
      </c>
      <c r="I1114" s="14"/>
      <c r="J1114" s="14" t="s">
        <v>23</v>
      </c>
      <c r="K1114" s="14"/>
      <c r="L1114" s="14"/>
      <c r="M1114" s="14" t="s">
        <v>1534</v>
      </c>
      <c r="N1114" s="25" t="s">
        <v>37</v>
      </c>
      <c r="O1114" s="14" t="s">
        <v>1791</v>
      </c>
      <c r="P1114" s="14"/>
      <c r="Q1114" s="14"/>
      <c r="R1114" s="14" t="s">
        <v>1449</v>
      </c>
    </row>
    <row r="1115" spans="1:1027" ht="15" customHeight="1">
      <c r="A1115" s="12">
        <v>1963</v>
      </c>
      <c r="B1115" s="13" t="s">
        <v>1792</v>
      </c>
      <c r="C1115" s="14"/>
      <c r="D1115" s="14" t="s">
        <v>1789</v>
      </c>
      <c r="E1115" s="14" t="s">
        <v>44</v>
      </c>
      <c r="F1115" s="15" t="s">
        <v>22</v>
      </c>
      <c r="G1115" s="14"/>
      <c r="H1115" s="58">
        <v>3</v>
      </c>
      <c r="I1115" s="14"/>
      <c r="J1115" s="14" t="s">
        <v>23</v>
      </c>
      <c r="K1115" s="14"/>
      <c r="L1115" s="14"/>
      <c r="M1115" s="14" t="s">
        <v>32</v>
      </c>
      <c r="N1115" s="22"/>
      <c r="O1115" s="14"/>
      <c r="P1115" s="14"/>
      <c r="Q1115" s="14"/>
      <c r="R1115" s="14"/>
    </row>
    <row r="1116" spans="1:1027" ht="15" customHeight="1">
      <c r="A1116" s="12">
        <v>8</v>
      </c>
      <c r="B1116" s="13" t="s">
        <v>1793</v>
      </c>
      <c r="C1116" s="14"/>
      <c r="D1116" s="14" t="s">
        <v>1794</v>
      </c>
      <c r="E1116" s="14" t="s">
        <v>44</v>
      </c>
      <c r="F1116" s="15" t="s">
        <v>22</v>
      </c>
      <c r="G1116" s="14"/>
      <c r="H1116" s="58"/>
      <c r="I1116" s="14"/>
      <c r="J1116" s="14" t="s">
        <v>23</v>
      </c>
      <c r="K1116" s="15"/>
      <c r="L1116" s="15"/>
      <c r="M1116" s="14" t="s">
        <v>24</v>
      </c>
      <c r="N1116" s="14" t="s">
        <v>25</v>
      </c>
      <c r="O1116" s="14"/>
      <c r="P1116" s="14"/>
      <c r="Q1116" s="14"/>
      <c r="R1116" s="17">
        <v>43599</v>
      </c>
      <c r="S1116" s="12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  <c r="KZ1116" s="3"/>
      <c r="LA1116" s="3"/>
      <c r="LB1116" s="3"/>
      <c r="LC1116" s="3"/>
      <c r="LD1116" s="3"/>
      <c r="LE1116" s="3"/>
      <c r="LF1116" s="3"/>
      <c r="LG1116" s="3"/>
      <c r="LH1116" s="3"/>
      <c r="LI1116" s="3"/>
      <c r="LJ1116" s="3"/>
      <c r="LK1116" s="3"/>
      <c r="LL1116" s="3"/>
      <c r="LM1116" s="3"/>
      <c r="LN1116" s="3"/>
      <c r="LO1116" s="3"/>
      <c r="LP1116" s="3"/>
      <c r="LQ1116" s="3"/>
      <c r="LR1116" s="3"/>
      <c r="LS1116" s="3"/>
      <c r="LT1116" s="3"/>
      <c r="LU1116" s="3"/>
      <c r="LV1116" s="3"/>
      <c r="LW1116" s="3"/>
      <c r="LX1116" s="3"/>
      <c r="LY1116" s="3"/>
      <c r="LZ1116" s="3"/>
      <c r="MA1116" s="3"/>
      <c r="MB1116" s="3"/>
      <c r="MC1116" s="3"/>
      <c r="MD1116" s="3"/>
      <c r="ME1116" s="3"/>
      <c r="MF1116" s="3"/>
      <c r="MG1116" s="3"/>
      <c r="MH1116" s="3"/>
      <c r="MI1116" s="3"/>
      <c r="MJ1116" s="3"/>
      <c r="MK1116" s="3"/>
      <c r="ML1116" s="3"/>
      <c r="MM1116" s="3"/>
      <c r="MN1116" s="3"/>
      <c r="MO1116" s="3"/>
      <c r="MP1116" s="3"/>
      <c r="MQ1116" s="3"/>
      <c r="MR1116" s="3"/>
      <c r="MS1116" s="3"/>
      <c r="MT1116" s="3"/>
      <c r="MU1116" s="3"/>
      <c r="MV1116" s="3"/>
      <c r="MW1116" s="3"/>
      <c r="MX1116" s="3"/>
      <c r="MY1116" s="3"/>
      <c r="MZ1116" s="3"/>
      <c r="NA1116" s="3"/>
      <c r="NB1116" s="3"/>
      <c r="NC1116" s="3"/>
      <c r="ND1116" s="3"/>
      <c r="NE1116" s="3"/>
      <c r="NF1116" s="3"/>
      <c r="NG1116" s="3"/>
      <c r="NH1116" s="3"/>
      <c r="NI1116" s="3"/>
      <c r="NJ1116" s="3"/>
      <c r="NK1116" s="3"/>
      <c r="NL1116" s="3"/>
      <c r="NM1116" s="3"/>
      <c r="NN1116" s="3"/>
      <c r="NO1116" s="3"/>
      <c r="NP1116" s="3"/>
      <c r="NQ1116" s="3"/>
      <c r="NR1116" s="3"/>
      <c r="NS1116" s="3"/>
      <c r="NT1116" s="3"/>
      <c r="NU1116" s="3"/>
      <c r="NV1116" s="3"/>
      <c r="NW1116" s="3"/>
      <c r="NX1116" s="3"/>
      <c r="NY1116" s="3"/>
      <c r="NZ1116" s="3"/>
      <c r="OA1116" s="3"/>
      <c r="OB1116" s="3"/>
      <c r="OC1116" s="3"/>
      <c r="OD1116" s="3"/>
      <c r="OE1116" s="3"/>
      <c r="OF1116" s="3"/>
      <c r="OG1116" s="3"/>
      <c r="OH1116" s="3"/>
      <c r="OI1116" s="3"/>
      <c r="OJ1116" s="3"/>
      <c r="OK1116" s="3"/>
      <c r="OL1116" s="3"/>
      <c r="OM1116" s="3"/>
      <c r="ON1116" s="3"/>
      <c r="OO1116" s="3"/>
      <c r="OP1116" s="3"/>
      <c r="OQ1116" s="3"/>
      <c r="OR1116" s="3"/>
      <c r="OS1116" s="3"/>
      <c r="OT1116" s="3"/>
      <c r="OU1116" s="3"/>
      <c r="OV1116" s="3"/>
      <c r="OW1116" s="3"/>
      <c r="OX1116" s="3"/>
      <c r="OY1116" s="3"/>
      <c r="OZ1116" s="3"/>
      <c r="PA1116" s="3"/>
      <c r="PB1116" s="3"/>
      <c r="PC1116" s="3"/>
      <c r="PD1116" s="3"/>
      <c r="PE1116" s="3"/>
      <c r="PF1116" s="3"/>
      <c r="PG1116" s="3"/>
      <c r="PH1116" s="3"/>
      <c r="PI1116" s="3"/>
      <c r="PJ1116" s="3"/>
      <c r="PK1116" s="3"/>
      <c r="PL1116" s="3"/>
      <c r="PM1116" s="3"/>
      <c r="PN1116" s="3"/>
      <c r="PO1116" s="3"/>
      <c r="PP1116" s="3"/>
      <c r="PQ1116" s="3"/>
      <c r="PR1116" s="3"/>
      <c r="PS1116" s="3"/>
      <c r="PT1116" s="3"/>
      <c r="PU1116" s="3"/>
      <c r="PV1116" s="3"/>
      <c r="PW1116" s="3"/>
      <c r="PX1116" s="3"/>
      <c r="PY1116" s="3"/>
      <c r="PZ1116" s="3"/>
      <c r="QA1116" s="3"/>
      <c r="QB1116" s="3"/>
      <c r="QC1116" s="3"/>
      <c r="QD1116" s="3"/>
      <c r="QE1116" s="3"/>
      <c r="QF1116" s="3"/>
      <c r="QG1116" s="3"/>
      <c r="QH1116" s="3"/>
      <c r="QI1116" s="3"/>
      <c r="QJ1116" s="3"/>
      <c r="QK1116" s="3"/>
      <c r="QL1116" s="3"/>
      <c r="QM1116" s="3"/>
      <c r="QN1116" s="3"/>
      <c r="QO1116" s="3"/>
      <c r="QP1116" s="3"/>
      <c r="QQ1116" s="3"/>
      <c r="QR1116" s="3"/>
      <c r="QS1116" s="3"/>
      <c r="QT1116" s="3"/>
      <c r="QU1116" s="3"/>
      <c r="QV1116" s="3"/>
      <c r="QW1116" s="3"/>
      <c r="QX1116" s="3"/>
      <c r="QY1116" s="3"/>
      <c r="QZ1116" s="3"/>
      <c r="RA1116" s="3"/>
      <c r="RB1116" s="3"/>
      <c r="RC1116" s="3"/>
      <c r="RD1116" s="3"/>
      <c r="RE1116" s="3"/>
      <c r="RF1116" s="3"/>
      <c r="RG1116" s="3"/>
      <c r="RH1116" s="3"/>
      <c r="RI1116" s="3"/>
      <c r="RJ1116" s="3"/>
      <c r="RK1116" s="3"/>
      <c r="RL1116" s="3"/>
      <c r="RM1116" s="3"/>
      <c r="RN1116" s="3"/>
      <c r="RO1116" s="3"/>
      <c r="RP1116" s="3"/>
      <c r="RQ1116" s="3"/>
      <c r="RR1116" s="3"/>
      <c r="RS1116" s="3"/>
      <c r="RT1116" s="3"/>
      <c r="RU1116" s="3"/>
      <c r="RV1116" s="3"/>
      <c r="RW1116" s="3"/>
      <c r="RX1116" s="3"/>
      <c r="RY1116" s="3"/>
      <c r="RZ1116" s="3"/>
      <c r="SA1116" s="3"/>
      <c r="SB1116" s="3"/>
      <c r="SC1116" s="3"/>
      <c r="SD1116" s="3"/>
      <c r="SE1116" s="3"/>
      <c r="SF1116" s="3"/>
      <c r="SG1116" s="3"/>
      <c r="SH1116" s="3"/>
      <c r="SI1116" s="3"/>
      <c r="SJ1116" s="3"/>
      <c r="SK1116" s="3"/>
      <c r="SL1116" s="3"/>
      <c r="SM1116" s="3"/>
      <c r="SN1116" s="3"/>
      <c r="SO1116" s="3"/>
      <c r="SP1116" s="3"/>
      <c r="SQ1116" s="3"/>
      <c r="SR1116" s="3"/>
      <c r="SS1116" s="3"/>
      <c r="ST1116" s="3"/>
      <c r="SU1116" s="3"/>
      <c r="SV1116" s="3"/>
      <c r="SW1116" s="3"/>
      <c r="SX1116" s="3"/>
      <c r="SY1116" s="3"/>
      <c r="SZ1116" s="3"/>
      <c r="TA1116" s="3"/>
      <c r="TB1116" s="3"/>
      <c r="TC1116" s="3"/>
      <c r="TD1116" s="3"/>
      <c r="TE1116" s="3"/>
      <c r="TF1116" s="3"/>
      <c r="TG1116" s="3"/>
      <c r="TH1116" s="3"/>
      <c r="TI1116" s="3"/>
      <c r="TJ1116" s="3"/>
      <c r="TK1116" s="3"/>
      <c r="TL1116" s="3"/>
      <c r="TM1116" s="3"/>
      <c r="TN1116" s="3"/>
      <c r="TO1116" s="3"/>
      <c r="TP1116" s="3"/>
      <c r="TQ1116" s="3"/>
      <c r="TR1116" s="3"/>
      <c r="TS1116" s="3"/>
      <c r="TT1116" s="3"/>
      <c r="TU1116" s="3"/>
      <c r="TV1116" s="3"/>
      <c r="TW1116" s="3"/>
      <c r="TX1116" s="3"/>
      <c r="TY1116" s="3"/>
      <c r="TZ1116" s="3"/>
      <c r="UA1116" s="3"/>
      <c r="UB1116" s="3"/>
      <c r="UC1116" s="3"/>
      <c r="UD1116" s="3"/>
      <c r="UE1116" s="3"/>
      <c r="UF1116" s="3"/>
      <c r="UG1116" s="3"/>
      <c r="UH1116" s="3"/>
      <c r="UI1116" s="3"/>
      <c r="UJ1116" s="3"/>
      <c r="UK1116" s="3"/>
      <c r="UL1116" s="3"/>
      <c r="UM1116" s="3"/>
      <c r="UN1116" s="3"/>
      <c r="UO1116" s="3"/>
      <c r="UP1116" s="3"/>
      <c r="UQ1116" s="3"/>
      <c r="UR1116" s="3"/>
      <c r="US1116" s="3"/>
      <c r="UT1116" s="3"/>
      <c r="UU1116" s="3"/>
      <c r="UV1116" s="3"/>
      <c r="UW1116" s="3"/>
      <c r="UX1116" s="3"/>
      <c r="UY1116" s="3"/>
      <c r="UZ1116" s="3"/>
      <c r="VA1116" s="3"/>
      <c r="VB1116" s="3"/>
      <c r="VC1116" s="3"/>
      <c r="VD1116" s="3"/>
      <c r="VE1116" s="3"/>
      <c r="VF1116" s="3"/>
      <c r="VG1116" s="3"/>
      <c r="VH1116" s="3"/>
      <c r="VI1116" s="3"/>
      <c r="VJ1116" s="3"/>
      <c r="VK1116" s="3"/>
      <c r="VL1116" s="3"/>
      <c r="VM1116" s="3"/>
      <c r="VN1116" s="3"/>
      <c r="VO1116" s="3"/>
      <c r="VP1116" s="3"/>
      <c r="VQ1116" s="3"/>
      <c r="VR1116" s="3"/>
      <c r="VS1116" s="3"/>
      <c r="VT1116" s="3"/>
      <c r="VU1116" s="3"/>
      <c r="VV1116" s="3"/>
      <c r="VW1116" s="3"/>
      <c r="VX1116" s="3"/>
      <c r="VY1116" s="3"/>
      <c r="VZ1116" s="3"/>
      <c r="WA1116" s="3"/>
      <c r="WB1116" s="3"/>
      <c r="WC1116" s="3"/>
      <c r="WD1116" s="3"/>
      <c r="WE1116" s="3"/>
      <c r="WF1116" s="3"/>
      <c r="WG1116" s="3"/>
      <c r="WH1116" s="3"/>
      <c r="WI1116" s="3"/>
      <c r="WJ1116" s="3"/>
      <c r="WK1116" s="3"/>
      <c r="WL1116" s="3"/>
      <c r="WM1116" s="3"/>
      <c r="WN1116" s="3"/>
      <c r="WO1116" s="3"/>
      <c r="WP1116" s="3"/>
      <c r="WQ1116" s="3"/>
      <c r="WR1116" s="3"/>
      <c r="WS1116" s="3"/>
      <c r="WT1116" s="3"/>
      <c r="WU1116" s="3"/>
      <c r="WV1116" s="3"/>
      <c r="WW1116" s="3"/>
      <c r="WX1116" s="3"/>
      <c r="WY1116" s="3"/>
      <c r="WZ1116" s="3"/>
      <c r="XA1116" s="3"/>
      <c r="XB1116" s="3"/>
      <c r="XC1116" s="3"/>
      <c r="XD1116" s="3"/>
      <c r="XE1116" s="3"/>
      <c r="XF1116" s="3"/>
      <c r="XG1116" s="3"/>
      <c r="XH1116" s="3"/>
      <c r="XI1116" s="3"/>
      <c r="XJ1116" s="3"/>
      <c r="XK1116" s="3"/>
      <c r="XL1116" s="3"/>
      <c r="XM1116" s="3"/>
      <c r="XN1116" s="3"/>
      <c r="XO1116" s="3"/>
      <c r="XP1116" s="3"/>
      <c r="XQ1116" s="3"/>
      <c r="XR1116" s="3"/>
      <c r="XS1116" s="3"/>
      <c r="XT1116" s="3"/>
      <c r="XU1116" s="3"/>
      <c r="XV1116" s="3"/>
      <c r="XW1116" s="3"/>
      <c r="XX1116" s="3"/>
      <c r="XY1116" s="3"/>
      <c r="XZ1116" s="3"/>
      <c r="YA1116" s="3"/>
      <c r="YB1116" s="3"/>
      <c r="YC1116" s="3"/>
      <c r="YD1116" s="3"/>
      <c r="YE1116" s="3"/>
      <c r="YF1116" s="3"/>
      <c r="YG1116" s="3"/>
      <c r="YH1116" s="3"/>
      <c r="YI1116" s="3"/>
      <c r="YJ1116" s="3"/>
      <c r="YK1116" s="3"/>
      <c r="YL1116" s="3"/>
      <c r="YM1116" s="3"/>
      <c r="YN1116" s="3"/>
      <c r="YO1116" s="3"/>
      <c r="YP1116" s="3"/>
      <c r="YQ1116" s="3"/>
      <c r="YR1116" s="3"/>
      <c r="YS1116" s="3"/>
      <c r="YT1116" s="3"/>
      <c r="YU1116" s="3"/>
      <c r="YV1116" s="3"/>
      <c r="YW1116" s="3"/>
      <c r="YX1116" s="3"/>
      <c r="YY1116" s="3"/>
      <c r="YZ1116" s="3"/>
      <c r="ZA1116" s="3"/>
      <c r="ZB1116" s="3"/>
      <c r="ZC1116" s="3"/>
      <c r="ZD1116" s="3"/>
      <c r="ZE1116" s="3"/>
      <c r="ZF1116" s="3"/>
      <c r="ZG1116" s="3"/>
      <c r="ZH1116" s="3"/>
      <c r="ZI1116" s="3"/>
      <c r="ZJ1116" s="3"/>
      <c r="ZK1116" s="3"/>
      <c r="ZL1116" s="3"/>
      <c r="ZM1116" s="3"/>
      <c r="ZN1116" s="3"/>
      <c r="ZO1116" s="3"/>
      <c r="ZP1116" s="3"/>
      <c r="ZQ1116" s="3"/>
      <c r="ZR1116" s="3"/>
      <c r="ZS1116" s="3"/>
      <c r="ZT1116" s="3"/>
      <c r="ZU1116" s="3"/>
      <c r="ZV1116" s="3"/>
      <c r="ZW1116" s="3"/>
      <c r="ZX1116" s="3"/>
      <c r="ZY1116" s="3"/>
      <c r="ZZ1116" s="3"/>
      <c r="AAA1116" s="3"/>
      <c r="AAB1116" s="3"/>
      <c r="AAC1116" s="3"/>
      <c r="AAD1116" s="3"/>
      <c r="AAE1116" s="3"/>
      <c r="AAF1116" s="3"/>
      <c r="AAG1116" s="3"/>
      <c r="AAH1116" s="3"/>
      <c r="AAI1116" s="3"/>
      <c r="AAJ1116" s="3"/>
      <c r="AAK1116" s="3"/>
      <c r="AAL1116" s="3"/>
      <c r="AAM1116" s="3"/>
      <c r="AAN1116" s="3"/>
      <c r="AAO1116" s="3"/>
      <c r="AAP1116" s="3"/>
      <c r="AAQ1116" s="3"/>
      <c r="AAR1116" s="3"/>
      <c r="AAS1116" s="3"/>
      <c r="AAT1116" s="3"/>
      <c r="AAU1116" s="3"/>
      <c r="AAV1116" s="3"/>
      <c r="AAW1116" s="3"/>
      <c r="AAX1116" s="3"/>
      <c r="AAY1116" s="3"/>
      <c r="AAZ1116" s="3"/>
      <c r="ABA1116" s="3"/>
      <c r="ABB1116" s="3"/>
      <c r="ABC1116" s="3"/>
      <c r="ABD1116" s="3"/>
      <c r="ABE1116" s="3"/>
      <c r="ABF1116" s="3"/>
      <c r="ABG1116" s="3"/>
      <c r="ABH1116" s="3"/>
      <c r="ABI1116" s="3"/>
      <c r="ABJ1116" s="3"/>
      <c r="ABK1116" s="3"/>
      <c r="ABL1116" s="3"/>
      <c r="ABM1116" s="3"/>
      <c r="ABN1116" s="3"/>
      <c r="ABO1116" s="3"/>
      <c r="ABP1116" s="3"/>
      <c r="ABQ1116" s="3"/>
      <c r="ABR1116" s="3"/>
      <c r="ABS1116" s="3"/>
      <c r="ABT1116" s="3"/>
      <c r="ABU1116" s="3"/>
      <c r="ABV1116" s="3"/>
      <c r="ABW1116" s="3"/>
      <c r="ABX1116" s="3"/>
      <c r="ABY1116" s="3"/>
      <c r="ABZ1116" s="3"/>
      <c r="ACA1116" s="3"/>
      <c r="ACB1116" s="3"/>
      <c r="ACC1116" s="3"/>
      <c r="ACD1116" s="3"/>
      <c r="ACE1116" s="3"/>
      <c r="ACF1116" s="3"/>
      <c r="ACG1116" s="3"/>
      <c r="ACH1116" s="3"/>
      <c r="ACI1116" s="3"/>
      <c r="ACJ1116" s="3"/>
      <c r="ACK1116" s="3"/>
      <c r="ACL1116" s="3"/>
      <c r="ACM1116" s="3"/>
      <c r="ACN1116" s="3"/>
      <c r="ACO1116" s="3"/>
      <c r="ACP1116" s="3"/>
      <c r="ACQ1116" s="3"/>
      <c r="ACR1116" s="3"/>
      <c r="ACS1116" s="3"/>
      <c r="ACT1116" s="3"/>
      <c r="ACU1116" s="3"/>
      <c r="ACV1116" s="3"/>
      <c r="ACW1116" s="3"/>
      <c r="ACX1116" s="3"/>
      <c r="ACY1116" s="3"/>
      <c r="ACZ1116" s="3"/>
      <c r="ADA1116" s="3"/>
      <c r="ADB1116" s="3"/>
      <c r="ADC1116" s="3"/>
      <c r="ADD1116" s="3"/>
      <c r="ADE1116" s="3"/>
      <c r="ADF1116" s="3"/>
      <c r="ADG1116" s="3"/>
      <c r="ADH1116" s="3"/>
      <c r="ADI1116" s="3"/>
      <c r="ADJ1116" s="3"/>
      <c r="ADK1116" s="3"/>
      <c r="ADL1116" s="3"/>
      <c r="ADM1116" s="3"/>
      <c r="ADN1116" s="3"/>
      <c r="ADO1116" s="3"/>
      <c r="ADP1116" s="3"/>
      <c r="ADQ1116" s="3"/>
      <c r="ADR1116" s="3"/>
      <c r="ADS1116" s="3"/>
      <c r="ADT1116" s="3"/>
      <c r="ADU1116" s="3"/>
      <c r="ADV1116" s="3"/>
      <c r="ADW1116" s="3"/>
      <c r="ADX1116" s="3"/>
      <c r="ADY1116" s="3"/>
      <c r="ADZ1116" s="3"/>
      <c r="AEA1116" s="3"/>
      <c r="AEB1116" s="3"/>
      <c r="AEC1116" s="3"/>
      <c r="AED1116" s="3"/>
      <c r="AEE1116" s="3"/>
      <c r="AEF1116" s="3"/>
      <c r="AEG1116" s="3"/>
      <c r="AEH1116" s="3"/>
      <c r="AEI1116" s="3"/>
      <c r="AEJ1116" s="3"/>
      <c r="AEK1116" s="3"/>
      <c r="AEL1116" s="3"/>
      <c r="AEM1116" s="3"/>
      <c r="AEN1116" s="3"/>
      <c r="AEO1116" s="3"/>
      <c r="AEP1116" s="3"/>
      <c r="AEQ1116" s="3"/>
      <c r="AER1116" s="3"/>
      <c r="AES1116" s="3"/>
      <c r="AET1116" s="3"/>
      <c r="AEU1116" s="3"/>
      <c r="AEV1116" s="3"/>
      <c r="AEW1116" s="3"/>
      <c r="AEX1116" s="3"/>
      <c r="AEY1116" s="3"/>
      <c r="AEZ1116" s="3"/>
      <c r="AFA1116" s="3"/>
      <c r="AFB1116" s="3"/>
      <c r="AFC1116" s="3"/>
      <c r="AFD1116" s="3"/>
      <c r="AFE1116" s="3"/>
      <c r="AFF1116" s="3"/>
      <c r="AFG1116" s="3"/>
      <c r="AFH1116" s="3"/>
      <c r="AFI1116" s="3"/>
      <c r="AFJ1116" s="3"/>
      <c r="AFK1116" s="3"/>
      <c r="AFL1116" s="3"/>
      <c r="AFM1116" s="3"/>
      <c r="AFN1116" s="3"/>
      <c r="AFO1116" s="3"/>
      <c r="AFP1116" s="3"/>
      <c r="AFQ1116" s="3"/>
      <c r="AFR1116" s="3"/>
      <c r="AFS1116" s="3"/>
      <c r="AFT1116" s="3"/>
      <c r="AFU1116" s="3"/>
      <c r="AFV1116" s="3"/>
      <c r="AFW1116" s="3"/>
      <c r="AFX1116" s="3"/>
      <c r="AFY1116" s="3"/>
      <c r="AFZ1116" s="3"/>
      <c r="AGA1116" s="3"/>
      <c r="AGB1116" s="3"/>
      <c r="AGC1116" s="3"/>
      <c r="AGD1116" s="3"/>
      <c r="AGE1116" s="3"/>
      <c r="AGF1116" s="3"/>
      <c r="AGG1116" s="3"/>
      <c r="AGH1116" s="3"/>
      <c r="AGI1116" s="3"/>
      <c r="AGJ1116" s="3"/>
      <c r="AGK1116" s="3"/>
      <c r="AGL1116" s="3"/>
      <c r="AGM1116" s="3"/>
      <c r="AGN1116" s="3"/>
      <c r="AGO1116" s="3"/>
      <c r="AGP1116" s="3"/>
      <c r="AGQ1116" s="3"/>
      <c r="AGR1116" s="3"/>
      <c r="AGS1116" s="3"/>
      <c r="AGT1116" s="3"/>
      <c r="AGU1116" s="3"/>
      <c r="AGV1116" s="3"/>
      <c r="AGW1116" s="3"/>
      <c r="AGX1116" s="3"/>
      <c r="AGY1116" s="3"/>
      <c r="AGZ1116" s="3"/>
      <c r="AHA1116" s="3"/>
      <c r="AHB1116" s="3"/>
      <c r="AHC1116" s="3"/>
      <c r="AHD1116" s="3"/>
      <c r="AHE1116" s="3"/>
      <c r="AHF1116" s="3"/>
      <c r="AHG1116" s="3"/>
      <c r="AHH1116" s="3"/>
      <c r="AHI1116" s="3"/>
      <c r="AHJ1116" s="3"/>
      <c r="AHK1116" s="3"/>
      <c r="AHL1116" s="3"/>
      <c r="AHM1116" s="3"/>
      <c r="AHN1116" s="3"/>
      <c r="AHO1116" s="3"/>
      <c r="AHP1116" s="3"/>
      <c r="AHQ1116" s="3"/>
      <c r="AHR1116" s="3"/>
      <c r="AHS1116" s="3"/>
      <c r="AHT1116" s="3"/>
      <c r="AHU1116" s="3"/>
      <c r="AHV1116" s="3"/>
      <c r="AHW1116" s="3"/>
      <c r="AHX1116" s="3"/>
      <c r="AHY1116" s="3"/>
      <c r="AHZ1116" s="3"/>
      <c r="AIA1116" s="3"/>
      <c r="AIB1116" s="3"/>
      <c r="AIC1116" s="3"/>
      <c r="AID1116" s="3"/>
      <c r="AIE1116" s="3"/>
      <c r="AIF1116" s="3"/>
      <c r="AIG1116" s="3"/>
      <c r="AIH1116" s="3"/>
      <c r="AII1116" s="3"/>
      <c r="AIJ1116" s="3"/>
      <c r="AIK1116" s="3"/>
      <c r="AIL1116" s="3"/>
      <c r="AIM1116" s="3"/>
      <c r="AIN1116" s="3"/>
      <c r="AIO1116" s="3"/>
      <c r="AIP1116" s="3"/>
      <c r="AIQ1116" s="3"/>
      <c r="AIR1116" s="3"/>
      <c r="AIS1116" s="3"/>
      <c r="AIT1116" s="3"/>
      <c r="AIU1116" s="3"/>
      <c r="AIV1116" s="3"/>
      <c r="AIW1116" s="3"/>
      <c r="AIX1116" s="3"/>
      <c r="AIY1116" s="3"/>
      <c r="AIZ1116" s="3"/>
      <c r="AJA1116" s="3"/>
      <c r="AJB1116" s="3"/>
      <c r="AJC1116" s="3"/>
      <c r="AJD1116" s="3"/>
      <c r="AJE1116" s="3"/>
      <c r="AJF1116" s="3"/>
      <c r="AJG1116" s="3"/>
      <c r="AJH1116" s="3"/>
      <c r="AJI1116" s="3"/>
      <c r="AJJ1116" s="3"/>
      <c r="AJK1116" s="3"/>
      <c r="AJL1116" s="3"/>
      <c r="AJM1116" s="3"/>
      <c r="AJN1116" s="3"/>
      <c r="AJO1116" s="3"/>
      <c r="AJP1116" s="3"/>
      <c r="AJQ1116" s="3"/>
      <c r="AJR1116" s="3"/>
      <c r="AJS1116" s="3"/>
      <c r="AJT1116" s="3"/>
      <c r="AJU1116" s="3"/>
      <c r="AJV1116" s="3"/>
      <c r="AJW1116" s="3"/>
      <c r="AJX1116" s="3"/>
      <c r="AJY1116" s="3"/>
      <c r="AJZ1116" s="3"/>
      <c r="AKA1116" s="3"/>
      <c r="AKB1116" s="3"/>
      <c r="AKC1116" s="3"/>
      <c r="AKD1116" s="3"/>
      <c r="AKE1116" s="3"/>
      <c r="AKF1116" s="3"/>
      <c r="AKG1116" s="3"/>
      <c r="AKH1116" s="3"/>
      <c r="AKI1116" s="3"/>
      <c r="AKJ1116" s="3"/>
      <c r="AKK1116" s="3"/>
      <c r="AKL1116" s="3"/>
      <c r="AKM1116" s="3"/>
      <c r="AKN1116" s="3"/>
      <c r="AKO1116" s="3"/>
      <c r="AKP1116" s="3"/>
      <c r="AKQ1116" s="3"/>
      <c r="AKR1116" s="3"/>
      <c r="AKS1116" s="3"/>
      <c r="AKT1116" s="3"/>
      <c r="AKU1116" s="3"/>
      <c r="AKV1116" s="3"/>
      <c r="AKW1116" s="3"/>
      <c r="AKX1116" s="3"/>
      <c r="AKY1116" s="3"/>
      <c r="AKZ1116" s="3"/>
      <c r="ALA1116" s="3"/>
      <c r="ALB1116" s="3"/>
      <c r="ALC1116" s="3"/>
      <c r="ALD1116" s="3"/>
      <c r="ALE1116" s="3"/>
      <c r="ALF1116" s="3"/>
      <c r="ALG1116" s="3"/>
      <c r="ALH1116" s="3"/>
      <c r="ALI1116" s="3"/>
      <c r="ALJ1116" s="3"/>
      <c r="ALK1116" s="3"/>
      <c r="ALL1116" s="3"/>
      <c r="ALM1116" s="3"/>
      <c r="ALN1116" s="3"/>
      <c r="ALO1116" s="3"/>
      <c r="ALP1116" s="3"/>
      <c r="ALQ1116" s="3"/>
      <c r="ALR1116" s="3"/>
      <c r="ALS1116" s="3"/>
      <c r="ALT1116" s="3"/>
      <c r="ALU1116" s="3"/>
      <c r="ALV1116" s="3"/>
      <c r="ALW1116" s="3"/>
      <c r="ALX1116" s="3"/>
      <c r="ALY1116" s="3"/>
      <c r="ALZ1116" s="3"/>
      <c r="AMA1116" s="3"/>
      <c r="AMB1116" s="3"/>
      <c r="AMC1116" s="3"/>
      <c r="AMD1116" s="3"/>
      <c r="AME1116" s="3"/>
      <c r="AMF1116" s="3"/>
      <c r="AMG1116" s="3"/>
      <c r="AMH1116" s="3"/>
      <c r="AMI1116" s="3"/>
      <c r="AMJ1116" s="3"/>
      <c r="AMK1116" s="3"/>
      <c r="AML1116" s="3"/>
      <c r="AMM1116" s="3"/>
    </row>
    <row r="1117" spans="1:1027" ht="15" customHeight="1">
      <c r="A1117" s="12">
        <v>406</v>
      </c>
      <c r="B1117" s="13" t="s">
        <v>1795</v>
      </c>
      <c r="C1117" s="14"/>
      <c r="D1117" s="14" t="s">
        <v>1794</v>
      </c>
      <c r="E1117" s="14" t="s">
        <v>44</v>
      </c>
      <c r="F1117" s="15" t="s">
        <v>22</v>
      </c>
      <c r="G1117" s="14"/>
      <c r="H1117" s="58"/>
      <c r="I1117" s="14"/>
      <c r="J1117" s="14" t="s">
        <v>23</v>
      </c>
      <c r="K1117" s="14"/>
      <c r="L1117" s="14"/>
      <c r="M1117" s="14" t="s">
        <v>1537</v>
      </c>
      <c r="N1117" s="25" t="s">
        <v>37</v>
      </c>
      <c r="O1117" s="14" t="s">
        <v>45</v>
      </c>
      <c r="P1117" s="14"/>
      <c r="Q1117" s="14"/>
      <c r="R1117" s="14" t="s">
        <v>1242</v>
      </c>
    </row>
    <row r="1118" spans="1:1027" ht="15" customHeight="1">
      <c r="A1118" s="12">
        <v>1177</v>
      </c>
      <c r="B1118" s="13" t="s">
        <v>1796</v>
      </c>
      <c r="C1118" s="14"/>
      <c r="D1118" s="14" t="s">
        <v>1794</v>
      </c>
      <c r="E1118" s="14" t="s">
        <v>44</v>
      </c>
      <c r="F1118" s="15" t="s">
        <v>22</v>
      </c>
      <c r="G1118" s="21"/>
      <c r="H1118" s="58">
        <v>3</v>
      </c>
      <c r="I1118" s="14"/>
      <c r="J1118" s="14" t="s">
        <v>23</v>
      </c>
      <c r="K1118" s="14"/>
      <c r="L1118" s="14"/>
      <c r="M1118" s="14" t="s">
        <v>1534</v>
      </c>
      <c r="N1118" s="25" t="s">
        <v>37</v>
      </c>
      <c r="O1118" s="14" t="s">
        <v>755</v>
      </c>
      <c r="P1118" s="14"/>
      <c r="Q1118" s="14"/>
      <c r="R1118" s="14" t="s">
        <v>1449</v>
      </c>
    </row>
    <row r="1119" spans="1:1027" ht="15" customHeight="1">
      <c r="A1119" s="12">
        <v>1964</v>
      </c>
      <c r="B1119" s="13" t="s">
        <v>1797</v>
      </c>
      <c r="C1119" s="14"/>
      <c r="D1119" s="14" t="s">
        <v>1794</v>
      </c>
      <c r="E1119" s="14" t="s">
        <v>44</v>
      </c>
      <c r="F1119" s="15" t="s">
        <v>22</v>
      </c>
      <c r="G1119" s="14"/>
      <c r="H1119" s="58">
        <v>4</v>
      </c>
      <c r="I1119" s="14"/>
      <c r="J1119" s="14" t="s">
        <v>23</v>
      </c>
      <c r="K1119" s="14"/>
      <c r="L1119" s="14"/>
      <c r="M1119" s="14" t="s">
        <v>32</v>
      </c>
      <c r="N1119" s="22"/>
      <c r="O1119" s="14"/>
      <c r="P1119" s="14"/>
      <c r="Q1119" s="14"/>
      <c r="R1119" s="14"/>
    </row>
    <row r="1120" spans="1:1027" ht="15" customHeight="1">
      <c r="A1120" s="12">
        <v>407</v>
      </c>
      <c r="B1120" s="13" t="s">
        <v>1798</v>
      </c>
      <c r="C1120" s="14"/>
      <c r="D1120" s="14" t="s">
        <v>1799</v>
      </c>
      <c r="E1120" s="14" t="s">
        <v>44</v>
      </c>
      <c r="F1120" s="15" t="s">
        <v>22</v>
      </c>
      <c r="G1120" s="14"/>
      <c r="H1120" s="58"/>
      <c r="I1120" s="14"/>
      <c r="J1120" s="14" t="s">
        <v>23</v>
      </c>
      <c r="K1120" s="14"/>
      <c r="L1120" s="14"/>
      <c r="M1120" s="14" t="s">
        <v>1537</v>
      </c>
      <c r="N1120" s="14" t="s">
        <v>25</v>
      </c>
      <c r="O1120" s="14"/>
      <c r="P1120" s="14"/>
      <c r="Q1120" s="14"/>
      <c r="R1120" s="14" t="s">
        <v>1242</v>
      </c>
    </row>
    <row r="1121" spans="1:36" ht="15" customHeight="1">
      <c r="A1121" s="12">
        <v>1178</v>
      </c>
      <c r="B1121" s="13" t="s">
        <v>1800</v>
      </c>
      <c r="C1121" s="14"/>
      <c r="D1121" s="14" t="s">
        <v>1799</v>
      </c>
      <c r="E1121" s="14" t="s">
        <v>44</v>
      </c>
      <c r="F1121" s="15" t="s">
        <v>22</v>
      </c>
      <c r="G1121" s="21"/>
      <c r="H1121" s="58">
        <v>3</v>
      </c>
      <c r="I1121" s="14"/>
      <c r="J1121" s="14" t="s">
        <v>23</v>
      </c>
      <c r="K1121" s="14"/>
      <c r="L1121" s="14"/>
      <c r="M1121" s="14" t="s">
        <v>1534</v>
      </c>
      <c r="N1121" s="25" t="s">
        <v>37</v>
      </c>
      <c r="O1121" s="14" t="s">
        <v>1801</v>
      </c>
      <c r="P1121" s="14"/>
      <c r="Q1121" s="14"/>
      <c r="R1121" s="14" t="s">
        <v>1802</v>
      </c>
    </row>
    <row r="1122" spans="1:36" ht="15" customHeight="1">
      <c r="A1122" s="12">
        <v>1965</v>
      </c>
      <c r="B1122" s="13" t="s">
        <v>1803</v>
      </c>
      <c r="C1122" s="14"/>
      <c r="D1122" s="14" t="s">
        <v>1799</v>
      </c>
      <c r="E1122" s="14" t="s">
        <v>44</v>
      </c>
      <c r="F1122" s="15" t="s">
        <v>22</v>
      </c>
      <c r="G1122" s="14"/>
      <c r="H1122" s="58">
        <v>3</v>
      </c>
      <c r="I1122" s="14"/>
      <c r="J1122" s="14" t="s">
        <v>23</v>
      </c>
      <c r="K1122" s="14"/>
      <c r="L1122" s="14"/>
      <c r="M1122" s="14" t="s">
        <v>32</v>
      </c>
      <c r="N1122" s="22"/>
      <c r="O1122" s="14"/>
      <c r="P1122" s="14"/>
      <c r="Q1122" s="14"/>
      <c r="R1122" s="14"/>
    </row>
    <row r="1123" spans="1:36" ht="15" customHeight="1">
      <c r="A1123" s="12">
        <v>1179</v>
      </c>
      <c r="B1123" s="13" t="s">
        <v>1804</v>
      </c>
      <c r="C1123" s="14"/>
      <c r="D1123" s="14" t="s">
        <v>1805</v>
      </c>
      <c r="E1123" s="14" t="s">
        <v>36</v>
      </c>
      <c r="F1123" s="15" t="s">
        <v>22</v>
      </c>
      <c r="G1123" s="21"/>
      <c r="H1123" s="58"/>
      <c r="I1123" s="14"/>
      <c r="J1123" s="14" t="s">
        <v>23</v>
      </c>
      <c r="K1123" s="14"/>
      <c r="L1123" s="14"/>
      <c r="M1123" s="14" t="s">
        <v>1534</v>
      </c>
      <c r="N1123" s="14" t="s">
        <v>25</v>
      </c>
      <c r="O1123" s="14"/>
      <c r="P1123" s="14"/>
      <c r="Q1123" s="14"/>
      <c r="R1123" s="14" t="s">
        <v>1802</v>
      </c>
    </row>
    <row r="1124" spans="1:36" ht="15" customHeight="1">
      <c r="A1124" s="12">
        <v>1966</v>
      </c>
      <c r="B1124" s="13" t="s">
        <v>1806</v>
      </c>
      <c r="C1124" s="14"/>
      <c r="D1124" s="14" t="s">
        <v>1805</v>
      </c>
      <c r="E1124" s="14" t="s">
        <v>36</v>
      </c>
      <c r="F1124" s="15" t="s">
        <v>22</v>
      </c>
      <c r="G1124" s="14"/>
      <c r="H1124" s="58">
        <v>2</v>
      </c>
      <c r="I1124" s="14"/>
      <c r="J1124" s="14" t="s">
        <v>23</v>
      </c>
      <c r="K1124" s="14"/>
      <c r="L1124" s="14"/>
      <c r="M1124" s="14" t="s">
        <v>32</v>
      </c>
      <c r="N1124" s="22"/>
      <c r="O1124" s="14"/>
      <c r="P1124" s="14"/>
      <c r="Q1124" s="14"/>
      <c r="R1124" s="14"/>
    </row>
    <row r="1125" spans="1:36" ht="15" customHeight="1">
      <c r="A1125" s="12">
        <v>408</v>
      </c>
      <c r="B1125" s="13" t="s">
        <v>1807</v>
      </c>
      <c r="C1125" s="14"/>
      <c r="D1125" s="14" t="s">
        <v>1808</v>
      </c>
      <c r="E1125" s="14" t="s">
        <v>44</v>
      </c>
      <c r="F1125" s="15" t="s">
        <v>22</v>
      </c>
      <c r="G1125" s="14"/>
      <c r="H1125" s="58"/>
      <c r="I1125" s="14"/>
      <c r="J1125" s="14" t="s">
        <v>23</v>
      </c>
      <c r="K1125" s="14"/>
      <c r="L1125" s="14"/>
      <c r="M1125" s="14" t="s">
        <v>1537</v>
      </c>
      <c r="N1125" s="14" t="s">
        <v>25</v>
      </c>
      <c r="O1125" s="14"/>
      <c r="P1125" s="14"/>
      <c r="Q1125" s="14"/>
      <c r="R1125" s="14" t="s">
        <v>1809</v>
      </c>
    </row>
    <row r="1126" spans="1:36" ht="15" customHeight="1">
      <c r="A1126" s="12">
        <v>1180</v>
      </c>
      <c r="B1126" s="13" t="s">
        <v>1810</v>
      </c>
      <c r="C1126" s="14"/>
      <c r="D1126" s="14" t="s">
        <v>1808</v>
      </c>
      <c r="E1126" s="14" t="s">
        <v>44</v>
      </c>
      <c r="F1126" s="15" t="s">
        <v>22</v>
      </c>
      <c r="G1126" s="21"/>
      <c r="H1126" s="58">
        <v>2</v>
      </c>
      <c r="I1126" s="14"/>
      <c r="J1126" s="14" t="s">
        <v>23</v>
      </c>
      <c r="K1126" s="14"/>
      <c r="L1126" s="14"/>
      <c r="M1126" s="14" t="s">
        <v>1534</v>
      </c>
      <c r="N1126" s="25" t="s">
        <v>37</v>
      </c>
      <c r="O1126" s="14" t="s">
        <v>1811</v>
      </c>
      <c r="P1126" s="14"/>
      <c r="Q1126" s="14"/>
      <c r="R1126" s="14" t="s">
        <v>1802</v>
      </c>
    </row>
    <row r="1127" spans="1:36" ht="15" customHeight="1">
      <c r="A1127" s="12">
        <v>1967</v>
      </c>
      <c r="B1127" s="13" t="s">
        <v>1812</v>
      </c>
      <c r="C1127" s="14"/>
      <c r="D1127" s="14" t="s">
        <v>1808</v>
      </c>
      <c r="E1127" s="14" t="s">
        <v>44</v>
      </c>
      <c r="F1127" s="15" t="s">
        <v>22</v>
      </c>
      <c r="G1127" s="14"/>
      <c r="H1127" s="58">
        <v>2</v>
      </c>
      <c r="I1127" s="14"/>
      <c r="J1127" s="14" t="s">
        <v>23</v>
      </c>
      <c r="K1127" s="14"/>
      <c r="L1127" s="14"/>
      <c r="M1127" s="14" t="s">
        <v>32</v>
      </c>
      <c r="N1127" s="22"/>
      <c r="O1127" s="14"/>
      <c r="P1127" s="14"/>
      <c r="Q1127" s="14"/>
      <c r="R1127" s="14"/>
    </row>
    <row r="1128" spans="1:36" ht="15" customHeight="1">
      <c r="A1128" s="12">
        <v>409</v>
      </c>
      <c r="B1128" s="13" t="s">
        <v>1813</v>
      </c>
      <c r="C1128" s="14"/>
      <c r="D1128" s="14" t="s">
        <v>1814</v>
      </c>
      <c r="E1128" s="14" t="s">
        <v>36</v>
      </c>
      <c r="F1128" s="15" t="s">
        <v>22</v>
      </c>
      <c r="G1128" s="14"/>
      <c r="H1128" s="58"/>
      <c r="I1128" s="14"/>
      <c r="J1128" s="14" t="s">
        <v>23</v>
      </c>
      <c r="K1128" s="14"/>
      <c r="L1128" s="14"/>
      <c r="M1128" s="14" t="s">
        <v>1537</v>
      </c>
      <c r="N1128" s="14" t="s">
        <v>25</v>
      </c>
      <c r="O1128" s="14"/>
      <c r="P1128" s="14"/>
      <c r="Q1128" s="14"/>
      <c r="R1128" s="14" t="s">
        <v>1809</v>
      </c>
    </row>
    <row r="1129" spans="1:36" ht="15" customHeight="1">
      <c r="A1129" s="12">
        <v>1181</v>
      </c>
      <c r="B1129" s="13" t="s">
        <v>1815</v>
      </c>
      <c r="C1129" s="14"/>
      <c r="D1129" s="14" t="s">
        <v>1814</v>
      </c>
      <c r="E1129" s="14" t="s">
        <v>36</v>
      </c>
      <c r="F1129" s="15" t="s">
        <v>22</v>
      </c>
      <c r="G1129" s="21"/>
      <c r="H1129" s="58"/>
      <c r="I1129" s="14"/>
      <c r="J1129" s="14" t="s">
        <v>23</v>
      </c>
      <c r="K1129" s="14"/>
      <c r="L1129" s="14"/>
      <c r="M1129" s="14" t="s">
        <v>1534</v>
      </c>
      <c r="N1129" s="14" t="s">
        <v>25</v>
      </c>
      <c r="O1129" s="14"/>
      <c r="P1129" s="14"/>
      <c r="Q1129" s="14"/>
      <c r="R1129" s="14" t="s">
        <v>1802</v>
      </c>
    </row>
    <row r="1130" spans="1:36" ht="15" customHeight="1">
      <c r="A1130" s="12">
        <v>1968</v>
      </c>
      <c r="B1130" s="13" t="s">
        <v>1816</v>
      </c>
      <c r="C1130" s="14"/>
      <c r="D1130" s="14" t="s">
        <v>1814</v>
      </c>
      <c r="E1130" s="14" t="s">
        <v>36</v>
      </c>
      <c r="F1130" s="15" t="s">
        <v>22</v>
      </c>
      <c r="G1130" s="14"/>
      <c r="H1130" s="58">
        <v>0</v>
      </c>
      <c r="I1130" s="14"/>
      <c r="J1130" s="14" t="s">
        <v>23</v>
      </c>
      <c r="K1130" s="14"/>
      <c r="L1130" s="14"/>
      <c r="M1130" s="14" t="s">
        <v>32</v>
      </c>
      <c r="N1130" s="22"/>
      <c r="O1130" s="14"/>
      <c r="P1130" s="14"/>
      <c r="Q1130" s="14"/>
      <c r="R1130" s="14"/>
    </row>
    <row r="1131" spans="1:36" ht="15" customHeight="1">
      <c r="A1131" s="12">
        <v>717</v>
      </c>
      <c r="B1131" s="13" t="s">
        <v>1817</v>
      </c>
      <c r="C1131" s="14"/>
      <c r="D1131" s="14" t="s">
        <v>1818</v>
      </c>
      <c r="E1131" s="14"/>
      <c r="F1131" s="15" t="s">
        <v>22</v>
      </c>
      <c r="G1131" s="21"/>
      <c r="H1131" s="58"/>
      <c r="I1131" s="14"/>
      <c r="J1131" s="14" t="s">
        <v>23</v>
      </c>
      <c r="K1131" s="14"/>
      <c r="L1131" s="14"/>
      <c r="M1131" s="14" t="s">
        <v>1819</v>
      </c>
      <c r="N1131" s="25" t="s">
        <v>289</v>
      </c>
      <c r="O1131" s="14" t="s">
        <v>189</v>
      </c>
      <c r="P1131" s="14"/>
      <c r="Q1131" s="14"/>
      <c r="R1131" s="14" t="s">
        <v>1820</v>
      </c>
    </row>
    <row r="1132" spans="1:36" ht="15" customHeight="1">
      <c r="A1132" s="12">
        <v>1182</v>
      </c>
      <c r="B1132" s="13" t="s">
        <v>1821</v>
      </c>
      <c r="C1132" s="14"/>
      <c r="D1132" s="14" t="s">
        <v>1818</v>
      </c>
      <c r="E1132" s="14" t="s">
        <v>172</v>
      </c>
      <c r="F1132" s="15" t="s">
        <v>22</v>
      </c>
      <c r="G1132" s="21"/>
      <c r="H1132" s="58"/>
      <c r="I1132" s="14"/>
      <c r="J1132" s="14" t="s">
        <v>23</v>
      </c>
      <c r="K1132" s="14"/>
      <c r="L1132" s="14"/>
      <c r="M1132" s="14" t="s">
        <v>1534</v>
      </c>
      <c r="N1132" s="25" t="s">
        <v>37</v>
      </c>
      <c r="O1132" s="14" t="s">
        <v>1822</v>
      </c>
      <c r="P1132" s="14"/>
      <c r="Q1132" s="14"/>
      <c r="R1132" s="14" t="s">
        <v>1802</v>
      </c>
    </row>
    <row r="1133" spans="1:36" ht="15" customHeight="1">
      <c r="A1133" s="12">
        <v>1536</v>
      </c>
      <c r="B1133" s="13" t="s">
        <v>1823</v>
      </c>
      <c r="C1133" s="14"/>
      <c r="D1133" s="14" t="s">
        <v>1818</v>
      </c>
      <c r="E1133" s="14" t="s">
        <v>172</v>
      </c>
      <c r="F1133" s="15" t="s">
        <v>22</v>
      </c>
      <c r="G1133" s="14"/>
      <c r="H1133" s="58">
        <v>3</v>
      </c>
      <c r="I1133" s="14"/>
      <c r="J1133" s="14" t="s">
        <v>23</v>
      </c>
      <c r="K1133" s="14"/>
      <c r="L1133" s="14"/>
      <c r="M1133" s="14" t="s">
        <v>650</v>
      </c>
      <c r="N1133" s="25" t="s">
        <v>37</v>
      </c>
      <c r="O1133" s="14" t="s">
        <v>485</v>
      </c>
      <c r="P1133" s="14"/>
      <c r="Q1133" s="14"/>
      <c r="R1133" s="14" t="s">
        <v>1824</v>
      </c>
    </row>
    <row r="1134" spans="1:36" ht="15" customHeight="1">
      <c r="A1134" s="12">
        <v>1969</v>
      </c>
      <c r="B1134" s="13" t="s">
        <v>1825</v>
      </c>
      <c r="C1134" s="14"/>
      <c r="D1134" s="14" t="s">
        <v>1818</v>
      </c>
      <c r="E1134" s="14"/>
      <c r="F1134" s="15" t="s">
        <v>22</v>
      </c>
      <c r="G1134" s="14"/>
      <c r="H1134" s="58">
        <v>0</v>
      </c>
      <c r="I1134" s="14"/>
      <c r="J1134" s="14" t="s">
        <v>23</v>
      </c>
      <c r="K1134" s="14"/>
      <c r="L1134" s="14"/>
      <c r="M1134" s="14" t="s">
        <v>32</v>
      </c>
      <c r="N1134" s="22"/>
      <c r="O1134" s="14"/>
      <c r="P1134" s="14"/>
      <c r="Q1134" s="14"/>
      <c r="R1134" s="14"/>
    </row>
    <row r="1135" spans="1:36" ht="15" customHeight="1">
      <c r="A1135" s="12">
        <v>2031</v>
      </c>
      <c r="B1135" s="13" t="s">
        <v>1826</v>
      </c>
      <c r="C1135" s="14"/>
      <c r="D1135" s="16">
        <v>373</v>
      </c>
      <c r="E1135" s="16"/>
      <c r="F1135" s="15" t="s">
        <v>22</v>
      </c>
      <c r="G1135" s="18"/>
      <c r="H1135" s="58">
        <v>1</v>
      </c>
      <c r="I1135" s="16"/>
      <c r="J1135" s="14" t="s">
        <v>23</v>
      </c>
      <c r="K1135" s="18"/>
      <c r="L1135" s="18"/>
      <c r="M1135" s="18"/>
      <c r="N1135" s="18"/>
      <c r="O1135" s="18"/>
      <c r="P1135" s="18"/>
      <c r="Q1135" s="18"/>
      <c r="R1135" s="18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</row>
    <row r="1136" spans="1:36" ht="15" customHeight="1">
      <c r="A1136" s="12">
        <v>1183</v>
      </c>
      <c r="B1136" s="13" t="s">
        <v>1827</v>
      </c>
      <c r="C1136" s="14"/>
      <c r="D1136" s="14" t="s">
        <v>1828</v>
      </c>
      <c r="E1136" s="14" t="s">
        <v>172</v>
      </c>
      <c r="F1136" s="15" t="s">
        <v>22</v>
      </c>
      <c r="G1136" s="21"/>
      <c r="H1136" s="58"/>
      <c r="I1136" s="14"/>
      <c r="J1136" s="14" t="s">
        <v>23</v>
      </c>
      <c r="K1136" s="14"/>
      <c r="L1136" s="14"/>
      <c r="M1136" s="14" t="s">
        <v>1534</v>
      </c>
      <c r="N1136" s="14" t="s">
        <v>25</v>
      </c>
      <c r="O1136" s="14"/>
      <c r="P1136" s="14"/>
      <c r="Q1136" s="14"/>
      <c r="R1136" s="14" t="s">
        <v>1802</v>
      </c>
    </row>
    <row r="1137" spans="1:18" ht="15" customHeight="1">
      <c r="A1137" s="12">
        <v>1970</v>
      </c>
      <c r="B1137" s="13" t="s">
        <v>1829</v>
      </c>
      <c r="C1137" s="14"/>
      <c r="D1137" s="14" t="s">
        <v>1828</v>
      </c>
      <c r="E1137" s="14"/>
      <c r="F1137" s="15" t="s">
        <v>22</v>
      </c>
      <c r="G1137" s="14"/>
      <c r="H1137" s="58">
        <v>0</v>
      </c>
      <c r="I1137" s="14"/>
      <c r="J1137" s="14" t="s">
        <v>23</v>
      </c>
      <c r="K1137" s="14"/>
      <c r="L1137" s="14"/>
      <c r="M1137" s="14" t="s">
        <v>32</v>
      </c>
      <c r="N1137" s="22"/>
      <c r="O1137" s="14"/>
      <c r="P1137" s="14"/>
      <c r="Q1137" s="14"/>
      <c r="R1137" s="14"/>
    </row>
    <row r="1138" spans="1:18" ht="15" customHeight="1">
      <c r="A1138" s="12">
        <v>1184</v>
      </c>
      <c r="B1138" s="13" t="s">
        <v>1830</v>
      </c>
      <c r="C1138" s="14"/>
      <c r="D1138" s="14" t="s">
        <v>1831</v>
      </c>
      <c r="E1138" s="14" t="s">
        <v>44</v>
      </c>
      <c r="F1138" s="15" t="s">
        <v>22</v>
      </c>
      <c r="G1138" s="21"/>
      <c r="H1138" s="58">
        <v>1</v>
      </c>
      <c r="I1138" s="14"/>
      <c r="J1138" s="14" t="s">
        <v>23</v>
      </c>
      <c r="K1138" s="14"/>
      <c r="L1138" s="14"/>
      <c r="M1138" s="14" t="s">
        <v>1534</v>
      </c>
      <c r="N1138" s="25" t="s">
        <v>289</v>
      </c>
      <c r="O1138" s="14" t="s">
        <v>1832</v>
      </c>
      <c r="P1138" s="14"/>
      <c r="Q1138" s="14"/>
      <c r="R1138" s="14" t="s">
        <v>1802</v>
      </c>
    </row>
    <row r="1139" spans="1:18" ht="15" customHeight="1">
      <c r="A1139" s="12">
        <v>1971</v>
      </c>
      <c r="B1139" s="13" t="s">
        <v>1833</v>
      </c>
      <c r="C1139" s="14"/>
      <c r="D1139" s="14" t="s">
        <v>1831</v>
      </c>
      <c r="E1139" s="14" t="s">
        <v>44</v>
      </c>
      <c r="F1139" s="15" t="s">
        <v>22</v>
      </c>
      <c r="G1139" s="14"/>
      <c r="H1139" s="58">
        <v>0</v>
      </c>
      <c r="I1139" s="14"/>
      <c r="J1139" s="14" t="s">
        <v>23</v>
      </c>
      <c r="K1139" s="14"/>
      <c r="L1139" s="14"/>
      <c r="M1139" s="14" t="s">
        <v>32</v>
      </c>
      <c r="N1139" s="22"/>
      <c r="O1139" s="14"/>
      <c r="P1139" s="14"/>
      <c r="Q1139" s="14"/>
      <c r="R1139" s="14"/>
    </row>
    <row r="1140" spans="1:18" ht="15" customHeight="1">
      <c r="A1140" s="12">
        <v>410</v>
      </c>
      <c r="B1140" s="13" t="s">
        <v>1834</v>
      </c>
      <c r="C1140" s="14"/>
      <c r="D1140" s="14" t="s">
        <v>1835</v>
      </c>
      <c r="E1140" s="14" t="s">
        <v>44</v>
      </c>
      <c r="F1140" s="15" t="s">
        <v>22</v>
      </c>
      <c r="G1140" s="14"/>
      <c r="H1140" s="58"/>
      <c r="I1140" s="14"/>
      <c r="J1140" s="14" t="s">
        <v>23</v>
      </c>
      <c r="K1140" s="14"/>
      <c r="L1140" s="14"/>
      <c r="M1140" s="14" t="s">
        <v>1537</v>
      </c>
      <c r="N1140" s="25" t="s">
        <v>37</v>
      </c>
      <c r="O1140" s="14" t="s">
        <v>80</v>
      </c>
      <c r="P1140" s="14"/>
      <c r="Q1140" s="14"/>
      <c r="R1140" s="14" t="s">
        <v>1809</v>
      </c>
    </row>
    <row r="1141" spans="1:18" ht="15" customHeight="1">
      <c r="A1141" s="12">
        <v>1185</v>
      </c>
      <c r="B1141" s="13" t="s">
        <v>1836</v>
      </c>
      <c r="C1141" s="14"/>
      <c r="D1141" s="14" t="s">
        <v>1835</v>
      </c>
      <c r="E1141" s="14" t="s">
        <v>44</v>
      </c>
      <c r="F1141" s="15" t="s">
        <v>22</v>
      </c>
      <c r="G1141" s="21"/>
      <c r="H1141" s="58">
        <v>4</v>
      </c>
      <c r="I1141" s="14"/>
      <c r="J1141" s="14" t="s">
        <v>23</v>
      </c>
      <c r="K1141" s="14"/>
      <c r="L1141" s="14"/>
      <c r="M1141" s="14" t="s">
        <v>1534</v>
      </c>
      <c r="N1141" s="25" t="s">
        <v>37</v>
      </c>
      <c r="O1141" s="14" t="s">
        <v>1837</v>
      </c>
      <c r="P1141" s="14"/>
      <c r="Q1141" s="14"/>
      <c r="R1141" s="14" t="s">
        <v>1802</v>
      </c>
    </row>
    <row r="1142" spans="1:18" ht="15" customHeight="1">
      <c r="A1142" s="12">
        <v>1972</v>
      </c>
      <c r="B1142" s="13" t="s">
        <v>1838</v>
      </c>
      <c r="C1142" s="14"/>
      <c r="D1142" s="14" t="s">
        <v>1835</v>
      </c>
      <c r="E1142" s="14" t="s">
        <v>44</v>
      </c>
      <c r="F1142" s="15" t="s">
        <v>22</v>
      </c>
      <c r="G1142" s="14"/>
      <c r="H1142" s="58">
        <v>4</v>
      </c>
      <c r="I1142" s="14"/>
      <c r="J1142" s="14" t="s">
        <v>23</v>
      </c>
      <c r="K1142" s="14"/>
      <c r="L1142" s="14"/>
      <c r="M1142" s="14" t="s">
        <v>32</v>
      </c>
      <c r="N1142" s="22"/>
      <c r="O1142" s="14"/>
      <c r="P1142" s="14"/>
      <c r="Q1142" s="14"/>
      <c r="R1142" s="14"/>
    </row>
    <row r="1143" spans="1:18" ht="15" customHeight="1">
      <c r="A1143" s="12">
        <v>411</v>
      </c>
      <c r="B1143" s="13" t="s">
        <v>1839</v>
      </c>
      <c r="C1143" s="14"/>
      <c r="D1143" s="14" t="s">
        <v>1840</v>
      </c>
      <c r="E1143" s="14" t="s">
        <v>21</v>
      </c>
      <c r="F1143" s="15" t="s">
        <v>22</v>
      </c>
      <c r="G1143" s="14"/>
      <c r="H1143" s="58"/>
      <c r="I1143" s="14"/>
      <c r="J1143" s="14" t="s">
        <v>23</v>
      </c>
      <c r="K1143" s="14"/>
      <c r="L1143" s="14"/>
      <c r="M1143" s="14" t="s">
        <v>1537</v>
      </c>
      <c r="N1143" s="14" t="s">
        <v>25</v>
      </c>
      <c r="O1143" s="14"/>
      <c r="P1143" s="14"/>
      <c r="Q1143" s="14"/>
      <c r="R1143" s="14" t="s">
        <v>1809</v>
      </c>
    </row>
    <row r="1144" spans="1:18" ht="15" customHeight="1">
      <c r="A1144" s="12">
        <v>1186</v>
      </c>
      <c r="B1144" s="13" t="s">
        <v>1841</v>
      </c>
      <c r="C1144" s="14"/>
      <c r="D1144" s="14" t="s">
        <v>1840</v>
      </c>
      <c r="E1144" s="14" t="s">
        <v>21</v>
      </c>
      <c r="F1144" s="15" t="s">
        <v>22</v>
      </c>
      <c r="G1144" s="21"/>
      <c r="H1144" s="58"/>
      <c r="I1144" s="14"/>
      <c r="J1144" s="14" t="s">
        <v>23</v>
      </c>
      <c r="K1144" s="14"/>
      <c r="L1144" s="14"/>
      <c r="M1144" s="14" t="s">
        <v>1534</v>
      </c>
      <c r="N1144" s="14" t="s">
        <v>25</v>
      </c>
      <c r="O1144" s="14"/>
      <c r="P1144" s="14"/>
      <c r="Q1144" s="14"/>
      <c r="R1144" s="14" t="s">
        <v>1802</v>
      </c>
    </row>
    <row r="1145" spans="1:18" ht="15" customHeight="1">
      <c r="A1145" s="12">
        <v>1973</v>
      </c>
      <c r="B1145" s="13" t="s">
        <v>1842</v>
      </c>
      <c r="C1145" s="14"/>
      <c r="D1145" s="14" t="s">
        <v>1840</v>
      </c>
      <c r="E1145" s="14" t="s">
        <v>21</v>
      </c>
      <c r="F1145" s="15" t="s">
        <v>22</v>
      </c>
      <c r="G1145" s="14"/>
      <c r="H1145" s="58">
        <v>0</v>
      </c>
      <c r="I1145" s="14"/>
      <c r="J1145" s="14" t="s">
        <v>23</v>
      </c>
      <c r="K1145" s="14"/>
      <c r="L1145" s="14"/>
      <c r="M1145" s="14" t="s">
        <v>32</v>
      </c>
      <c r="N1145" s="22"/>
      <c r="O1145" s="14"/>
      <c r="P1145" s="14"/>
      <c r="Q1145" s="14"/>
      <c r="R1145" s="14"/>
    </row>
    <row r="1146" spans="1:18" ht="15" customHeight="1">
      <c r="A1146" s="12">
        <v>412</v>
      </c>
      <c r="B1146" s="13" t="s">
        <v>1843</v>
      </c>
      <c r="C1146" s="14"/>
      <c r="D1146" s="14" t="s">
        <v>1844</v>
      </c>
      <c r="E1146" s="14" t="s">
        <v>36</v>
      </c>
      <c r="F1146" s="15" t="s">
        <v>22</v>
      </c>
      <c r="G1146" s="14"/>
      <c r="H1146" s="58"/>
      <c r="I1146" s="14"/>
      <c r="J1146" s="14" t="s">
        <v>23</v>
      </c>
      <c r="K1146" s="14"/>
      <c r="L1146" s="14"/>
      <c r="M1146" s="14" t="s">
        <v>1537</v>
      </c>
      <c r="N1146" s="14" t="s">
        <v>25</v>
      </c>
      <c r="O1146" s="14"/>
      <c r="P1146" s="14"/>
      <c r="Q1146" s="14"/>
      <c r="R1146" s="14" t="s">
        <v>1809</v>
      </c>
    </row>
    <row r="1147" spans="1:18" ht="15" customHeight="1">
      <c r="A1147" s="12">
        <v>1187</v>
      </c>
      <c r="B1147" s="13" t="s">
        <v>1845</v>
      </c>
      <c r="C1147" s="14"/>
      <c r="D1147" s="14" t="s">
        <v>1844</v>
      </c>
      <c r="E1147" s="14" t="s">
        <v>36</v>
      </c>
      <c r="F1147" s="15" t="s">
        <v>22</v>
      </c>
      <c r="G1147" s="21"/>
      <c r="H1147" s="58">
        <v>2</v>
      </c>
      <c r="I1147" s="14"/>
      <c r="J1147" s="14" t="s">
        <v>23</v>
      </c>
      <c r="K1147" s="14"/>
      <c r="L1147" s="14"/>
      <c r="M1147" s="14" t="s">
        <v>1534</v>
      </c>
      <c r="N1147" s="25" t="s">
        <v>37</v>
      </c>
      <c r="O1147" s="14" t="s">
        <v>1846</v>
      </c>
      <c r="P1147" s="14"/>
      <c r="Q1147" s="14"/>
      <c r="R1147" s="14" t="s">
        <v>1802</v>
      </c>
    </row>
    <row r="1148" spans="1:18" ht="15" customHeight="1">
      <c r="A1148" s="12">
        <v>1974</v>
      </c>
      <c r="B1148" s="13" t="s">
        <v>1847</v>
      </c>
      <c r="C1148" s="14"/>
      <c r="D1148" s="14" t="s">
        <v>1844</v>
      </c>
      <c r="E1148" s="14" t="s">
        <v>36</v>
      </c>
      <c r="F1148" s="15" t="s">
        <v>22</v>
      </c>
      <c r="G1148" s="14"/>
      <c r="H1148" s="58">
        <v>2</v>
      </c>
      <c r="I1148" s="14"/>
      <c r="J1148" s="14" t="s">
        <v>23</v>
      </c>
      <c r="K1148" s="14"/>
      <c r="L1148" s="14"/>
      <c r="M1148" s="14" t="s">
        <v>32</v>
      </c>
      <c r="N1148" s="22"/>
      <c r="O1148" s="14"/>
      <c r="P1148" s="14"/>
      <c r="Q1148" s="14"/>
      <c r="R1148" s="14"/>
    </row>
    <row r="1149" spans="1:18" ht="15" customHeight="1">
      <c r="A1149" s="12">
        <v>413</v>
      </c>
      <c r="B1149" s="13" t="s">
        <v>1848</v>
      </c>
      <c r="C1149" s="14"/>
      <c r="D1149" s="14" t="s">
        <v>1849</v>
      </c>
      <c r="E1149" s="14" t="s">
        <v>172</v>
      </c>
      <c r="F1149" s="15" t="s">
        <v>22</v>
      </c>
      <c r="G1149" s="14"/>
      <c r="H1149" s="58"/>
      <c r="I1149" s="14"/>
      <c r="J1149" s="14" t="s">
        <v>23</v>
      </c>
      <c r="K1149" s="14"/>
      <c r="L1149" s="14"/>
      <c r="M1149" s="14" t="s">
        <v>1537</v>
      </c>
      <c r="N1149" s="14" t="s">
        <v>25</v>
      </c>
      <c r="O1149" s="14"/>
      <c r="P1149" s="14"/>
      <c r="Q1149" s="14"/>
      <c r="R1149" s="14" t="s">
        <v>1809</v>
      </c>
    </row>
    <row r="1150" spans="1:18" ht="15" customHeight="1">
      <c r="A1150" s="12">
        <v>1188</v>
      </c>
      <c r="B1150" s="13" t="s">
        <v>1850</v>
      </c>
      <c r="C1150" s="14"/>
      <c r="D1150" s="14" t="s">
        <v>1849</v>
      </c>
      <c r="E1150" s="14" t="s">
        <v>172</v>
      </c>
      <c r="F1150" s="15" t="s">
        <v>22</v>
      </c>
      <c r="G1150" s="21"/>
      <c r="H1150" s="58">
        <v>1</v>
      </c>
      <c r="I1150" s="14"/>
      <c r="J1150" s="14" t="s">
        <v>23</v>
      </c>
      <c r="K1150" s="14"/>
      <c r="L1150" s="14"/>
      <c r="M1150" s="14" t="s">
        <v>1534</v>
      </c>
      <c r="N1150" s="14" t="s">
        <v>25</v>
      </c>
      <c r="O1150" s="14"/>
      <c r="P1150" s="14"/>
      <c r="Q1150" s="14"/>
      <c r="R1150" s="14" t="s">
        <v>1802</v>
      </c>
    </row>
    <row r="1151" spans="1:18" ht="15" customHeight="1">
      <c r="A1151" s="12">
        <v>1975</v>
      </c>
      <c r="B1151" s="13" t="s">
        <v>1851</v>
      </c>
      <c r="C1151" s="14"/>
      <c r="D1151" s="14" t="s">
        <v>1849</v>
      </c>
      <c r="E1151" s="14" t="s">
        <v>172</v>
      </c>
      <c r="F1151" s="15" t="s">
        <v>22</v>
      </c>
      <c r="G1151" s="14"/>
      <c r="H1151" s="58">
        <v>2</v>
      </c>
      <c r="I1151" s="14"/>
      <c r="J1151" s="14" t="s">
        <v>23</v>
      </c>
      <c r="K1151" s="14"/>
      <c r="L1151" s="14"/>
      <c r="M1151" s="14" t="s">
        <v>32</v>
      </c>
      <c r="N1151" s="22"/>
      <c r="O1151" s="14"/>
      <c r="P1151" s="14"/>
      <c r="Q1151" s="14"/>
      <c r="R1151" s="14"/>
    </row>
    <row r="1152" spans="1:18" ht="15" customHeight="1">
      <c r="A1152" s="12">
        <v>414</v>
      </c>
      <c r="B1152" s="13" t="s">
        <v>1852</v>
      </c>
      <c r="C1152" s="14"/>
      <c r="D1152" s="14" t="s">
        <v>1853</v>
      </c>
      <c r="E1152" s="14" t="s">
        <v>92</v>
      </c>
      <c r="F1152" s="15" t="s">
        <v>22</v>
      </c>
      <c r="G1152" s="14"/>
      <c r="H1152" s="58"/>
      <c r="I1152" s="14"/>
      <c r="J1152" s="14" t="s">
        <v>23</v>
      </c>
      <c r="K1152" s="14"/>
      <c r="L1152" s="14"/>
      <c r="M1152" s="14" t="s">
        <v>1537</v>
      </c>
      <c r="N1152" s="14" t="s">
        <v>25</v>
      </c>
      <c r="O1152" s="14"/>
      <c r="P1152" s="14"/>
      <c r="Q1152" s="14"/>
      <c r="R1152" s="14" t="s">
        <v>1809</v>
      </c>
    </row>
    <row r="1153" spans="1:18" ht="15" customHeight="1">
      <c r="A1153" s="12">
        <v>1189</v>
      </c>
      <c r="B1153" s="13" t="s">
        <v>1854</v>
      </c>
      <c r="C1153" s="14"/>
      <c r="D1153" s="14" t="s">
        <v>1853</v>
      </c>
      <c r="E1153" s="14" t="s">
        <v>92</v>
      </c>
      <c r="F1153" s="15" t="s">
        <v>22</v>
      </c>
      <c r="G1153" s="21"/>
      <c r="H1153" s="58"/>
      <c r="I1153" s="14"/>
      <c r="J1153" s="14" t="s">
        <v>23</v>
      </c>
      <c r="K1153" s="14"/>
      <c r="L1153" s="14"/>
      <c r="M1153" s="14" t="s">
        <v>1534</v>
      </c>
      <c r="N1153" s="25" t="s">
        <v>289</v>
      </c>
      <c r="O1153" s="14" t="s">
        <v>1855</v>
      </c>
      <c r="P1153" s="14"/>
      <c r="Q1153" s="14"/>
      <c r="R1153" s="14" t="s">
        <v>1802</v>
      </c>
    </row>
    <row r="1154" spans="1:18" ht="15" customHeight="1">
      <c r="A1154" s="12">
        <v>1976</v>
      </c>
      <c r="B1154" s="13" t="s">
        <v>1856</v>
      </c>
      <c r="C1154" s="14"/>
      <c r="D1154" s="14" t="s">
        <v>1853</v>
      </c>
      <c r="E1154" s="14" t="s">
        <v>92</v>
      </c>
      <c r="F1154" s="15" t="s">
        <v>22</v>
      </c>
      <c r="G1154" s="14"/>
      <c r="H1154" s="58">
        <v>0</v>
      </c>
      <c r="I1154" s="14"/>
      <c r="J1154" s="14" t="s">
        <v>23</v>
      </c>
      <c r="K1154" s="14"/>
      <c r="L1154" s="14"/>
      <c r="M1154" s="14" t="s">
        <v>32</v>
      </c>
      <c r="N1154" s="22"/>
      <c r="O1154" s="14"/>
      <c r="P1154" s="14"/>
      <c r="Q1154" s="14"/>
      <c r="R1154" s="14"/>
    </row>
    <row r="1155" spans="1:18" ht="15" customHeight="1">
      <c r="A1155" s="12">
        <v>415</v>
      </c>
      <c r="B1155" s="13" t="s">
        <v>1857</v>
      </c>
      <c r="C1155" s="14"/>
      <c r="D1155" s="14" t="s">
        <v>1858</v>
      </c>
      <c r="E1155" s="14" t="s">
        <v>21</v>
      </c>
      <c r="F1155" s="15" t="s">
        <v>22</v>
      </c>
      <c r="G1155" s="14"/>
      <c r="H1155" s="58"/>
      <c r="I1155" s="14"/>
      <c r="J1155" s="14" t="s">
        <v>23</v>
      </c>
      <c r="K1155" s="14"/>
      <c r="L1155" s="14"/>
      <c r="M1155" s="14" t="s">
        <v>1537</v>
      </c>
      <c r="N1155" s="25" t="s">
        <v>37</v>
      </c>
      <c r="O1155" s="14" t="s">
        <v>80</v>
      </c>
      <c r="P1155" s="14"/>
      <c r="Q1155" s="14"/>
      <c r="R1155" s="14" t="s">
        <v>1809</v>
      </c>
    </row>
    <row r="1156" spans="1:18" ht="15" customHeight="1">
      <c r="A1156" s="12">
        <v>1190</v>
      </c>
      <c r="B1156" s="13" t="s">
        <v>1859</v>
      </c>
      <c r="C1156" s="14"/>
      <c r="D1156" s="14" t="s">
        <v>1858</v>
      </c>
      <c r="E1156" s="14" t="s">
        <v>21</v>
      </c>
      <c r="F1156" s="15" t="s">
        <v>22</v>
      </c>
      <c r="G1156" s="21"/>
      <c r="H1156" s="58">
        <v>1</v>
      </c>
      <c r="I1156" s="14"/>
      <c r="J1156" s="14" t="s">
        <v>23</v>
      </c>
      <c r="K1156" s="14"/>
      <c r="L1156" s="14"/>
      <c r="M1156" s="14" t="s">
        <v>1534</v>
      </c>
      <c r="N1156" s="25" t="s">
        <v>37</v>
      </c>
      <c r="O1156" s="14" t="s">
        <v>1860</v>
      </c>
      <c r="P1156" s="14"/>
      <c r="Q1156" s="14"/>
      <c r="R1156" s="14" t="s">
        <v>1802</v>
      </c>
    </row>
    <row r="1157" spans="1:18" ht="15" customHeight="1">
      <c r="A1157" s="12">
        <v>1977</v>
      </c>
      <c r="B1157" s="13" t="s">
        <v>1861</v>
      </c>
      <c r="C1157" s="14"/>
      <c r="D1157" s="14" t="s">
        <v>1858</v>
      </c>
      <c r="E1157" s="14" t="s">
        <v>21</v>
      </c>
      <c r="F1157" s="15" t="s">
        <v>22</v>
      </c>
      <c r="G1157" s="14"/>
      <c r="H1157" s="58">
        <v>3</v>
      </c>
      <c r="I1157" s="14"/>
      <c r="J1157" s="14" t="s">
        <v>23</v>
      </c>
      <c r="K1157" s="14"/>
      <c r="L1157" s="14"/>
      <c r="M1157" s="14" t="s">
        <v>32</v>
      </c>
      <c r="N1157" s="22"/>
      <c r="O1157" s="14"/>
      <c r="P1157" s="14"/>
      <c r="Q1157" s="14"/>
      <c r="R1157" s="14"/>
    </row>
    <row r="1158" spans="1:18" ht="15" customHeight="1">
      <c r="A1158" s="12">
        <v>416</v>
      </c>
      <c r="B1158" s="13" t="s">
        <v>1862</v>
      </c>
      <c r="C1158" s="14"/>
      <c r="D1158" s="14" t="s">
        <v>1863</v>
      </c>
      <c r="E1158" s="14" t="s">
        <v>580</v>
      </c>
      <c r="F1158" s="15" t="s">
        <v>22</v>
      </c>
      <c r="G1158" s="14"/>
      <c r="H1158" s="58"/>
      <c r="I1158" s="14"/>
      <c r="J1158" s="14" t="s">
        <v>23</v>
      </c>
      <c r="K1158" s="14"/>
      <c r="L1158" s="14"/>
      <c r="M1158" s="14" t="s">
        <v>1537</v>
      </c>
      <c r="N1158" s="14" t="s">
        <v>25</v>
      </c>
      <c r="O1158" s="14"/>
      <c r="P1158" s="14"/>
      <c r="Q1158" s="14"/>
      <c r="R1158" s="14" t="s">
        <v>1809</v>
      </c>
    </row>
    <row r="1159" spans="1:18" ht="15" customHeight="1">
      <c r="A1159" s="12">
        <v>1191</v>
      </c>
      <c r="B1159" s="13" t="s">
        <v>1864</v>
      </c>
      <c r="C1159" s="14"/>
      <c r="D1159" s="14" t="s">
        <v>1863</v>
      </c>
      <c r="E1159" s="14" t="s">
        <v>580</v>
      </c>
      <c r="F1159" s="15" t="s">
        <v>22</v>
      </c>
      <c r="G1159" s="21"/>
      <c r="H1159" s="58"/>
      <c r="I1159" s="14"/>
      <c r="J1159" s="14" t="s">
        <v>23</v>
      </c>
      <c r="K1159" s="14"/>
      <c r="L1159" s="14"/>
      <c r="M1159" s="14" t="s">
        <v>1534</v>
      </c>
      <c r="N1159" s="14" t="s">
        <v>25</v>
      </c>
      <c r="O1159" s="14"/>
      <c r="P1159" s="14"/>
      <c r="Q1159" s="14"/>
      <c r="R1159" s="14" t="s">
        <v>1802</v>
      </c>
    </row>
    <row r="1160" spans="1:18" ht="15" customHeight="1">
      <c r="A1160" s="12">
        <v>1978</v>
      </c>
      <c r="B1160" s="13" t="s">
        <v>1865</v>
      </c>
      <c r="C1160" s="14"/>
      <c r="D1160" s="14" t="s">
        <v>1863</v>
      </c>
      <c r="E1160" s="14" t="s">
        <v>580</v>
      </c>
      <c r="F1160" s="15" t="s">
        <v>22</v>
      </c>
      <c r="G1160" s="14"/>
      <c r="H1160" s="58">
        <v>0</v>
      </c>
      <c r="I1160" s="14"/>
      <c r="J1160" s="14" t="s">
        <v>23</v>
      </c>
      <c r="K1160" s="14"/>
      <c r="L1160" s="14"/>
      <c r="M1160" s="14" t="s">
        <v>32</v>
      </c>
      <c r="N1160" s="22"/>
      <c r="O1160" s="14"/>
      <c r="P1160" s="14"/>
      <c r="Q1160" s="14"/>
      <c r="R1160" s="14"/>
    </row>
    <row r="1161" spans="1:18" ht="15" customHeight="1">
      <c r="A1161" s="12">
        <v>417</v>
      </c>
      <c r="B1161" s="13" t="s">
        <v>1866</v>
      </c>
      <c r="C1161" s="14"/>
      <c r="D1161" s="14" t="s">
        <v>1867</v>
      </c>
      <c r="E1161" s="14" t="s">
        <v>36</v>
      </c>
      <c r="F1161" s="15" t="s">
        <v>22</v>
      </c>
      <c r="G1161" s="14"/>
      <c r="H1161" s="58"/>
      <c r="I1161" s="14"/>
      <c r="J1161" s="14" t="s">
        <v>23</v>
      </c>
      <c r="K1161" s="14"/>
      <c r="L1161" s="14"/>
      <c r="M1161" s="14" t="s">
        <v>1537</v>
      </c>
      <c r="N1161" s="14" t="s">
        <v>25</v>
      </c>
      <c r="O1161" s="14"/>
      <c r="P1161" s="14"/>
      <c r="Q1161" s="14"/>
      <c r="R1161" s="14" t="s">
        <v>1809</v>
      </c>
    </row>
    <row r="1162" spans="1:18" ht="15" customHeight="1">
      <c r="A1162" s="12">
        <v>1192</v>
      </c>
      <c r="B1162" s="13" t="s">
        <v>1868</v>
      </c>
      <c r="C1162" s="14"/>
      <c r="D1162" s="14" t="s">
        <v>1867</v>
      </c>
      <c r="E1162" s="14" t="s">
        <v>36</v>
      </c>
      <c r="F1162" s="15" t="s">
        <v>22</v>
      </c>
      <c r="G1162" s="21"/>
      <c r="H1162" s="58">
        <v>1</v>
      </c>
      <c r="I1162" s="14"/>
      <c r="J1162" s="14" t="s">
        <v>23</v>
      </c>
      <c r="K1162" s="14"/>
      <c r="L1162" s="14"/>
      <c r="M1162" s="14" t="s">
        <v>1534</v>
      </c>
      <c r="N1162" s="25" t="s">
        <v>37</v>
      </c>
      <c r="O1162" s="14" t="s">
        <v>1869</v>
      </c>
      <c r="P1162" s="14"/>
      <c r="Q1162" s="14"/>
      <c r="R1162" s="14" t="s">
        <v>1802</v>
      </c>
    </row>
    <row r="1163" spans="1:18" ht="15" customHeight="1">
      <c r="A1163" s="12">
        <v>1979</v>
      </c>
      <c r="B1163" s="13" t="s">
        <v>1870</v>
      </c>
      <c r="C1163" s="14"/>
      <c r="D1163" s="14" t="s">
        <v>1867</v>
      </c>
      <c r="E1163" s="14" t="s">
        <v>36</v>
      </c>
      <c r="F1163" s="15" t="s">
        <v>22</v>
      </c>
      <c r="G1163" s="14"/>
      <c r="H1163" s="58">
        <v>0</v>
      </c>
      <c r="I1163" s="14"/>
      <c r="J1163" s="14" t="s">
        <v>23</v>
      </c>
      <c r="K1163" s="14"/>
      <c r="L1163" s="14"/>
      <c r="M1163" s="14" t="s">
        <v>32</v>
      </c>
      <c r="N1163" s="22"/>
      <c r="O1163" s="14"/>
      <c r="P1163" s="14"/>
      <c r="Q1163" s="14"/>
      <c r="R1163" s="14"/>
    </row>
    <row r="1164" spans="1:18" ht="15" customHeight="1">
      <c r="A1164" s="12">
        <v>418</v>
      </c>
      <c r="B1164" s="13" t="s">
        <v>1871</v>
      </c>
      <c r="C1164" s="14"/>
      <c r="D1164" s="14" t="s">
        <v>1872</v>
      </c>
      <c r="E1164" s="14" t="s">
        <v>36</v>
      </c>
      <c r="F1164" s="15" t="s">
        <v>22</v>
      </c>
      <c r="G1164" s="14"/>
      <c r="H1164" s="58"/>
      <c r="I1164" s="14"/>
      <c r="J1164" s="14" t="s">
        <v>23</v>
      </c>
      <c r="K1164" s="14"/>
      <c r="L1164" s="14"/>
      <c r="M1164" s="14" t="s">
        <v>1537</v>
      </c>
      <c r="N1164" s="14" t="s">
        <v>25</v>
      </c>
      <c r="O1164" s="14"/>
      <c r="P1164" s="14"/>
      <c r="Q1164" s="14"/>
      <c r="R1164" s="14" t="s">
        <v>1809</v>
      </c>
    </row>
    <row r="1165" spans="1:18" ht="15" customHeight="1">
      <c r="A1165" s="12">
        <v>1193</v>
      </c>
      <c r="B1165" s="13" t="s">
        <v>1873</v>
      </c>
      <c r="C1165" s="14"/>
      <c r="D1165" s="14" t="s">
        <v>1872</v>
      </c>
      <c r="E1165" s="14" t="s">
        <v>36</v>
      </c>
      <c r="F1165" s="15" t="s">
        <v>22</v>
      </c>
      <c r="G1165" s="21"/>
      <c r="H1165" s="58"/>
      <c r="I1165" s="14"/>
      <c r="J1165" s="14" t="s">
        <v>23</v>
      </c>
      <c r="K1165" s="14"/>
      <c r="L1165" s="14"/>
      <c r="M1165" s="14" t="s">
        <v>1534</v>
      </c>
      <c r="N1165" s="14" t="s">
        <v>25</v>
      </c>
      <c r="O1165" s="14"/>
      <c r="P1165" s="14"/>
      <c r="Q1165" s="14"/>
      <c r="R1165" s="14" t="s">
        <v>1802</v>
      </c>
    </row>
    <row r="1166" spans="1:18" ht="15" customHeight="1">
      <c r="A1166" s="12">
        <v>1980</v>
      </c>
      <c r="B1166" s="13" t="s">
        <v>1874</v>
      </c>
      <c r="C1166" s="14"/>
      <c r="D1166" s="14" t="s">
        <v>1872</v>
      </c>
      <c r="E1166" s="14" t="s">
        <v>36</v>
      </c>
      <c r="F1166" s="15" t="s">
        <v>22</v>
      </c>
      <c r="G1166" s="14"/>
      <c r="H1166" s="58">
        <v>0</v>
      </c>
      <c r="I1166" s="14"/>
      <c r="J1166" s="14" t="s">
        <v>23</v>
      </c>
      <c r="K1166" s="14"/>
      <c r="L1166" s="14"/>
      <c r="M1166" s="14" t="s">
        <v>32</v>
      </c>
      <c r="N1166" s="22"/>
      <c r="O1166" s="14"/>
      <c r="P1166" s="14"/>
      <c r="Q1166" s="14"/>
      <c r="R1166" s="14"/>
    </row>
    <row r="1167" spans="1:18" ht="15" customHeight="1">
      <c r="A1167" s="12">
        <v>1194</v>
      </c>
      <c r="B1167" s="13" t="s">
        <v>1875</v>
      </c>
      <c r="C1167" s="14"/>
      <c r="D1167" s="14" t="s">
        <v>1876</v>
      </c>
      <c r="E1167" s="14" t="s">
        <v>36</v>
      </c>
      <c r="F1167" s="15" t="s">
        <v>22</v>
      </c>
      <c r="G1167" s="21"/>
      <c r="H1167" s="58">
        <v>2</v>
      </c>
      <c r="I1167" s="14"/>
      <c r="J1167" s="14" t="s">
        <v>23</v>
      </c>
      <c r="K1167" s="14"/>
      <c r="L1167" s="14"/>
      <c r="M1167" s="14" t="s">
        <v>1534</v>
      </c>
      <c r="N1167" s="25" t="s">
        <v>37</v>
      </c>
      <c r="O1167" s="14" t="s">
        <v>1877</v>
      </c>
      <c r="P1167" s="14"/>
      <c r="Q1167" s="14"/>
      <c r="R1167" s="14" t="s">
        <v>1802</v>
      </c>
    </row>
    <row r="1168" spans="1:18" ht="15" customHeight="1">
      <c r="A1168" s="12">
        <v>1981</v>
      </c>
      <c r="B1168" s="13" t="s">
        <v>1878</v>
      </c>
      <c r="C1168" s="14"/>
      <c r="D1168" s="14" t="s">
        <v>1876</v>
      </c>
      <c r="E1168" s="14" t="s">
        <v>36</v>
      </c>
      <c r="F1168" s="15" t="s">
        <v>22</v>
      </c>
      <c r="G1168" s="14"/>
      <c r="H1168" s="58">
        <v>2</v>
      </c>
      <c r="I1168" s="14"/>
      <c r="J1168" s="14" t="s">
        <v>23</v>
      </c>
      <c r="K1168" s="14"/>
      <c r="L1168" s="14"/>
      <c r="M1168" s="14" t="s">
        <v>32</v>
      </c>
      <c r="N1168" s="22"/>
      <c r="O1168" s="14"/>
      <c r="P1168" s="14"/>
      <c r="Q1168" s="14"/>
      <c r="R1168" s="14"/>
    </row>
    <row r="1169" spans="1:18" ht="15" customHeight="1">
      <c r="A1169" s="12">
        <v>419</v>
      </c>
      <c r="B1169" s="13" t="s">
        <v>1879</v>
      </c>
      <c r="C1169" s="14"/>
      <c r="D1169" s="14" t="s">
        <v>1880</v>
      </c>
      <c r="E1169" s="14" t="s">
        <v>36</v>
      </c>
      <c r="F1169" s="15" t="s">
        <v>22</v>
      </c>
      <c r="G1169" s="14"/>
      <c r="H1169" s="58"/>
      <c r="I1169" s="14"/>
      <c r="J1169" s="14" t="s">
        <v>23</v>
      </c>
      <c r="K1169" s="14"/>
      <c r="L1169" s="14"/>
      <c r="M1169" s="14" t="s">
        <v>1537</v>
      </c>
      <c r="N1169" s="14" t="s">
        <v>25</v>
      </c>
      <c r="O1169" s="14"/>
      <c r="P1169" s="14"/>
      <c r="Q1169" s="14"/>
      <c r="R1169" s="14" t="s">
        <v>1809</v>
      </c>
    </row>
    <row r="1170" spans="1:18" ht="15" customHeight="1">
      <c r="A1170" s="12">
        <v>1195</v>
      </c>
      <c r="B1170" s="13" t="s">
        <v>1881</v>
      </c>
      <c r="C1170" s="14"/>
      <c r="D1170" s="14" t="s">
        <v>1880</v>
      </c>
      <c r="E1170" s="14" t="s">
        <v>215</v>
      </c>
      <c r="F1170" s="15" t="s">
        <v>22</v>
      </c>
      <c r="G1170" s="21"/>
      <c r="H1170" s="58">
        <v>3</v>
      </c>
      <c r="I1170" s="14"/>
      <c r="J1170" s="14" t="s">
        <v>23</v>
      </c>
      <c r="K1170" s="14"/>
      <c r="L1170" s="14"/>
      <c r="M1170" s="14" t="s">
        <v>1534</v>
      </c>
      <c r="N1170" s="25" t="s">
        <v>37</v>
      </c>
      <c r="O1170" s="14" t="s">
        <v>1691</v>
      </c>
      <c r="P1170" s="14"/>
      <c r="Q1170" s="14"/>
      <c r="R1170" s="14" t="s">
        <v>1802</v>
      </c>
    </row>
    <row r="1171" spans="1:18" ht="15" customHeight="1">
      <c r="A1171" s="12">
        <v>1982</v>
      </c>
      <c r="B1171" s="13" t="s">
        <v>1882</v>
      </c>
      <c r="C1171" s="14"/>
      <c r="D1171" s="14" t="s">
        <v>1880</v>
      </c>
      <c r="E1171" s="14" t="s">
        <v>215</v>
      </c>
      <c r="F1171" s="15" t="s">
        <v>22</v>
      </c>
      <c r="G1171" s="14"/>
      <c r="H1171" s="58">
        <v>2</v>
      </c>
      <c r="I1171" s="14"/>
      <c r="J1171" s="14" t="s">
        <v>23</v>
      </c>
      <c r="K1171" s="14"/>
      <c r="L1171" s="14"/>
      <c r="M1171" s="14" t="s">
        <v>32</v>
      </c>
      <c r="N1171" s="22"/>
      <c r="O1171" s="14"/>
      <c r="P1171" s="14"/>
      <c r="Q1171" s="14"/>
      <c r="R1171" s="14"/>
    </row>
    <row r="1172" spans="1:18" ht="15" customHeight="1">
      <c r="A1172" s="12">
        <v>420</v>
      </c>
      <c r="B1172" s="13" t="s">
        <v>1883</v>
      </c>
      <c r="C1172" s="14"/>
      <c r="D1172" s="14" t="s">
        <v>1884</v>
      </c>
      <c r="E1172" s="14" t="s">
        <v>36</v>
      </c>
      <c r="F1172" s="15" t="s">
        <v>22</v>
      </c>
      <c r="G1172" s="14"/>
      <c r="H1172" s="58"/>
      <c r="I1172" s="14"/>
      <c r="J1172" s="14" t="s">
        <v>23</v>
      </c>
      <c r="K1172" s="14"/>
      <c r="L1172" s="14"/>
      <c r="M1172" s="14" t="s">
        <v>1537</v>
      </c>
      <c r="N1172" s="14" t="s">
        <v>25</v>
      </c>
      <c r="O1172" s="14"/>
      <c r="P1172" s="14"/>
      <c r="Q1172" s="14"/>
      <c r="R1172" s="14" t="s">
        <v>1809</v>
      </c>
    </row>
    <row r="1173" spans="1:18" ht="15" customHeight="1">
      <c r="A1173" s="12">
        <v>1196</v>
      </c>
      <c r="B1173" s="13" t="s">
        <v>1885</v>
      </c>
      <c r="C1173" s="14"/>
      <c r="D1173" s="14" t="s">
        <v>1884</v>
      </c>
      <c r="E1173" s="14" t="s">
        <v>36</v>
      </c>
      <c r="F1173" s="15" t="s">
        <v>22</v>
      </c>
      <c r="G1173" s="21"/>
      <c r="H1173" s="58"/>
      <c r="I1173" s="14"/>
      <c r="J1173" s="14" t="s">
        <v>23</v>
      </c>
      <c r="K1173" s="14"/>
      <c r="L1173" s="14"/>
      <c r="M1173" s="14" t="s">
        <v>1534</v>
      </c>
      <c r="N1173" s="14" t="s">
        <v>25</v>
      </c>
      <c r="O1173" s="14"/>
      <c r="P1173" s="14"/>
      <c r="Q1173" s="14"/>
      <c r="R1173" s="14" t="s">
        <v>1802</v>
      </c>
    </row>
    <row r="1174" spans="1:18" ht="15" customHeight="1">
      <c r="A1174" s="12">
        <v>1983</v>
      </c>
      <c r="B1174" s="13" t="s">
        <v>1886</v>
      </c>
      <c r="C1174" s="14"/>
      <c r="D1174" s="14" t="s">
        <v>1884</v>
      </c>
      <c r="E1174" s="14" t="s">
        <v>36</v>
      </c>
      <c r="F1174" s="15" t="s">
        <v>22</v>
      </c>
      <c r="G1174" s="14"/>
      <c r="H1174" s="58">
        <v>0</v>
      </c>
      <c r="I1174" s="14"/>
      <c r="J1174" s="14" t="s">
        <v>23</v>
      </c>
      <c r="K1174" s="14"/>
      <c r="L1174" s="14"/>
      <c r="M1174" s="14" t="s">
        <v>32</v>
      </c>
      <c r="N1174" s="22"/>
      <c r="O1174" s="14"/>
      <c r="P1174" s="14"/>
      <c r="Q1174" s="14"/>
      <c r="R1174" s="14"/>
    </row>
    <row r="1175" spans="1:18" ht="15" customHeight="1">
      <c r="A1175" s="12">
        <v>421</v>
      </c>
      <c r="B1175" s="13" t="s">
        <v>1887</v>
      </c>
      <c r="C1175" s="14"/>
      <c r="D1175" s="14" t="s">
        <v>1888</v>
      </c>
      <c r="E1175" s="14" t="s">
        <v>137</v>
      </c>
      <c r="F1175" s="15" t="s">
        <v>22</v>
      </c>
      <c r="G1175" s="14"/>
      <c r="H1175" s="58"/>
      <c r="I1175" s="14"/>
      <c r="J1175" s="14" t="s">
        <v>23</v>
      </c>
      <c r="K1175" s="14"/>
      <c r="L1175" s="14"/>
      <c r="M1175" s="14" t="s">
        <v>1537</v>
      </c>
      <c r="N1175" s="14" t="s">
        <v>25</v>
      </c>
      <c r="O1175" s="14"/>
      <c r="P1175" s="14"/>
      <c r="Q1175" s="14"/>
      <c r="R1175" s="14" t="s">
        <v>1809</v>
      </c>
    </row>
    <row r="1176" spans="1:18" ht="15" customHeight="1">
      <c r="A1176" s="12">
        <v>1197</v>
      </c>
      <c r="B1176" s="13" t="s">
        <v>1889</v>
      </c>
      <c r="C1176" s="14"/>
      <c r="D1176" s="14" t="s">
        <v>1888</v>
      </c>
      <c r="E1176" s="14" t="s">
        <v>137</v>
      </c>
      <c r="F1176" s="15" t="s">
        <v>22</v>
      </c>
      <c r="G1176" s="21"/>
      <c r="H1176" s="58">
        <v>2</v>
      </c>
      <c r="I1176" s="14"/>
      <c r="J1176" s="14" t="s">
        <v>23</v>
      </c>
      <c r="K1176" s="14"/>
      <c r="L1176" s="14"/>
      <c r="M1176" s="14" t="s">
        <v>1534</v>
      </c>
      <c r="N1176" s="25" t="s">
        <v>37</v>
      </c>
      <c r="O1176" s="14" t="s">
        <v>364</v>
      </c>
      <c r="P1176" s="14"/>
      <c r="Q1176" s="14"/>
      <c r="R1176" s="14" t="s">
        <v>1802</v>
      </c>
    </row>
    <row r="1177" spans="1:18" ht="15" customHeight="1">
      <c r="A1177" s="12">
        <v>1984</v>
      </c>
      <c r="B1177" s="13" t="s">
        <v>1890</v>
      </c>
      <c r="C1177" s="14"/>
      <c r="D1177" s="14" t="s">
        <v>1888</v>
      </c>
      <c r="E1177" s="14" t="s">
        <v>137</v>
      </c>
      <c r="F1177" s="15" t="s">
        <v>22</v>
      </c>
      <c r="G1177" s="14"/>
      <c r="H1177" s="58">
        <v>2</v>
      </c>
      <c r="I1177" s="14"/>
      <c r="J1177" s="14" t="s">
        <v>23</v>
      </c>
      <c r="K1177" s="14"/>
      <c r="L1177" s="14"/>
      <c r="M1177" s="14" t="s">
        <v>32</v>
      </c>
      <c r="N1177" s="22"/>
      <c r="O1177" s="14"/>
      <c r="P1177" s="14"/>
      <c r="Q1177" s="14"/>
      <c r="R1177" s="14"/>
    </row>
    <row r="1178" spans="1:18" ht="15" customHeight="1">
      <c r="A1178" s="12">
        <v>422</v>
      </c>
      <c r="B1178" s="13" t="s">
        <v>1891</v>
      </c>
      <c r="C1178" s="14"/>
      <c r="D1178" s="14" t="s">
        <v>1892</v>
      </c>
      <c r="E1178" s="14" t="s">
        <v>36</v>
      </c>
      <c r="F1178" s="15" t="s">
        <v>22</v>
      </c>
      <c r="G1178" s="14"/>
      <c r="H1178" s="58"/>
      <c r="I1178" s="14"/>
      <c r="J1178" s="14" t="s">
        <v>23</v>
      </c>
      <c r="K1178" s="14"/>
      <c r="L1178" s="14"/>
      <c r="M1178" s="14" t="s">
        <v>1537</v>
      </c>
      <c r="N1178" s="25" t="s">
        <v>37</v>
      </c>
      <c r="O1178" s="14" t="s">
        <v>38</v>
      </c>
      <c r="P1178" s="14"/>
      <c r="Q1178" s="14"/>
      <c r="R1178" s="14" t="s">
        <v>1809</v>
      </c>
    </row>
    <row r="1179" spans="1:18" ht="15" customHeight="1">
      <c r="A1179" s="12">
        <v>1198</v>
      </c>
      <c r="B1179" s="13" t="s">
        <v>1893</v>
      </c>
      <c r="C1179" s="14"/>
      <c r="D1179" s="14" t="s">
        <v>1892</v>
      </c>
      <c r="E1179" s="14" t="s">
        <v>36</v>
      </c>
      <c r="F1179" s="15" t="s">
        <v>22</v>
      </c>
      <c r="G1179" s="21"/>
      <c r="H1179" s="58">
        <v>3</v>
      </c>
      <c r="I1179" s="14"/>
      <c r="J1179" s="14" t="s">
        <v>23</v>
      </c>
      <c r="K1179" s="14"/>
      <c r="L1179" s="14"/>
      <c r="M1179" s="14" t="s">
        <v>1534</v>
      </c>
      <c r="N1179" s="25" t="s">
        <v>37</v>
      </c>
      <c r="O1179" s="14" t="s">
        <v>1894</v>
      </c>
      <c r="P1179" s="14"/>
      <c r="Q1179" s="14"/>
      <c r="R1179" s="14" t="s">
        <v>1802</v>
      </c>
    </row>
    <row r="1180" spans="1:18" ht="15" customHeight="1">
      <c r="A1180" s="12">
        <v>1985</v>
      </c>
      <c r="B1180" s="13" t="s">
        <v>1895</v>
      </c>
      <c r="C1180" s="14"/>
      <c r="D1180" s="14" t="s">
        <v>1892</v>
      </c>
      <c r="E1180" s="14" t="s">
        <v>36</v>
      </c>
      <c r="F1180" s="15" t="s">
        <v>22</v>
      </c>
      <c r="G1180" s="14"/>
      <c r="H1180" s="58">
        <v>3</v>
      </c>
      <c r="I1180" s="14"/>
      <c r="J1180" s="14" t="s">
        <v>23</v>
      </c>
      <c r="K1180" s="14"/>
      <c r="L1180" s="14"/>
      <c r="M1180" s="14" t="s">
        <v>32</v>
      </c>
      <c r="N1180" s="22"/>
      <c r="O1180" s="14"/>
      <c r="P1180" s="14"/>
      <c r="Q1180" s="14"/>
      <c r="R1180" s="14"/>
    </row>
    <row r="1181" spans="1:18" ht="15" customHeight="1">
      <c r="A1181" s="12">
        <v>423</v>
      </c>
      <c r="B1181" s="13" t="s">
        <v>1896</v>
      </c>
      <c r="C1181" s="14"/>
      <c r="D1181" s="14" t="s">
        <v>1897</v>
      </c>
      <c r="E1181" s="14" t="s">
        <v>36</v>
      </c>
      <c r="F1181" s="15" t="s">
        <v>22</v>
      </c>
      <c r="G1181" s="14"/>
      <c r="H1181" s="58"/>
      <c r="I1181" s="14"/>
      <c r="J1181" s="14" t="s">
        <v>23</v>
      </c>
      <c r="K1181" s="14"/>
      <c r="L1181" s="14"/>
      <c r="M1181" s="14" t="s">
        <v>1537</v>
      </c>
      <c r="N1181" s="14" t="s">
        <v>25</v>
      </c>
      <c r="O1181" s="14"/>
      <c r="P1181" s="14"/>
      <c r="Q1181" s="14"/>
      <c r="R1181" s="14" t="s">
        <v>1809</v>
      </c>
    </row>
    <row r="1182" spans="1:18" ht="15" customHeight="1">
      <c r="A1182" s="12">
        <v>1199</v>
      </c>
      <c r="B1182" s="13" t="s">
        <v>1898</v>
      </c>
      <c r="C1182" s="14"/>
      <c r="D1182" s="14" t="s">
        <v>1897</v>
      </c>
      <c r="E1182" s="14" t="s">
        <v>36</v>
      </c>
      <c r="F1182" s="15" t="s">
        <v>22</v>
      </c>
      <c r="G1182" s="21"/>
      <c r="H1182" s="58">
        <v>2</v>
      </c>
      <c r="I1182" s="14"/>
      <c r="J1182" s="14" t="s">
        <v>23</v>
      </c>
      <c r="K1182" s="14"/>
      <c r="L1182" s="14"/>
      <c r="M1182" s="14" t="s">
        <v>1534</v>
      </c>
      <c r="N1182" s="25" t="s">
        <v>37</v>
      </c>
      <c r="O1182" s="14" t="s">
        <v>1899</v>
      </c>
      <c r="P1182" s="14"/>
      <c r="Q1182" s="14"/>
      <c r="R1182" s="14" t="s">
        <v>1802</v>
      </c>
    </row>
    <row r="1183" spans="1:18" ht="15" customHeight="1">
      <c r="A1183" s="12">
        <v>1986</v>
      </c>
      <c r="B1183" s="13" t="s">
        <v>1900</v>
      </c>
      <c r="C1183" s="14"/>
      <c r="D1183" s="14" t="s">
        <v>1897</v>
      </c>
      <c r="E1183" s="14" t="s">
        <v>36</v>
      </c>
      <c r="F1183" s="15" t="s">
        <v>22</v>
      </c>
      <c r="G1183" s="14"/>
      <c r="H1183" s="58">
        <v>1</v>
      </c>
      <c r="I1183" s="14"/>
      <c r="J1183" s="14" t="s">
        <v>23</v>
      </c>
      <c r="K1183" s="14"/>
      <c r="L1183" s="14"/>
      <c r="M1183" s="14" t="s">
        <v>32</v>
      </c>
      <c r="N1183" s="22"/>
      <c r="O1183" s="14"/>
      <c r="P1183" s="14"/>
      <c r="Q1183" s="14"/>
      <c r="R1183" s="14"/>
    </row>
    <row r="1184" spans="1:18" ht="15" customHeight="1">
      <c r="A1184" s="12">
        <v>424</v>
      </c>
      <c r="B1184" s="13" t="s">
        <v>1901</v>
      </c>
      <c r="C1184" s="14"/>
      <c r="D1184" s="14" t="s">
        <v>1902</v>
      </c>
      <c r="E1184" s="14" t="s">
        <v>36</v>
      </c>
      <c r="F1184" s="15" t="s">
        <v>22</v>
      </c>
      <c r="G1184" s="14"/>
      <c r="H1184" s="58"/>
      <c r="I1184" s="14"/>
      <c r="J1184" s="14" t="s">
        <v>23</v>
      </c>
      <c r="K1184" s="14"/>
      <c r="L1184" s="14"/>
      <c r="M1184" s="14" t="s">
        <v>1537</v>
      </c>
      <c r="N1184" s="14" t="s">
        <v>25</v>
      </c>
      <c r="O1184" s="14"/>
      <c r="P1184" s="14"/>
      <c r="Q1184" s="14"/>
      <c r="R1184" s="14" t="s">
        <v>1809</v>
      </c>
    </row>
    <row r="1185" spans="1:18" ht="15" customHeight="1">
      <c r="A1185" s="12">
        <v>1200</v>
      </c>
      <c r="B1185" s="13" t="s">
        <v>1903</v>
      </c>
      <c r="C1185" s="14"/>
      <c r="D1185" s="14" t="s">
        <v>1902</v>
      </c>
      <c r="E1185" s="14" t="s">
        <v>36</v>
      </c>
      <c r="F1185" s="15" t="s">
        <v>22</v>
      </c>
      <c r="G1185" s="21"/>
      <c r="H1185" s="58"/>
      <c r="I1185" s="14"/>
      <c r="J1185" s="14" t="s">
        <v>23</v>
      </c>
      <c r="K1185" s="14"/>
      <c r="L1185" s="14"/>
      <c r="M1185" s="14" t="s">
        <v>1534</v>
      </c>
      <c r="N1185" s="14" t="s">
        <v>25</v>
      </c>
      <c r="O1185" s="14"/>
      <c r="P1185" s="14"/>
      <c r="Q1185" s="14"/>
      <c r="R1185" s="14" t="s">
        <v>1802</v>
      </c>
    </row>
    <row r="1186" spans="1:18" ht="15" customHeight="1">
      <c r="A1186" s="12">
        <v>1987</v>
      </c>
      <c r="B1186" s="13" t="s">
        <v>1904</v>
      </c>
      <c r="C1186" s="14"/>
      <c r="D1186" s="14" t="s">
        <v>1902</v>
      </c>
      <c r="E1186" s="14" t="s">
        <v>36</v>
      </c>
      <c r="F1186" s="15" t="s">
        <v>22</v>
      </c>
      <c r="G1186" s="14"/>
      <c r="H1186" s="58">
        <v>0</v>
      </c>
      <c r="I1186" s="14"/>
      <c r="J1186" s="14" t="s">
        <v>23</v>
      </c>
      <c r="K1186" s="14"/>
      <c r="L1186" s="14"/>
      <c r="M1186" s="14" t="s">
        <v>32</v>
      </c>
      <c r="N1186" s="22"/>
      <c r="O1186" s="14"/>
      <c r="P1186" s="14"/>
      <c r="Q1186" s="14"/>
      <c r="R1186" s="14"/>
    </row>
    <row r="1187" spans="1:18" ht="15" customHeight="1">
      <c r="A1187" s="12">
        <v>425</v>
      </c>
      <c r="B1187" s="13" t="s">
        <v>1905</v>
      </c>
      <c r="C1187" s="14"/>
      <c r="D1187" s="14" t="s">
        <v>1906</v>
      </c>
      <c r="E1187" s="14" t="s">
        <v>44</v>
      </c>
      <c r="F1187" s="15" t="s">
        <v>22</v>
      </c>
      <c r="G1187" s="14"/>
      <c r="H1187" s="58"/>
      <c r="I1187" s="14"/>
      <c r="J1187" s="14" t="s">
        <v>23</v>
      </c>
      <c r="K1187" s="14"/>
      <c r="L1187" s="14"/>
      <c r="M1187" s="14" t="s">
        <v>1537</v>
      </c>
      <c r="N1187" s="14" t="s">
        <v>25</v>
      </c>
      <c r="O1187" s="14"/>
      <c r="P1187" s="14"/>
      <c r="Q1187" s="14"/>
      <c r="R1187" s="14" t="s">
        <v>1809</v>
      </c>
    </row>
    <row r="1188" spans="1:18" ht="15" customHeight="1">
      <c r="A1188" s="12">
        <v>1201</v>
      </c>
      <c r="B1188" s="13" t="s">
        <v>1907</v>
      </c>
      <c r="C1188" s="14"/>
      <c r="D1188" s="14" t="s">
        <v>1906</v>
      </c>
      <c r="E1188" s="14" t="s">
        <v>44</v>
      </c>
      <c r="F1188" s="15" t="s">
        <v>22</v>
      </c>
      <c r="G1188" s="21"/>
      <c r="H1188" s="58"/>
      <c r="I1188" s="14"/>
      <c r="J1188" s="14" t="s">
        <v>23</v>
      </c>
      <c r="K1188" s="14"/>
      <c r="L1188" s="14"/>
      <c r="M1188" s="14" t="s">
        <v>1534</v>
      </c>
      <c r="N1188" s="14" t="s">
        <v>25</v>
      </c>
      <c r="O1188" s="14"/>
      <c r="P1188" s="14"/>
      <c r="Q1188" s="14"/>
      <c r="R1188" s="14" t="s">
        <v>1802</v>
      </c>
    </row>
    <row r="1189" spans="1:18" ht="15" customHeight="1">
      <c r="A1189" s="12">
        <v>1988</v>
      </c>
      <c r="B1189" s="13" t="s">
        <v>1908</v>
      </c>
      <c r="C1189" s="14"/>
      <c r="D1189" s="14" t="s">
        <v>1906</v>
      </c>
      <c r="E1189" s="14" t="s">
        <v>44</v>
      </c>
      <c r="F1189" s="15" t="s">
        <v>22</v>
      </c>
      <c r="G1189" s="14"/>
      <c r="H1189" s="58">
        <v>0</v>
      </c>
      <c r="I1189" s="14"/>
      <c r="J1189" s="14" t="s">
        <v>23</v>
      </c>
      <c r="K1189" s="14"/>
      <c r="L1189" s="14"/>
      <c r="M1189" s="14" t="s">
        <v>32</v>
      </c>
      <c r="N1189" s="22"/>
      <c r="O1189" s="14"/>
      <c r="P1189" s="14"/>
      <c r="Q1189" s="14"/>
      <c r="R1189" s="14"/>
    </row>
    <row r="1190" spans="1:18" ht="15" customHeight="1">
      <c r="A1190" s="12">
        <v>426</v>
      </c>
      <c r="B1190" s="13" t="s">
        <v>1909</v>
      </c>
      <c r="C1190" s="14"/>
      <c r="D1190" s="14" t="s">
        <v>1910</v>
      </c>
      <c r="E1190" s="14" t="s">
        <v>21</v>
      </c>
      <c r="F1190" s="15" t="s">
        <v>22</v>
      </c>
      <c r="G1190" s="14"/>
      <c r="H1190" s="58"/>
      <c r="I1190" s="14"/>
      <c r="J1190" s="14" t="s">
        <v>23</v>
      </c>
      <c r="K1190" s="14"/>
      <c r="L1190" s="14"/>
      <c r="M1190" s="14" t="s">
        <v>1537</v>
      </c>
      <c r="N1190" s="14" t="s">
        <v>25</v>
      </c>
      <c r="O1190" s="14"/>
      <c r="P1190" s="14"/>
      <c r="Q1190" s="14"/>
      <c r="R1190" s="14" t="s">
        <v>1809</v>
      </c>
    </row>
    <row r="1191" spans="1:18" ht="15" customHeight="1">
      <c r="A1191" s="12">
        <v>1202</v>
      </c>
      <c r="B1191" s="13" t="s">
        <v>1911</v>
      </c>
      <c r="C1191" s="14"/>
      <c r="D1191" s="14" t="s">
        <v>1910</v>
      </c>
      <c r="E1191" s="14" t="s">
        <v>21</v>
      </c>
      <c r="F1191" s="15" t="s">
        <v>22</v>
      </c>
      <c r="G1191" s="21"/>
      <c r="H1191" s="58"/>
      <c r="I1191" s="14"/>
      <c r="J1191" s="14" t="s">
        <v>23</v>
      </c>
      <c r="K1191" s="14"/>
      <c r="L1191" s="14"/>
      <c r="M1191" s="14" t="s">
        <v>1534</v>
      </c>
      <c r="N1191" s="14" t="s">
        <v>25</v>
      </c>
      <c r="O1191" s="14"/>
      <c r="P1191" s="14"/>
      <c r="Q1191" s="14"/>
      <c r="R1191" s="14" t="s">
        <v>1802</v>
      </c>
    </row>
    <row r="1192" spans="1:18" ht="15" customHeight="1">
      <c r="A1192" s="12">
        <v>1989</v>
      </c>
      <c r="B1192" s="13" t="s">
        <v>1912</v>
      </c>
      <c r="C1192" s="14"/>
      <c r="D1192" s="14" t="s">
        <v>1910</v>
      </c>
      <c r="E1192" s="14" t="s">
        <v>21</v>
      </c>
      <c r="F1192" s="15" t="s">
        <v>22</v>
      </c>
      <c r="G1192" s="14"/>
      <c r="H1192" s="58">
        <v>0</v>
      </c>
      <c r="I1192" s="14"/>
      <c r="J1192" s="14" t="s">
        <v>23</v>
      </c>
      <c r="K1192" s="14"/>
      <c r="L1192" s="14"/>
      <c r="M1192" s="14" t="s">
        <v>32</v>
      </c>
      <c r="N1192" s="22"/>
      <c r="O1192" s="14"/>
      <c r="P1192" s="14"/>
      <c r="Q1192" s="14"/>
      <c r="R1192" s="14"/>
    </row>
    <row r="1193" spans="1:18" ht="15" customHeight="1">
      <c r="A1193" s="12">
        <v>427</v>
      </c>
      <c r="B1193" s="13" t="s">
        <v>1913</v>
      </c>
      <c r="C1193" s="14"/>
      <c r="D1193" s="14" t="s">
        <v>1914</v>
      </c>
      <c r="E1193" s="14" t="s">
        <v>21</v>
      </c>
      <c r="F1193" s="15" t="s">
        <v>22</v>
      </c>
      <c r="G1193" s="14"/>
      <c r="H1193" s="58"/>
      <c r="I1193" s="14"/>
      <c r="J1193" s="14" t="s">
        <v>23</v>
      </c>
      <c r="K1193" s="14"/>
      <c r="L1193" s="14"/>
      <c r="M1193" s="14" t="s">
        <v>1537</v>
      </c>
      <c r="N1193" s="14" t="s">
        <v>25</v>
      </c>
      <c r="O1193" s="14"/>
      <c r="P1193" s="14"/>
      <c r="Q1193" s="14"/>
      <c r="R1193" s="14" t="s">
        <v>1809</v>
      </c>
    </row>
    <row r="1194" spans="1:18" ht="15" customHeight="1">
      <c r="A1194" s="12">
        <v>1203</v>
      </c>
      <c r="B1194" s="13" t="s">
        <v>1915</v>
      </c>
      <c r="C1194" s="14"/>
      <c r="D1194" s="14" t="s">
        <v>1914</v>
      </c>
      <c r="E1194" s="14" t="s">
        <v>21</v>
      </c>
      <c r="F1194" s="15" t="s">
        <v>22</v>
      </c>
      <c r="G1194" s="21"/>
      <c r="H1194" s="58"/>
      <c r="I1194" s="14"/>
      <c r="J1194" s="14" t="s">
        <v>23</v>
      </c>
      <c r="K1194" s="14"/>
      <c r="L1194" s="14"/>
      <c r="M1194" s="14" t="s">
        <v>1534</v>
      </c>
      <c r="N1194" s="14" t="s">
        <v>25</v>
      </c>
      <c r="O1194" s="14"/>
      <c r="P1194" s="14"/>
      <c r="Q1194" s="14"/>
      <c r="R1194" s="14" t="s">
        <v>1802</v>
      </c>
    </row>
    <row r="1195" spans="1:18" ht="15" customHeight="1">
      <c r="A1195" s="12">
        <v>1990</v>
      </c>
      <c r="B1195" s="13" t="s">
        <v>1916</v>
      </c>
      <c r="C1195" s="14"/>
      <c r="D1195" s="14" t="s">
        <v>1914</v>
      </c>
      <c r="E1195" s="14" t="s">
        <v>21</v>
      </c>
      <c r="F1195" s="15" t="s">
        <v>22</v>
      </c>
      <c r="G1195" s="14"/>
      <c r="H1195" s="58">
        <v>0</v>
      </c>
      <c r="I1195" s="14"/>
      <c r="J1195" s="14" t="s">
        <v>23</v>
      </c>
      <c r="K1195" s="14"/>
      <c r="L1195" s="14"/>
      <c r="M1195" s="14" t="s">
        <v>32</v>
      </c>
      <c r="N1195" s="22"/>
      <c r="O1195" s="14"/>
      <c r="P1195" s="14"/>
      <c r="Q1195" s="14"/>
      <c r="R1195" s="14"/>
    </row>
    <row r="1196" spans="1:18" ht="15" customHeight="1">
      <c r="A1196" s="12">
        <v>428</v>
      </c>
      <c r="B1196" s="13" t="s">
        <v>1917</v>
      </c>
      <c r="C1196" s="14"/>
      <c r="D1196" s="14" t="s">
        <v>1918</v>
      </c>
      <c r="E1196" s="14" t="s">
        <v>44</v>
      </c>
      <c r="F1196" s="15" t="s">
        <v>22</v>
      </c>
      <c r="G1196" s="14"/>
      <c r="H1196" s="58"/>
      <c r="I1196" s="14"/>
      <c r="J1196" s="14" t="s">
        <v>23</v>
      </c>
      <c r="K1196" s="14"/>
      <c r="L1196" s="14"/>
      <c r="M1196" s="14" t="s">
        <v>1537</v>
      </c>
      <c r="N1196" s="14" t="s">
        <v>25</v>
      </c>
      <c r="O1196" s="14"/>
      <c r="P1196" s="14"/>
      <c r="Q1196" s="14"/>
      <c r="R1196" s="14" t="s">
        <v>1809</v>
      </c>
    </row>
    <row r="1197" spans="1:18" ht="15" customHeight="1">
      <c r="A1197" s="12">
        <v>1204</v>
      </c>
      <c r="B1197" s="13" t="s">
        <v>1919</v>
      </c>
      <c r="C1197" s="14"/>
      <c r="D1197" s="14" t="s">
        <v>1918</v>
      </c>
      <c r="E1197" s="14" t="s">
        <v>44</v>
      </c>
      <c r="F1197" s="15" t="s">
        <v>22</v>
      </c>
      <c r="G1197" s="21"/>
      <c r="H1197" s="58">
        <v>1</v>
      </c>
      <c r="I1197" s="14"/>
      <c r="J1197" s="14" t="s">
        <v>23</v>
      </c>
      <c r="K1197" s="14"/>
      <c r="L1197" s="14"/>
      <c r="M1197" s="14" t="s">
        <v>1534</v>
      </c>
      <c r="N1197" s="14" t="s">
        <v>25</v>
      </c>
      <c r="O1197" s="14"/>
      <c r="P1197" s="14"/>
      <c r="Q1197" s="14"/>
      <c r="R1197" s="14" t="s">
        <v>1802</v>
      </c>
    </row>
    <row r="1198" spans="1:18" ht="15" customHeight="1">
      <c r="A1198" s="12">
        <v>1991</v>
      </c>
      <c r="B1198" s="13" t="s">
        <v>1920</v>
      </c>
      <c r="C1198" s="14"/>
      <c r="D1198" s="14" t="s">
        <v>1918</v>
      </c>
      <c r="E1198" s="14" t="s">
        <v>44</v>
      </c>
      <c r="F1198" s="15" t="s">
        <v>22</v>
      </c>
      <c r="G1198" s="14"/>
      <c r="H1198" s="58">
        <v>0</v>
      </c>
      <c r="I1198" s="14"/>
      <c r="J1198" s="14" t="s">
        <v>23</v>
      </c>
      <c r="K1198" s="14"/>
      <c r="L1198" s="14"/>
      <c r="M1198" s="14" t="s">
        <v>32</v>
      </c>
      <c r="N1198" s="22"/>
      <c r="O1198" s="14"/>
      <c r="P1198" s="14"/>
      <c r="Q1198" s="14"/>
      <c r="R1198" s="14"/>
    </row>
    <row r="1199" spans="1:18" ht="15" customHeight="1">
      <c r="A1199" s="12">
        <v>429</v>
      </c>
      <c r="B1199" s="13" t="s">
        <v>1921</v>
      </c>
      <c r="C1199" s="14"/>
      <c r="D1199" s="14" t="s">
        <v>1922</v>
      </c>
      <c r="E1199" s="14" t="s">
        <v>137</v>
      </c>
      <c r="F1199" s="15" t="s">
        <v>22</v>
      </c>
      <c r="G1199" s="14"/>
      <c r="H1199" s="58"/>
      <c r="I1199" s="14"/>
      <c r="J1199" s="14" t="s">
        <v>23</v>
      </c>
      <c r="K1199" s="14"/>
      <c r="L1199" s="14"/>
      <c r="M1199" s="14" t="s">
        <v>1537</v>
      </c>
      <c r="N1199" s="14" t="s">
        <v>25</v>
      </c>
      <c r="O1199" s="14"/>
      <c r="P1199" s="14"/>
      <c r="Q1199" s="14"/>
      <c r="R1199" s="14" t="s">
        <v>1809</v>
      </c>
    </row>
    <row r="1200" spans="1:18" ht="15" customHeight="1">
      <c r="A1200" s="12">
        <v>1205</v>
      </c>
      <c r="B1200" s="13" t="s">
        <v>1923</v>
      </c>
      <c r="C1200" s="14"/>
      <c r="D1200" s="14" t="s">
        <v>1922</v>
      </c>
      <c r="E1200" s="14" t="s">
        <v>137</v>
      </c>
      <c r="F1200" s="15" t="s">
        <v>22</v>
      </c>
      <c r="G1200" s="21"/>
      <c r="H1200" s="58"/>
      <c r="I1200" s="14"/>
      <c r="J1200" s="14" t="s">
        <v>23</v>
      </c>
      <c r="K1200" s="14"/>
      <c r="L1200" s="14"/>
      <c r="M1200" s="14" t="s">
        <v>1534</v>
      </c>
      <c r="N1200" s="25" t="s">
        <v>37</v>
      </c>
      <c r="O1200" s="14" t="s">
        <v>1924</v>
      </c>
      <c r="P1200" s="14"/>
      <c r="Q1200" s="14"/>
      <c r="R1200" s="14" t="s">
        <v>1802</v>
      </c>
    </row>
    <row r="1201" spans="1:1027" ht="15" customHeight="1">
      <c r="A1201" s="12">
        <v>1992</v>
      </c>
      <c r="B1201" s="13" t="s">
        <v>1925</v>
      </c>
      <c r="C1201" s="14"/>
      <c r="D1201" s="14" t="s">
        <v>1922</v>
      </c>
      <c r="E1201" s="14" t="s">
        <v>137</v>
      </c>
      <c r="F1201" s="15" t="s">
        <v>22</v>
      </c>
      <c r="G1201" s="14"/>
      <c r="H1201" s="58">
        <v>1</v>
      </c>
      <c r="I1201" s="14"/>
      <c r="J1201" s="14" t="s">
        <v>23</v>
      </c>
      <c r="K1201" s="14"/>
      <c r="L1201" s="14"/>
      <c r="M1201" s="14" t="s">
        <v>32</v>
      </c>
      <c r="N1201" s="22"/>
      <c r="O1201" s="14"/>
      <c r="P1201" s="14"/>
      <c r="Q1201" s="14"/>
      <c r="R1201" s="14"/>
    </row>
    <row r="1202" spans="1:1027" ht="15" customHeight="1">
      <c r="A1202" s="12">
        <v>26</v>
      </c>
      <c r="B1202" s="13" t="s">
        <v>1926</v>
      </c>
      <c r="C1202" s="14"/>
      <c r="D1202" s="14" t="s">
        <v>1927</v>
      </c>
      <c r="E1202" s="14" t="s">
        <v>21</v>
      </c>
      <c r="F1202" s="15" t="s">
        <v>22</v>
      </c>
      <c r="G1202" s="14"/>
      <c r="H1202" s="58"/>
      <c r="I1202" s="14"/>
      <c r="J1202" s="14" t="s">
        <v>23</v>
      </c>
      <c r="K1202" s="15"/>
      <c r="L1202" s="15"/>
      <c r="M1202" s="14" t="s">
        <v>24</v>
      </c>
      <c r="N1202" s="14" t="s">
        <v>25</v>
      </c>
      <c r="O1202" s="14"/>
      <c r="P1202" s="14"/>
      <c r="Q1202" s="14"/>
      <c r="R1202" s="17">
        <v>43599</v>
      </c>
      <c r="S1202" s="12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  <c r="IW1202" s="3"/>
      <c r="IX1202" s="3"/>
      <c r="IY1202" s="3"/>
      <c r="IZ1202" s="3"/>
      <c r="JA1202" s="3"/>
      <c r="JB1202" s="3"/>
      <c r="JC1202" s="3"/>
      <c r="JD1202" s="3"/>
      <c r="JE1202" s="3"/>
      <c r="JF1202" s="3"/>
      <c r="JG1202" s="3"/>
      <c r="JH1202" s="3"/>
      <c r="JI1202" s="3"/>
      <c r="JJ1202" s="3"/>
      <c r="JK1202" s="3"/>
      <c r="JL1202" s="3"/>
      <c r="JM1202" s="3"/>
      <c r="JN1202" s="3"/>
      <c r="JO1202" s="3"/>
      <c r="JP1202" s="3"/>
      <c r="JQ1202" s="3"/>
      <c r="JR1202" s="3"/>
      <c r="JS1202" s="3"/>
      <c r="JT1202" s="3"/>
      <c r="JU1202" s="3"/>
      <c r="JV1202" s="3"/>
      <c r="JW1202" s="3"/>
      <c r="JX1202" s="3"/>
      <c r="JY1202" s="3"/>
      <c r="JZ1202" s="3"/>
      <c r="KA1202" s="3"/>
      <c r="KB1202" s="3"/>
      <c r="KC1202" s="3"/>
      <c r="KD1202" s="3"/>
      <c r="KE1202" s="3"/>
      <c r="KF1202" s="3"/>
      <c r="KG1202" s="3"/>
      <c r="KH1202" s="3"/>
      <c r="KI1202" s="3"/>
      <c r="KJ1202" s="3"/>
      <c r="KK1202" s="3"/>
      <c r="KL1202" s="3"/>
      <c r="KM1202" s="3"/>
      <c r="KN1202" s="3"/>
      <c r="KO1202" s="3"/>
      <c r="KP1202" s="3"/>
      <c r="KQ1202" s="3"/>
      <c r="KR1202" s="3"/>
      <c r="KS1202" s="3"/>
      <c r="KT1202" s="3"/>
      <c r="KU1202" s="3"/>
      <c r="KV1202" s="3"/>
      <c r="KW1202" s="3"/>
      <c r="KX1202" s="3"/>
      <c r="KY1202" s="3"/>
      <c r="KZ1202" s="3"/>
      <c r="LA1202" s="3"/>
      <c r="LB1202" s="3"/>
      <c r="LC1202" s="3"/>
      <c r="LD1202" s="3"/>
      <c r="LE1202" s="3"/>
      <c r="LF1202" s="3"/>
      <c r="LG1202" s="3"/>
      <c r="LH1202" s="3"/>
      <c r="LI1202" s="3"/>
      <c r="LJ1202" s="3"/>
      <c r="LK1202" s="3"/>
      <c r="LL1202" s="3"/>
      <c r="LM1202" s="3"/>
      <c r="LN1202" s="3"/>
      <c r="LO1202" s="3"/>
      <c r="LP1202" s="3"/>
      <c r="LQ1202" s="3"/>
      <c r="LR1202" s="3"/>
      <c r="LS1202" s="3"/>
      <c r="LT1202" s="3"/>
      <c r="LU1202" s="3"/>
      <c r="LV1202" s="3"/>
      <c r="LW1202" s="3"/>
      <c r="LX1202" s="3"/>
      <c r="LY1202" s="3"/>
      <c r="LZ1202" s="3"/>
      <c r="MA1202" s="3"/>
      <c r="MB1202" s="3"/>
      <c r="MC1202" s="3"/>
      <c r="MD1202" s="3"/>
      <c r="ME1202" s="3"/>
      <c r="MF1202" s="3"/>
      <c r="MG1202" s="3"/>
      <c r="MH1202" s="3"/>
      <c r="MI1202" s="3"/>
      <c r="MJ1202" s="3"/>
      <c r="MK1202" s="3"/>
      <c r="ML1202" s="3"/>
      <c r="MM1202" s="3"/>
      <c r="MN1202" s="3"/>
      <c r="MO1202" s="3"/>
      <c r="MP1202" s="3"/>
      <c r="MQ1202" s="3"/>
      <c r="MR1202" s="3"/>
      <c r="MS1202" s="3"/>
      <c r="MT1202" s="3"/>
      <c r="MU1202" s="3"/>
      <c r="MV1202" s="3"/>
      <c r="MW1202" s="3"/>
      <c r="MX1202" s="3"/>
      <c r="MY1202" s="3"/>
      <c r="MZ1202" s="3"/>
      <c r="NA1202" s="3"/>
      <c r="NB1202" s="3"/>
      <c r="NC1202" s="3"/>
      <c r="ND1202" s="3"/>
      <c r="NE1202" s="3"/>
      <c r="NF1202" s="3"/>
      <c r="NG1202" s="3"/>
      <c r="NH1202" s="3"/>
      <c r="NI1202" s="3"/>
      <c r="NJ1202" s="3"/>
      <c r="NK1202" s="3"/>
      <c r="NL1202" s="3"/>
      <c r="NM1202" s="3"/>
      <c r="NN1202" s="3"/>
      <c r="NO1202" s="3"/>
      <c r="NP1202" s="3"/>
      <c r="NQ1202" s="3"/>
      <c r="NR1202" s="3"/>
      <c r="NS1202" s="3"/>
      <c r="NT1202" s="3"/>
      <c r="NU1202" s="3"/>
      <c r="NV1202" s="3"/>
      <c r="NW1202" s="3"/>
      <c r="NX1202" s="3"/>
      <c r="NY1202" s="3"/>
      <c r="NZ1202" s="3"/>
      <c r="OA1202" s="3"/>
      <c r="OB1202" s="3"/>
      <c r="OC1202" s="3"/>
      <c r="OD1202" s="3"/>
      <c r="OE1202" s="3"/>
      <c r="OF1202" s="3"/>
      <c r="OG1202" s="3"/>
      <c r="OH1202" s="3"/>
      <c r="OI1202" s="3"/>
      <c r="OJ1202" s="3"/>
      <c r="OK1202" s="3"/>
      <c r="OL1202" s="3"/>
      <c r="OM1202" s="3"/>
      <c r="ON1202" s="3"/>
      <c r="OO1202" s="3"/>
      <c r="OP1202" s="3"/>
      <c r="OQ1202" s="3"/>
      <c r="OR1202" s="3"/>
      <c r="OS1202" s="3"/>
      <c r="OT1202" s="3"/>
      <c r="OU1202" s="3"/>
      <c r="OV1202" s="3"/>
      <c r="OW1202" s="3"/>
      <c r="OX1202" s="3"/>
      <c r="OY1202" s="3"/>
      <c r="OZ1202" s="3"/>
      <c r="PA1202" s="3"/>
      <c r="PB1202" s="3"/>
      <c r="PC1202" s="3"/>
      <c r="PD1202" s="3"/>
      <c r="PE1202" s="3"/>
      <c r="PF1202" s="3"/>
      <c r="PG1202" s="3"/>
      <c r="PH1202" s="3"/>
      <c r="PI1202" s="3"/>
      <c r="PJ1202" s="3"/>
      <c r="PK1202" s="3"/>
      <c r="PL1202" s="3"/>
      <c r="PM1202" s="3"/>
      <c r="PN1202" s="3"/>
      <c r="PO1202" s="3"/>
      <c r="PP1202" s="3"/>
      <c r="PQ1202" s="3"/>
      <c r="PR1202" s="3"/>
      <c r="PS1202" s="3"/>
      <c r="PT1202" s="3"/>
      <c r="PU1202" s="3"/>
      <c r="PV1202" s="3"/>
      <c r="PW1202" s="3"/>
      <c r="PX1202" s="3"/>
      <c r="PY1202" s="3"/>
      <c r="PZ1202" s="3"/>
      <c r="QA1202" s="3"/>
      <c r="QB1202" s="3"/>
      <c r="QC1202" s="3"/>
      <c r="QD1202" s="3"/>
      <c r="QE1202" s="3"/>
      <c r="QF1202" s="3"/>
      <c r="QG1202" s="3"/>
      <c r="QH1202" s="3"/>
      <c r="QI1202" s="3"/>
      <c r="QJ1202" s="3"/>
      <c r="QK1202" s="3"/>
      <c r="QL1202" s="3"/>
      <c r="QM1202" s="3"/>
      <c r="QN1202" s="3"/>
      <c r="QO1202" s="3"/>
      <c r="QP1202" s="3"/>
      <c r="QQ1202" s="3"/>
      <c r="QR1202" s="3"/>
      <c r="QS1202" s="3"/>
      <c r="QT1202" s="3"/>
      <c r="QU1202" s="3"/>
      <c r="QV1202" s="3"/>
      <c r="QW1202" s="3"/>
      <c r="QX1202" s="3"/>
      <c r="QY1202" s="3"/>
      <c r="QZ1202" s="3"/>
      <c r="RA1202" s="3"/>
      <c r="RB1202" s="3"/>
      <c r="RC1202" s="3"/>
      <c r="RD1202" s="3"/>
      <c r="RE1202" s="3"/>
      <c r="RF1202" s="3"/>
      <c r="RG1202" s="3"/>
      <c r="RH1202" s="3"/>
      <c r="RI1202" s="3"/>
      <c r="RJ1202" s="3"/>
      <c r="RK1202" s="3"/>
      <c r="RL1202" s="3"/>
      <c r="RM1202" s="3"/>
      <c r="RN1202" s="3"/>
      <c r="RO1202" s="3"/>
      <c r="RP1202" s="3"/>
      <c r="RQ1202" s="3"/>
      <c r="RR1202" s="3"/>
      <c r="RS1202" s="3"/>
      <c r="RT1202" s="3"/>
      <c r="RU1202" s="3"/>
      <c r="RV1202" s="3"/>
      <c r="RW1202" s="3"/>
      <c r="RX1202" s="3"/>
      <c r="RY1202" s="3"/>
      <c r="RZ1202" s="3"/>
      <c r="SA1202" s="3"/>
      <c r="SB1202" s="3"/>
      <c r="SC1202" s="3"/>
      <c r="SD1202" s="3"/>
      <c r="SE1202" s="3"/>
      <c r="SF1202" s="3"/>
      <c r="SG1202" s="3"/>
      <c r="SH1202" s="3"/>
      <c r="SI1202" s="3"/>
      <c r="SJ1202" s="3"/>
      <c r="SK1202" s="3"/>
      <c r="SL1202" s="3"/>
      <c r="SM1202" s="3"/>
      <c r="SN1202" s="3"/>
      <c r="SO1202" s="3"/>
      <c r="SP1202" s="3"/>
      <c r="SQ1202" s="3"/>
      <c r="SR1202" s="3"/>
      <c r="SS1202" s="3"/>
      <c r="ST1202" s="3"/>
      <c r="SU1202" s="3"/>
      <c r="SV1202" s="3"/>
      <c r="SW1202" s="3"/>
      <c r="SX1202" s="3"/>
      <c r="SY1202" s="3"/>
      <c r="SZ1202" s="3"/>
      <c r="TA1202" s="3"/>
      <c r="TB1202" s="3"/>
      <c r="TC1202" s="3"/>
      <c r="TD1202" s="3"/>
      <c r="TE1202" s="3"/>
      <c r="TF1202" s="3"/>
      <c r="TG1202" s="3"/>
      <c r="TH1202" s="3"/>
      <c r="TI1202" s="3"/>
      <c r="TJ1202" s="3"/>
      <c r="TK1202" s="3"/>
      <c r="TL1202" s="3"/>
      <c r="TM1202" s="3"/>
      <c r="TN1202" s="3"/>
      <c r="TO1202" s="3"/>
      <c r="TP1202" s="3"/>
      <c r="TQ1202" s="3"/>
      <c r="TR1202" s="3"/>
      <c r="TS1202" s="3"/>
      <c r="TT1202" s="3"/>
      <c r="TU1202" s="3"/>
      <c r="TV1202" s="3"/>
      <c r="TW1202" s="3"/>
      <c r="TX1202" s="3"/>
      <c r="TY1202" s="3"/>
      <c r="TZ1202" s="3"/>
      <c r="UA1202" s="3"/>
      <c r="UB1202" s="3"/>
      <c r="UC1202" s="3"/>
      <c r="UD1202" s="3"/>
      <c r="UE1202" s="3"/>
      <c r="UF1202" s="3"/>
      <c r="UG1202" s="3"/>
      <c r="UH1202" s="3"/>
      <c r="UI1202" s="3"/>
      <c r="UJ1202" s="3"/>
      <c r="UK1202" s="3"/>
      <c r="UL1202" s="3"/>
      <c r="UM1202" s="3"/>
      <c r="UN1202" s="3"/>
      <c r="UO1202" s="3"/>
      <c r="UP1202" s="3"/>
      <c r="UQ1202" s="3"/>
      <c r="UR1202" s="3"/>
      <c r="US1202" s="3"/>
      <c r="UT1202" s="3"/>
      <c r="UU1202" s="3"/>
      <c r="UV1202" s="3"/>
      <c r="UW1202" s="3"/>
      <c r="UX1202" s="3"/>
      <c r="UY1202" s="3"/>
      <c r="UZ1202" s="3"/>
      <c r="VA1202" s="3"/>
      <c r="VB1202" s="3"/>
      <c r="VC1202" s="3"/>
      <c r="VD1202" s="3"/>
      <c r="VE1202" s="3"/>
      <c r="VF1202" s="3"/>
      <c r="VG1202" s="3"/>
      <c r="VH1202" s="3"/>
      <c r="VI1202" s="3"/>
      <c r="VJ1202" s="3"/>
      <c r="VK1202" s="3"/>
      <c r="VL1202" s="3"/>
      <c r="VM1202" s="3"/>
      <c r="VN1202" s="3"/>
      <c r="VO1202" s="3"/>
      <c r="VP1202" s="3"/>
      <c r="VQ1202" s="3"/>
      <c r="VR1202" s="3"/>
      <c r="VS1202" s="3"/>
      <c r="VT1202" s="3"/>
      <c r="VU1202" s="3"/>
      <c r="VV1202" s="3"/>
      <c r="VW1202" s="3"/>
      <c r="VX1202" s="3"/>
      <c r="VY1202" s="3"/>
      <c r="VZ1202" s="3"/>
      <c r="WA1202" s="3"/>
      <c r="WB1202" s="3"/>
      <c r="WC1202" s="3"/>
      <c r="WD1202" s="3"/>
      <c r="WE1202" s="3"/>
      <c r="WF1202" s="3"/>
      <c r="WG1202" s="3"/>
      <c r="WH1202" s="3"/>
      <c r="WI1202" s="3"/>
      <c r="WJ1202" s="3"/>
      <c r="WK1202" s="3"/>
      <c r="WL1202" s="3"/>
      <c r="WM1202" s="3"/>
      <c r="WN1202" s="3"/>
      <c r="WO1202" s="3"/>
      <c r="WP1202" s="3"/>
      <c r="WQ1202" s="3"/>
      <c r="WR1202" s="3"/>
      <c r="WS1202" s="3"/>
      <c r="WT1202" s="3"/>
      <c r="WU1202" s="3"/>
      <c r="WV1202" s="3"/>
      <c r="WW1202" s="3"/>
      <c r="WX1202" s="3"/>
      <c r="WY1202" s="3"/>
      <c r="WZ1202" s="3"/>
      <c r="XA1202" s="3"/>
      <c r="XB1202" s="3"/>
      <c r="XC1202" s="3"/>
      <c r="XD1202" s="3"/>
      <c r="XE1202" s="3"/>
      <c r="XF1202" s="3"/>
      <c r="XG1202" s="3"/>
      <c r="XH1202" s="3"/>
      <c r="XI1202" s="3"/>
      <c r="XJ1202" s="3"/>
      <c r="XK1202" s="3"/>
      <c r="XL1202" s="3"/>
      <c r="XM1202" s="3"/>
      <c r="XN1202" s="3"/>
      <c r="XO1202" s="3"/>
      <c r="XP1202" s="3"/>
      <c r="XQ1202" s="3"/>
      <c r="XR1202" s="3"/>
      <c r="XS1202" s="3"/>
      <c r="XT1202" s="3"/>
      <c r="XU1202" s="3"/>
      <c r="XV1202" s="3"/>
      <c r="XW1202" s="3"/>
      <c r="XX1202" s="3"/>
      <c r="XY1202" s="3"/>
      <c r="XZ1202" s="3"/>
      <c r="YA1202" s="3"/>
      <c r="YB1202" s="3"/>
      <c r="YC1202" s="3"/>
      <c r="YD1202" s="3"/>
      <c r="YE1202" s="3"/>
      <c r="YF1202" s="3"/>
      <c r="YG1202" s="3"/>
      <c r="YH1202" s="3"/>
      <c r="YI1202" s="3"/>
      <c r="YJ1202" s="3"/>
      <c r="YK1202" s="3"/>
      <c r="YL1202" s="3"/>
      <c r="YM1202" s="3"/>
      <c r="YN1202" s="3"/>
      <c r="YO1202" s="3"/>
      <c r="YP1202" s="3"/>
      <c r="YQ1202" s="3"/>
      <c r="YR1202" s="3"/>
      <c r="YS1202" s="3"/>
      <c r="YT1202" s="3"/>
      <c r="YU1202" s="3"/>
      <c r="YV1202" s="3"/>
      <c r="YW1202" s="3"/>
      <c r="YX1202" s="3"/>
      <c r="YY1202" s="3"/>
      <c r="YZ1202" s="3"/>
      <c r="ZA1202" s="3"/>
      <c r="ZB1202" s="3"/>
      <c r="ZC1202" s="3"/>
      <c r="ZD1202" s="3"/>
      <c r="ZE1202" s="3"/>
      <c r="ZF1202" s="3"/>
      <c r="ZG1202" s="3"/>
      <c r="ZH1202" s="3"/>
      <c r="ZI1202" s="3"/>
      <c r="ZJ1202" s="3"/>
      <c r="ZK1202" s="3"/>
      <c r="ZL1202" s="3"/>
      <c r="ZM1202" s="3"/>
      <c r="ZN1202" s="3"/>
      <c r="ZO1202" s="3"/>
      <c r="ZP1202" s="3"/>
      <c r="ZQ1202" s="3"/>
      <c r="ZR1202" s="3"/>
      <c r="ZS1202" s="3"/>
      <c r="ZT1202" s="3"/>
      <c r="ZU1202" s="3"/>
      <c r="ZV1202" s="3"/>
      <c r="ZW1202" s="3"/>
      <c r="ZX1202" s="3"/>
      <c r="ZY1202" s="3"/>
      <c r="ZZ1202" s="3"/>
      <c r="AAA1202" s="3"/>
      <c r="AAB1202" s="3"/>
      <c r="AAC1202" s="3"/>
      <c r="AAD1202" s="3"/>
      <c r="AAE1202" s="3"/>
      <c r="AAF1202" s="3"/>
      <c r="AAG1202" s="3"/>
      <c r="AAH1202" s="3"/>
      <c r="AAI1202" s="3"/>
      <c r="AAJ1202" s="3"/>
      <c r="AAK1202" s="3"/>
      <c r="AAL1202" s="3"/>
      <c r="AAM1202" s="3"/>
      <c r="AAN1202" s="3"/>
      <c r="AAO1202" s="3"/>
      <c r="AAP1202" s="3"/>
      <c r="AAQ1202" s="3"/>
      <c r="AAR1202" s="3"/>
      <c r="AAS1202" s="3"/>
      <c r="AAT1202" s="3"/>
      <c r="AAU1202" s="3"/>
      <c r="AAV1202" s="3"/>
      <c r="AAW1202" s="3"/>
      <c r="AAX1202" s="3"/>
      <c r="AAY1202" s="3"/>
      <c r="AAZ1202" s="3"/>
      <c r="ABA1202" s="3"/>
      <c r="ABB1202" s="3"/>
      <c r="ABC1202" s="3"/>
      <c r="ABD1202" s="3"/>
      <c r="ABE1202" s="3"/>
      <c r="ABF1202" s="3"/>
      <c r="ABG1202" s="3"/>
      <c r="ABH1202" s="3"/>
      <c r="ABI1202" s="3"/>
      <c r="ABJ1202" s="3"/>
      <c r="ABK1202" s="3"/>
      <c r="ABL1202" s="3"/>
      <c r="ABM1202" s="3"/>
      <c r="ABN1202" s="3"/>
      <c r="ABO1202" s="3"/>
      <c r="ABP1202" s="3"/>
      <c r="ABQ1202" s="3"/>
      <c r="ABR1202" s="3"/>
      <c r="ABS1202" s="3"/>
      <c r="ABT1202" s="3"/>
      <c r="ABU1202" s="3"/>
      <c r="ABV1202" s="3"/>
      <c r="ABW1202" s="3"/>
      <c r="ABX1202" s="3"/>
      <c r="ABY1202" s="3"/>
      <c r="ABZ1202" s="3"/>
      <c r="ACA1202" s="3"/>
      <c r="ACB1202" s="3"/>
      <c r="ACC1202" s="3"/>
      <c r="ACD1202" s="3"/>
      <c r="ACE1202" s="3"/>
      <c r="ACF1202" s="3"/>
      <c r="ACG1202" s="3"/>
      <c r="ACH1202" s="3"/>
      <c r="ACI1202" s="3"/>
      <c r="ACJ1202" s="3"/>
      <c r="ACK1202" s="3"/>
      <c r="ACL1202" s="3"/>
      <c r="ACM1202" s="3"/>
      <c r="ACN1202" s="3"/>
      <c r="ACO1202" s="3"/>
      <c r="ACP1202" s="3"/>
      <c r="ACQ1202" s="3"/>
      <c r="ACR1202" s="3"/>
      <c r="ACS1202" s="3"/>
      <c r="ACT1202" s="3"/>
      <c r="ACU1202" s="3"/>
      <c r="ACV1202" s="3"/>
      <c r="ACW1202" s="3"/>
      <c r="ACX1202" s="3"/>
      <c r="ACY1202" s="3"/>
      <c r="ACZ1202" s="3"/>
      <c r="ADA1202" s="3"/>
      <c r="ADB1202" s="3"/>
      <c r="ADC1202" s="3"/>
      <c r="ADD1202" s="3"/>
      <c r="ADE1202" s="3"/>
      <c r="ADF1202" s="3"/>
      <c r="ADG1202" s="3"/>
      <c r="ADH1202" s="3"/>
      <c r="ADI1202" s="3"/>
      <c r="ADJ1202" s="3"/>
      <c r="ADK1202" s="3"/>
      <c r="ADL1202" s="3"/>
      <c r="ADM1202" s="3"/>
      <c r="ADN1202" s="3"/>
      <c r="ADO1202" s="3"/>
      <c r="ADP1202" s="3"/>
      <c r="ADQ1202" s="3"/>
      <c r="ADR1202" s="3"/>
      <c r="ADS1202" s="3"/>
      <c r="ADT1202" s="3"/>
      <c r="ADU1202" s="3"/>
      <c r="ADV1202" s="3"/>
      <c r="ADW1202" s="3"/>
      <c r="ADX1202" s="3"/>
      <c r="ADY1202" s="3"/>
      <c r="ADZ1202" s="3"/>
      <c r="AEA1202" s="3"/>
      <c r="AEB1202" s="3"/>
      <c r="AEC1202" s="3"/>
      <c r="AED1202" s="3"/>
      <c r="AEE1202" s="3"/>
      <c r="AEF1202" s="3"/>
      <c r="AEG1202" s="3"/>
      <c r="AEH1202" s="3"/>
      <c r="AEI1202" s="3"/>
      <c r="AEJ1202" s="3"/>
      <c r="AEK1202" s="3"/>
      <c r="AEL1202" s="3"/>
      <c r="AEM1202" s="3"/>
      <c r="AEN1202" s="3"/>
      <c r="AEO1202" s="3"/>
      <c r="AEP1202" s="3"/>
      <c r="AEQ1202" s="3"/>
      <c r="AER1202" s="3"/>
      <c r="AES1202" s="3"/>
      <c r="AET1202" s="3"/>
      <c r="AEU1202" s="3"/>
      <c r="AEV1202" s="3"/>
      <c r="AEW1202" s="3"/>
      <c r="AEX1202" s="3"/>
      <c r="AEY1202" s="3"/>
      <c r="AEZ1202" s="3"/>
      <c r="AFA1202" s="3"/>
      <c r="AFB1202" s="3"/>
      <c r="AFC1202" s="3"/>
      <c r="AFD1202" s="3"/>
      <c r="AFE1202" s="3"/>
      <c r="AFF1202" s="3"/>
      <c r="AFG1202" s="3"/>
      <c r="AFH1202" s="3"/>
      <c r="AFI1202" s="3"/>
      <c r="AFJ1202" s="3"/>
      <c r="AFK1202" s="3"/>
      <c r="AFL1202" s="3"/>
      <c r="AFM1202" s="3"/>
      <c r="AFN1202" s="3"/>
      <c r="AFO1202" s="3"/>
      <c r="AFP1202" s="3"/>
      <c r="AFQ1202" s="3"/>
      <c r="AFR1202" s="3"/>
      <c r="AFS1202" s="3"/>
      <c r="AFT1202" s="3"/>
      <c r="AFU1202" s="3"/>
      <c r="AFV1202" s="3"/>
      <c r="AFW1202" s="3"/>
      <c r="AFX1202" s="3"/>
      <c r="AFY1202" s="3"/>
      <c r="AFZ1202" s="3"/>
      <c r="AGA1202" s="3"/>
      <c r="AGB1202" s="3"/>
      <c r="AGC1202" s="3"/>
      <c r="AGD1202" s="3"/>
      <c r="AGE1202" s="3"/>
      <c r="AGF1202" s="3"/>
      <c r="AGG1202" s="3"/>
      <c r="AGH1202" s="3"/>
      <c r="AGI1202" s="3"/>
      <c r="AGJ1202" s="3"/>
      <c r="AGK1202" s="3"/>
      <c r="AGL1202" s="3"/>
      <c r="AGM1202" s="3"/>
      <c r="AGN1202" s="3"/>
      <c r="AGO1202" s="3"/>
      <c r="AGP1202" s="3"/>
      <c r="AGQ1202" s="3"/>
      <c r="AGR1202" s="3"/>
      <c r="AGS1202" s="3"/>
      <c r="AGT1202" s="3"/>
      <c r="AGU1202" s="3"/>
      <c r="AGV1202" s="3"/>
      <c r="AGW1202" s="3"/>
      <c r="AGX1202" s="3"/>
      <c r="AGY1202" s="3"/>
      <c r="AGZ1202" s="3"/>
      <c r="AHA1202" s="3"/>
      <c r="AHB1202" s="3"/>
      <c r="AHC1202" s="3"/>
      <c r="AHD1202" s="3"/>
      <c r="AHE1202" s="3"/>
      <c r="AHF1202" s="3"/>
      <c r="AHG1202" s="3"/>
      <c r="AHH1202" s="3"/>
      <c r="AHI1202" s="3"/>
      <c r="AHJ1202" s="3"/>
      <c r="AHK1202" s="3"/>
      <c r="AHL1202" s="3"/>
      <c r="AHM1202" s="3"/>
      <c r="AHN1202" s="3"/>
      <c r="AHO1202" s="3"/>
      <c r="AHP1202" s="3"/>
      <c r="AHQ1202" s="3"/>
      <c r="AHR1202" s="3"/>
      <c r="AHS1202" s="3"/>
      <c r="AHT1202" s="3"/>
      <c r="AHU1202" s="3"/>
      <c r="AHV1202" s="3"/>
      <c r="AHW1202" s="3"/>
      <c r="AHX1202" s="3"/>
      <c r="AHY1202" s="3"/>
      <c r="AHZ1202" s="3"/>
      <c r="AIA1202" s="3"/>
      <c r="AIB1202" s="3"/>
      <c r="AIC1202" s="3"/>
      <c r="AID1202" s="3"/>
      <c r="AIE1202" s="3"/>
      <c r="AIF1202" s="3"/>
      <c r="AIG1202" s="3"/>
      <c r="AIH1202" s="3"/>
      <c r="AII1202" s="3"/>
      <c r="AIJ1202" s="3"/>
      <c r="AIK1202" s="3"/>
      <c r="AIL1202" s="3"/>
      <c r="AIM1202" s="3"/>
      <c r="AIN1202" s="3"/>
      <c r="AIO1202" s="3"/>
      <c r="AIP1202" s="3"/>
      <c r="AIQ1202" s="3"/>
      <c r="AIR1202" s="3"/>
      <c r="AIS1202" s="3"/>
      <c r="AIT1202" s="3"/>
      <c r="AIU1202" s="3"/>
      <c r="AIV1202" s="3"/>
      <c r="AIW1202" s="3"/>
      <c r="AIX1202" s="3"/>
      <c r="AIY1202" s="3"/>
      <c r="AIZ1202" s="3"/>
      <c r="AJA1202" s="3"/>
      <c r="AJB1202" s="3"/>
      <c r="AJC1202" s="3"/>
      <c r="AJD1202" s="3"/>
      <c r="AJE1202" s="3"/>
      <c r="AJF1202" s="3"/>
      <c r="AJG1202" s="3"/>
      <c r="AJH1202" s="3"/>
      <c r="AJI1202" s="3"/>
      <c r="AJJ1202" s="3"/>
      <c r="AJK1202" s="3"/>
      <c r="AJL1202" s="3"/>
      <c r="AJM1202" s="3"/>
      <c r="AJN1202" s="3"/>
      <c r="AJO1202" s="3"/>
      <c r="AJP1202" s="3"/>
      <c r="AJQ1202" s="3"/>
      <c r="AJR1202" s="3"/>
      <c r="AJS1202" s="3"/>
      <c r="AJT1202" s="3"/>
      <c r="AJU1202" s="3"/>
      <c r="AJV1202" s="3"/>
      <c r="AJW1202" s="3"/>
      <c r="AJX1202" s="3"/>
      <c r="AJY1202" s="3"/>
      <c r="AJZ1202" s="3"/>
      <c r="AKA1202" s="3"/>
      <c r="AKB1202" s="3"/>
      <c r="AKC1202" s="3"/>
      <c r="AKD1202" s="3"/>
      <c r="AKE1202" s="3"/>
      <c r="AKF1202" s="3"/>
      <c r="AKG1202" s="3"/>
      <c r="AKH1202" s="3"/>
      <c r="AKI1202" s="3"/>
      <c r="AKJ1202" s="3"/>
      <c r="AKK1202" s="3"/>
      <c r="AKL1202" s="3"/>
      <c r="AKM1202" s="3"/>
      <c r="AKN1202" s="3"/>
      <c r="AKO1202" s="3"/>
      <c r="AKP1202" s="3"/>
      <c r="AKQ1202" s="3"/>
      <c r="AKR1202" s="3"/>
      <c r="AKS1202" s="3"/>
      <c r="AKT1202" s="3"/>
      <c r="AKU1202" s="3"/>
      <c r="AKV1202" s="3"/>
      <c r="AKW1202" s="3"/>
      <c r="AKX1202" s="3"/>
      <c r="AKY1202" s="3"/>
      <c r="AKZ1202" s="3"/>
      <c r="ALA1202" s="3"/>
      <c r="ALB1202" s="3"/>
      <c r="ALC1202" s="3"/>
      <c r="ALD1202" s="3"/>
      <c r="ALE1202" s="3"/>
      <c r="ALF1202" s="3"/>
      <c r="ALG1202" s="3"/>
      <c r="ALH1202" s="3"/>
      <c r="ALI1202" s="3"/>
      <c r="ALJ1202" s="3"/>
      <c r="ALK1202" s="3"/>
      <c r="ALL1202" s="3"/>
      <c r="ALM1202" s="3"/>
      <c r="ALN1202" s="3"/>
      <c r="ALO1202" s="3"/>
      <c r="ALP1202" s="3"/>
      <c r="ALQ1202" s="3"/>
      <c r="ALR1202" s="3"/>
      <c r="ALS1202" s="3"/>
      <c r="ALT1202" s="3"/>
      <c r="ALU1202" s="3"/>
      <c r="ALV1202" s="3"/>
      <c r="ALW1202" s="3"/>
      <c r="ALX1202" s="3"/>
      <c r="ALY1202" s="3"/>
      <c r="ALZ1202" s="3"/>
      <c r="AMA1202" s="3"/>
      <c r="AMB1202" s="3"/>
      <c r="AMC1202" s="3"/>
      <c r="AMD1202" s="3"/>
      <c r="AME1202" s="3"/>
      <c r="AMF1202" s="3"/>
      <c r="AMG1202" s="3"/>
      <c r="AMH1202" s="3"/>
      <c r="AMI1202" s="3"/>
      <c r="AMJ1202" s="3"/>
      <c r="AMK1202" s="3"/>
      <c r="AML1202" s="3"/>
      <c r="AMM1202" s="3"/>
    </row>
    <row r="1203" spans="1:1027" ht="15" customHeight="1">
      <c r="A1203" s="12">
        <v>430</v>
      </c>
      <c r="B1203" s="13" t="s">
        <v>1928</v>
      </c>
      <c r="C1203" s="14"/>
      <c r="D1203" s="14" t="s">
        <v>1927</v>
      </c>
      <c r="E1203" s="14" t="s">
        <v>21</v>
      </c>
      <c r="F1203" s="15" t="s">
        <v>22</v>
      </c>
      <c r="G1203" s="21"/>
      <c r="H1203" s="58"/>
      <c r="I1203" s="14"/>
      <c r="J1203" s="14" t="s">
        <v>23</v>
      </c>
      <c r="K1203" s="14"/>
      <c r="L1203" s="14"/>
      <c r="M1203" s="14" t="s">
        <v>1537</v>
      </c>
      <c r="N1203" s="14" t="s">
        <v>25</v>
      </c>
      <c r="O1203" s="14"/>
      <c r="P1203" s="14"/>
      <c r="Q1203" s="14"/>
      <c r="R1203" s="14" t="s">
        <v>1809</v>
      </c>
    </row>
    <row r="1204" spans="1:1027" ht="15" customHeight="1">
      <c r="A1204" s="12">
        <v>1206</v>
      </c>
      <c r="B1204" s="13" t="s">
        <v>1929</v>
      </c>
      <c r="C1204" s="14"/>
      <c r="D1204" s="14" t="s">
        <v>1927</v>
      </c>
      <c r="E1204" s="14" t="s">
        <v>21</v>
      </c>
      <c r="F1204" s="15" t="s">
        <v>22</v>
      </c>
      <c r="G1204" s="21"/>
      <c r="H1204" s="58"/>
      <c r="I1204" s="14"/>
      <c r="J1204" s="14" t="s">
        <v>23</v>
      </c>
      <c r="K1204" s="14"/>
      <c r="L1204" s="14"/>
      <c r="M1204" s="14" t="s">
        <v>1534</v>
      </c>
      <c r="N1204" s="14" t="s">
        <v>25</v>
      </c>
      <c r="O1204" s="14"/>
      <c r="P1204" s="14"/>
      <c r="Q1204" s="14"/>
      <c r="R1204" s="14" t="s">
        <v>1802</v>
      </c>
    </row>
    <row r="1205" spans="1:1027" ht="15" customHeight="1">
      <c r="A1205" s="12">
        <v>1993</v>
      </c>
      <c r="B1205" s="13" t="s">
        <v>1930</v>
      </c>
      <c r="C1205" s="14"/>
      <c r="D1205" s="14" t="s">
        <v>1927</v>
      </c>
      <c r="E1205" s="14" t="s">
        <v>21</v>
      </c>
      <c r="F1205" s="15" t="s">
        <v>22</v>
      </c>
      <c r="G1205" s="14"/>
      <c r="H1205" s="58">
        <v>0</v>
      </c>
      <c r="I1205" s="14"/>
      <c r="J1205" s="14" t="s">
        <v>23</v>
      </c>
      <c r="K1205" s="14"/>
      <c r="L1205" s="14"/>
      <c r="M1205" s="14" t="s">
        <v>32</v>
      </c>
      <c r="N1205" s="22"/>
      <c r="O1205" s="14"/>
      <c r="P1205" s="14"/>
      <c r="Q1205" s="14"/>
      <c r="R1205" s="14"/>
    </row>
    <row r="1206" spans="1:1027" ht="15" customHeight="1">
      <c r="A1206" s="12">
        <v>431</v>
      </c>
      <c r="B1206" s="13" t="s">
        <v>1931</v>
      </c>
      <c r="C1206" s="14"/>
      <c r="D1206" s="14" t="s">
        <v>1932</v>
      </c>
      <c r="E1206" s="14"/>
      <c r="F1206" s="15" t="s">
        <v>22</v>
      </c>
      <c r="G1206" s="21"/>
      <c r="H1206" s="58"/>
      <c r="I1206" s="14"/>
      <c r="J1206" s="14" t="s">
        <v>23</v>
      </c>
      <c r="K1206" s="14"/>
      <c r="L1206" s="14"/>
      <c r="M1206" s="14" t="s">
        <v>1537</v>
      </c>
      <c r="N1206" s="14" t="s">
        <v>25</v>
      </c>
      <c r="O1206" s="14"/>
      <c r="P1206" s="14"/>
      <c r="Q1206" s="14"/>
      <c r="R1206" s="14" t="s">
        <v>1809</v>
      </c>
    </row>
    <row r="1207" spans="1:1027" ht="15" customHeight="1">
      <c r="A1207" s="12">
        <v>1207</v>
      </c>
      <c r="B1207" s="13" t="s">
        <v>1933</v>
      </c>
      <c r="C1207" s="14"/>
      <c r="D1207" s="14" t="s">
        <v>1932</v>
      </c>
      <c r="E1207" s="14" t="s">
        <v>172</v>
      </c>
      <c r="F1207" s="15" t="s">
        <v>22</v>
      </c>
      <c r="G1207" s="21"/>
      <c r="H1207" s="58"/>
      <c r="I1207" s="14"/>
      <c r="J1207" s="14" t="s">
        <v>23</v>
      </c>
      <c r="K1207" s="14"/>
      <c r="L1207" s="14"/>
      <c r="M1207" s="14" t="s">
        <v>1534</v>
      </c>
      <c r="N1207" s="14" t="s">
        <v>25</v>
      </c>
      <c r="O1207" s="14"/>
      <c r="P1207" s="14"/>
      <c r="Q1207" s="14"/>
      <c r="R1207" s="14" t="s">
        <v>1802</v>
      </c>
    </row>
    <row r="1208" spans="1:1027" ht="15" customHeight="1">
      <c r="A1208" s="12">
        <v>1994</v>
      </c>
      <c r="B1208" s="13" t="s">
        <v>1934</v>
      </c>
      <c r="C1208" s="14"/>
      <c r="D1208" s="14" t="s">
        <v>1932</v>
      </c>
      <c r="E1208" s="14"/>
      <c r="F1208" s="15" t="s">
        <v>22</v>
      </c>
      <c r="G1208" s="14"/>
      <c r="H1208" s="58">
        <v>1</v>
      </c>
      <c r="I1208" s="14"/>
      <c r="J1208" s="14" t="s">
        <v>23</v>
      </c>
      <c r="K1208" s="14"/>
      <c r="L1208" s="14"/>
      <c r="M1208" s="14" t="s">
        <v>32</v>
      </c>
      <c r="N1208" s="22"/>
      <c r="O1208" s="14"/>
      <c r="P1208" s="14"/>
      <c r="Q1208" s="14"/>
      <c r="R1208" s="14"/>
    </row>
    <row r="1209" spans="1:1027" ht="15" customHeight="1">
      <c r="A1209" s="12">
        <v>432</v>
      </c>
      <c r="B1209" s="13" t="s">
        <v>1935</v>
      </c>
      <c r="C1209" s="14"/>
      <c r="D1209" s="14" t="s">
        <v>1936</v>
      </c>
      <c r="E1209" s="14" t="s">
        <v>44</v>
      </c>
      <c r="F1209" s="15" t="s">
        <v>22</v>
      </c>
      <c r="G1209" s="21"/>
      <c r="H1209" s="58"/>
      <c r="I1209" s="14"/>
      <c r="J1209" s="14" t="s">
        <v>23</v>
      </c>
      <c r="K1209" s="14"/>
      <c r="L1209" s="14"/>
      <c r="M1209" s="14" t="s">
        <v>1537</v>
      </c>
      <c r="N1209" s="14" t="s">
        <v>25</v>
      </c>
      <c r="O1209" s="14"/>
      <c r="P1209" s="14"/>
      <c r="Q1209" s="14"/>
      <c r="R1209" s="14" t="s">
        <v>1809</v>
      </c>
    </row>
    <row r="1210" spans="1:1027" ht="15" customHeight="1">
      <c r="A1210" s="12">
        <v>1208</v>
      </c>
      <c r="B1210" s="13" t="s">
        <v>1937</v>
      </c>
      <c r="C1210" s="14"/>
      <c r="D1210" s="14" t="s">
        <v>1936</v>
      </c>
      <c r="E1210" s="14" t="s">
        <v>44</v>
      </c>
      <c r="F1210" s="15" t="s">
        <v>22</v>
      </c>
      <c r="G1210" s="21"/>
      <c r="H1210" s="58"/>
      <c r="I1210" s="14"/>
      <c r="J1210" s="14" t="s">
        <v>23</v>
      </c>
      <c r="K1210" s="14"/>
      <c r="L1210" s="14"/>
      <c r="M1210" s="14" t="s">
        <v>1534</v>
      </c>
      <c r="N1210" s="14" t="s">
        <v>25</v>
      </c>
      <c r="O1210" s="14"/>
      <c r="P1210" s="14"/>
      <c r="Q1210" s="14"/>
      <c r="R1210" s="14" t="s">
        <v>1802</v>
      </c>
    </row>
    <row r="1211" spans="1:1027" ht="15" customHeight="1">
      <c r="A1211" s="12">
        <v>1995</v>
      </c>
      <c r="B1211" s="13" t="s">
        <v>1938</v>
      </c>
      <c r="C1211" s="14"/>
      <c r="D1211" s="14" t="s">
        <v>1936</v>
      </c>
      <c r="E1211" s="14" t="s">
        <v>44</v>
      </c>
      <c r="F1211" s="15" t="s">
        <v>22</v>
      </c>
      <c r="G1211" s="14"/>
      <c r="H1211" s="58">
        <v>0</v>
      </c>
      <c r="I1211" s="14"/>
      <c r="J1211" s="14" t="s">
        <v>23</v>
      </c>
      <c r="K1211" s="14"/>
      <c r="L1211" s="14"/>
      <c r="M1211" s="14" t="s">
        <v>32</v>
      </c>
      <c r="N1211" s="22"/>
      <c r="O1211" s="14"/>
      <c r="P1211" s="14"/>
      <c r="Q1211" s="14"/>
      <c r="R1211" s="14"/>
    </row>
    <row r="1212" spans="1:1027" ht="15" customHeight="1">
      <c r="A1212" s="12">
        <v>433</v>
      </c>
      <c r="B1212" s="13" t="s">
        <v>1939</v>
      </c>
      <c r="C1212" s="14"/>
      <c r="D1212" s="14" t="s">
        <v>1940</v>
      </c>
      <c r="E1212" s="14" t="s">
        <v>36</v>
      </c>
      <c r="F1212" s="15" t="s">
        <v>22</v>
      </c>
      <c r="G1212" s="21"/>
      <c r="H1212" s="58"/>
      <c r="I1212" s="14"/>
      <c r="J1212" s="14" t="s">
        <v>23</v>
      </c>
      <c r="K1212" s="14"/>
      <c r="L1212" s="14"/>
      <c r="M1212" s="14" t="s">
        <v>1537</v>
      </c>
      <c r="N1212" s="14" t="s">
        <v>25</v>
      </c>
      <c r="O1212" s="14"/>
      <c r="P1212" s="14"/>
      <c r="Q1212" s="14"/>
      <c r="R1212" s="14" t="s">
        <v>1809</v>
      </c>
    </row>
    <row r="1213" spans="1:1027" ht="15" customHeight="1">
      <c r="A1213" s="12">
        <v>1209</v>
      </c>
      <c r="B1213" s="13" t="s">
        <v>1941</v>
      </c>
      <c r="C1213" s="14"/>
      <c r="D1213" s="14" t="s">
        <v>1940</v>
      </c>
      <c r="E1213" s="14" t="s">
        <v>36</v>
      </c>
      <c r="F1213" s="15" t="s">
        <v>22</v>
      </c>
      <c r="G1213" s="21"/>
      <c r="H1213" s="58"/>
      <c r="I1213" s="14"/>
      <c r="J1213" s="14" t="s">
        <v>23</v>
      </c>
      <c r="K1213" s="14"/>
      <c r="L1213" s="14"/>
      <c r="M1213" s="14" t="s">
        <v>1534</v>
      </c>
      <c r="N1213" s="14" t="s">
        <v>25</v>
      </c>
      <c r="O1213" s="14"/>
      <c r="P1213" s="14"/>
      <c r="Q1213" s="14"/>
      <c r="R1213" s="14" t="s">
        <v>1802</v>
      </c>
    </row>
    <row r="1214" spans="1:1027" ht="15" customHeight="1">
      <c r="A1214" s="12">
        <v>1996</v>
      </c>
      <c r="B1214" s="13" t="s">
        <v>1942</v>
      </c>
      <c r="C1214" s="14"/>
      <c r="D1214" s="14" t="s">
        <v>1940</v>
      </c>
      <c r="E1214" s="14" t="s">
        <v>36</v>
      </c>
      <c r="F1214" s="15" t="s">
        <v>22</v>
      </c>
      <c r="G1214" s="14"/>
      <c r="H1214" s="58">
        <v>0</v>
      </c>
      <c r="I1214" s="14"/>
      <c r="J1214" s="14" t="s">
        <v>23</v>
      </c>
      <c r="K1214" s="14"/>
      <c r="L1214" s="14"/>
      <c r="M1214" s="14" t="s">
        <v>32</v>
      </c>
      <c r="N1214" s="22"/>
      <c r="O1214" s="14"/>
      <c r="P1214" s="14"/>
      <c r="Q1214" s="14"/>
      <c r="R1214" s="14"/>
    </row>
    <row r="1215" spans="1:1027" ht="15" customHeight="1">
      <c r="A1215" s="12">
        <v>434</v>
      </c>
      <c r="B1215" s="13" t="s">
        <v>1943</v>
      </c>
      <c r="C1215" s="14"/>
      <c r="D1215" s="14" t="s">
        <v>1944</v>
      </c>
      <c r="E1215" s="14" t="s">
        <v>36</v>
      </c>
      <c r="F1215" s="15" t="s">
        <v>22</v>
      </c>
      <c r="G1215" s="21"/>
      <c r="H1215" s="58"/>
      <c r="I1215" s="14"/>
      <c r="J1215" s="14" t="s">
        <v>23</v>
      </c>
      <c r="K1215" s="14"/>
      <c r="L1215" s="14"/>
      <c r="M1215" s="14" t="s">
        <v>1537</v>
      </c>
      <c r="N1215" s="14" t="s">
        <v>25</v>
      </c>
      <c r="O1215" s="14"/>
      <c r="P1215" s="14"/>
      <c r="Q1215" s="14"/>
      <c r="R1215" s="14" t="s">
        <v>1809</v>
      </c>
    </row>
    <row r="1216" spans="1:1027" ht="15" customHeight="1">
      <c r="A1216" s="12">
        <v>1210</v>
      </c>
      <c r="B1216" s="13" t="s">
        <v>1945</v>
      </c>
      <c r="C1216" s="14"/>
      <c r="D1216" s="14" t="s">
        <v>1944</v>
      </c>
      <c r="E1216" s="14" t="s">
        <v>36</v>
      </c>
      <c r="F1216" s="15" t="s">
        <v>22</v>
      </c>
      <c r="G1216" s="21"/>
      <c r="H1216" s="58"/>
      <c r="I1216" s="14"/>
      <c r="J1216" s="14" t="s">
        <v>23</v>
      </c>
      <c r="K1216" s="14"/>
      <c r="L1216" s="14"/>
      <c r="M1216" s="14" t="s">
        <v>1534</v>
      </c>
      <c r="N1216" s="14" t="s">
        <v>25</v>
      </c>
      <c r="O1216" s="14"/>
      <c r="P1216" s="14"/>
      <c r="Q1216" s="14"/>
      <c r="R1216" s="14" t="s">
        <v>1802</v>
      </c>
    </row>
    <row r="1217" spans="1:18" ht="15" customHeight="1">
      <c r="A1217" s="12">
        <v>1997</v>
      </c>
      <c r="B1217" s="13" t="s">
        <v>1946</v>
      </c>
      <c r="C1217" s="14"/>
      <c r="D1217" s="14" t="s">
        <v>1944</v>
      </c>
      <c r="E1217" s="14" t="s">
        <v>36</v>
      </c>
      <c r="F1217" s="15" t="s">
        <v>22</v>
      </c>
      <c r="G1217" s="14"/>
      <c r="H1217" s="58">
        <v>0</v>
      </c>
      <c r="I1217" s="14"/>
      <c r="J1217" s="14" t="s">
        <v>23</v>
      </c>
      <c r="K1217" s="14"/>
      <c r="L1217" s="14"/>
      <c r="M1217" s="14" t="s">
        <v>32</v>
      </c>
      <c r="N1217" s="22"/>
      <c r="O1217" s="14"/>
      <c r="P1217" s="14"/>
      <c r="Q1217" s="14"/>
      <c r="R1217" s="14"/>
    </row>
    <row r="1218" spans="1:18" ht="15" customHeight="1">
      <c r="A1218" s="12">
        <v>435</v>
      </c>
      <c r="B1218" s="13" t="s">
        <v>1947</v>
      </c>
      <c r="C1218" s="14"/>
      <c r="D1218" s="14" t="s">
        <v>1948</v>
      </c>
      <c r="E1218" s="14" t="s">
        <v>44</v>
      </c>
      <c r="F1218" s="15" t="s">
        <v>22</v>
      </c>
      <c r="G1218" s="21"/>
      <c r="H1218" s="58"/>
      <c r="I1218" s="14"/>
      <c r="J1218" s="14" t="s">
        <v>23</v>
      </c>
      <c r="K1218" s="14"/>
      <c r="L1218" s="14"/>
      <c r="M1218" s="14" t="s">
        <v>1537</v>
      </c>
      <c r="N1218" s="14" t="s">
        <v>25</v>
      </c>
      <c r="O1218" s="14"/>
      <c r="P1218" s="14"/>
      <c r="Q1218" s="14"/>
      <c r="R1218" s="14" t="s">
        <v>1809</v>
      </c>
    </row>
    <row r="1219" spans="1:18" ht="15" customHeight="1">
      <c r="A1219" s="12">
        <v>1211</v>
      </c>
      <c r="B1219" s="13" t="s">
        <v>1949</v>
      </c>
      <c r="C1219" s="14"/>
      <c r="D1219" s="14" t="s">
        <v>1948</v>
      </c>
      <c r="E1219" s="14" t="s">
        <v>44</v>
      </c>
      <c r="F1219" s="15" t="s">
        <v>22</v>
      </c>
      <c r="G1219" s="21"/>
      <c r="H1219" s="58"/>
      <c r="I1219" s="14"/>
      <c r="J1219" s="14" t="s">
        <v>23</v>
      </c>
      <c r="K1219" s="14"/>
      <c r="L1219" s="14"/>
      <c r="M1219" s="14" t="s">
        <v>1534</v>
      </c>
      <c r="N1219" s="14" t="s">
        <v>25</v>
      </c>
      <c r="O1219" s="14"/>
      <c r="P1219" s="14"/>
      <c r="Q1219" s="14"/>
      <c r="R1219" s="14" t="s">
        <v>1802</v>
      </c>
    </row>
    <row r="1220" spans="1:18" ht="15" customHeight="1">
      <c r="A1220" s="12">
        <v>1998</v>
      </c>
      <c r="B1220" s="13" t="s">
        <v>1950</v>
      </c>
      <c r="C1220" s="14"/>
      <c r="D1220" s="14" t="s">
        <v>1948</v>
      </c>
      <c r="E1220" s="14" t="s">
        <v>44</v>
      </c>
      <c r="F1220" s="15" t="s">
        <v>22</v>
      </c>
      <c r="G1220" s="14"/>
      <c r="H1220" s="58">
        <v>0</v>
      </c>
      <c r="I1220" s="14"/>
      <c r="J1220" s="14" t="s">
        <v>23</v>
      </c>
      <c r="K1220" s="14"/>
      <c r="L1220" s="14"/>
      <c r="M1220" s="14" t="s">
        <v>32</v>
      </c>
      <c r="N1220" s="22"/>
      <c r="O1220" s="14"/>
      <c r="P1220" s="14"/>
      <c r="Q1220" s="14"/>
      <c r="R1220" s="14"/>
    </row>
    <row r="1221" spans="1:18" ht="15" customHeight="1">
      <c r="A1221" s="12">
        <v>436</v>
      </c>
      <c r="B1221" s="13" t="s">
        <v>1951</v>
      </c>
      <c r="C1221" s="14"/>
      <c r="D1221" s="14" t="s">
        <v>1952</v>
      </c>
      <c r="E1221" s="14" t="s">
        <v>36</v>
      </c>
      <c r="F1221" s="15" t="s">
        <v>22</v>
      </c>
      <c r="G1221" s="21"/>
      <c r="H1221" s="58"/>
      <c r="I1221" s="14"/>
      <c r="J1221" s="14" t="s">
        <v>23</v>
      </c>
      <c r="K1221" s="14"/>
      <c r="L1221" s="14"/>
      <c r="M1221" s="14" t="s">
        <v>1537</v>
      </c>
      <c r="N1221" s="14" t="s">
        <v>25</v>
      </c>
      <c r="O1221" s="14"/>
      <c r="P1221" s="14"/>
      <c r="Q1221" s="14"/>
      <c r="R1221" s="14" t="s">
        <v>1809</v>
      </c>
    </row>
    <row r="1222" spans="1:18" ht="15" customHeight="1">
      <c r="A1222" s="12">
        <v>1212</v>
      </c>
      <c r="B1222" s="13" t="s">
        <v>1953</v>
      </c>
      <c r="C1222" s="14"/>
      <c r="D1222" s="14" t="s">
        <v>1952</v>
      </c>
      <c r="E1222" s="14" t="s">
        <v>36</v>
      </c>
      <c r="F1222" s="15" t="s">
        <v>22</v>
      </c>
      <c r="G1222" s="21"/>
      <c r="H1222" s="58"/>
      <c r="I1222" s="14"/>
      <c r="J1222" s="14" t="s">
        <v>23</v>
      </c>
      <c r="K1222" s="14"/>
      <c r="L1222" s="14"/>
      <c r="M1222" s="14" t="s">
        <v>1534</v>
      </c>
      <c r="N1222" s="14" t="s">
        <v>25</v>
      </c>
      <c r="O1222" s="14"/>
      <c r="P1222" s="14"/>
      <c r="Q1222" s="14"/>
      <c r="R1222" s="14" t="s">
        <v>1802</v>
      </c>
    </row>
    <row r="1223" spans="1:18" ht="15" customHeight="1">
      <c r="A1223" s="12">
        <v>1999</v>
      </c>
      <c r="B1223" s="13" t="s">
        <v>1954</v>
      </c>
      <c r="C1223" s="14"/>
      <c r="D1223" s="14" t="s">
        <v>1952</v>
      </c>
      <c r="E1223" s="14" t="s">
        <v>36</v>
      </c>
      <c r="F1223" s="15" t="s">
        <v>22</v>
      </c>
      <c r="G1223" s="14"/>
      <c r="H1223" s="58">
        <v>0</v>
      </c>
      <c r="I1223" s="14"/>
      <c r="J1223" s="14" t="s">
        <v>23</v>
      </c>
      <c r="K1223" s="14"/>
      <c r="L1223" s="14"/>
      <c r="M1223" s="14" t="s">
        <v>32</v>
      </c>
      <c r="N1223" s="22"/>
      <c r="O1223" s="14"/>
      <c r="P1223" s="14"/>
      <c r="Q1223" s="14"/>
      <c r="R1223" s="14"/>
    </row>
    <row r="1224" spans="1:18" ht="15" customHeight="1">
      <c r="A1224" s="12">
        <v>437</v>
      </c>
      <c r="B1224" s="13" t="s">
        <v>1955</v>
      </c>
      <c r="C1224" s="14"/>
      <c r="D1224" s="14" t="s">
        <v>1956</v>
      </c>
      <c r="E1224" s="14" t="s">
        <v>580</v>
      </c>
      <c r="F1224" s="15" t="s">
        <v>22</v>
      </c>
      <c r="G1224" s="21"/>
      <c r="H1224" s="58"/>
      <c r="I1224" s="14"/>
      <c r="J1224" s="14" t="s">
        <v>23</v>
      </c>
      <c r="K1224" s="14"/>
      <c r="L1224" s="14"/>
      <c r="M1224" s="14" t="s">
        <v>1537</v>
      </c>
      <c r="N1224" s="14" t="s">
        <v>25</v>
      </c>
      <c r="O1224" s="14"/>
      <c r="P1224" s="14"/>
      <c r="Q1224" s="14"/>
      <c r="R1224" s="14" t="s">
        <v>1809</v>
      </c>
    </row>
    <row r="1225" spans="1:18" ht="15" customHeight="1">
      <c r="A1225" s="12">
        <v>1213</v>
      </c>
      <c r="B1225" s="13" t="s">
        <v>1957</v>
      </c>
      <c r="C1225" s="14"/>
      <c r="D1225" s="14" t="s">
        <v>1956</v>
      </c>
      <c r="E1225" s="14" t="s">
        <v>580</v>
      </c>
      <c r="F1225" s="15" t="s">
        <v>22</v>
      </c>
      <c r="G1225" s="21"/>
      <c r="H1225" s="58"/>
      <c r="I1225" s="14"/>
      <c r="J1225" s="14" t="s">
        <v>23</v>
      </c>
      <c r="K1225" s="14"/>
      <c r="L1225" s="14"/>
      <c r="M1225" s="14" t="s">
        <v>1534</v>
      </c>
      <c r="N1225" s="14" t="s">
        <v>25</v>
      </c>
      <c r="O1225" s="14"/>
      <c r="P1225" s="14"/>
      <c r="Q1225" s="14"/>
      <c r="R1225" s="14" t="s">
        <v>1802</v>
      </c>
    </row>
    <row r="1226" spans="1:18" ht="15" customHeight="1">
      <c r="A1226" s="12">
        <v>2000</v>
      </c>
      <c r="B1226" s="13" t="s">
        <v>1958</v>
      </c>
      <c r="C1226" s="14"/>
      <c r="D1226" s="14" t="s">
        <v>1956</v>
      </c>
      <c r="E1226" s="14" t="s">
        <v>580</v>
      </c>
      <c r="F1226" s="15" t="s">
        <v>22</v>
      </c>
      <c r="G1226" s="14"/>
      <c r="H1226" s="58">
        <v>0</v>
      </c>
      <c r="I1226" s="14"/>
      <c r="J1226" s="14" t="s">
        <v>23</v>
      </c>
      <c r="K1226" s="14"/>
      <c r="L1226" s="14"/>
      <c r="M1226" s="14" t="s">
        <v>32</v>
      </c>
      <c r="N1226" s="22"/>
      <c r="O1226" s="14"/>
      <c r="P1226" s="14"/>
      <c r="Q1226" s="14"/>
      <c r="R1226" s="14"/>
    </row>
    <row r="1227" spans="1:18" ht="15" customHeight="1">
      <c r="A1227" s="12">
        <v>438</v>
      </c>
      <c r="B1227" s="13" t="s">
        <v>1959</v>
      </c>
      <c r="C1227" s="14"/>
      <c r="D1227" s="14" t="s">
        <v>1960</v>
      </c>
      <c r="E1227" s="14" t="s">
        <v>1961</v>
      </c>
      <c r="F1227" s="15" t="s">
        <v>22</v>
      </c>
      <c r="G1227" s="21"/>
      <c r="H1227" s="58"/>
      <c r="I1227" s="14"/>
      <c r="J1227" s="14" t="s">
        <v>23</v>
      </c>
      <c r="K1227" s="14"/>
      <c r="L1227" s="14"/>
      <c r="M1227" s="14" t="s">
        <v>1537</v>
      </c>
      <c r="N1227" s="14" t="s">
        <v>25</v>
      </c>
      <c r="O1227" s="14"/>
      <c r="P1227" s="14"/>
      <c r="Q1227" s="14"/>
      <c r="R1227" s="14" t="s">
        <v>1809</v>
      </c>
    </row>
    <row r="1228" spans="1:18" ht="15" customHeight="1">
      <c r="A1228" s="12">
        <v>1214</v>
      </c>
      <c r="B1228" s="13" t="s">
        <v>1962</v>
      </c>
      <c r="C1228" s="14"/>
      <c r="D1228" s="14" t="s">
        <v>1960</v>
      </c>
      <c r="E1228" s="14" t="s">
        <v>1961</v>
      </c>
      <c r="F1228" s="15" t="s">
        <v>22</v>
      </c>
      <c r="G1228" s="21"/>
      <c r="H1228" s="58"/>
      <c r="I1228" s="14"/>
      <c r="J1228" s="14" t="s">
        <v>23</v>
      </c>
      <c r="K1228" s="14"/>
      <c r="L1228" s="14"/>
      <c r="M1228" s="14" t="s">
        <v>1534</v>
      </c>
      <c r="N1228" s="14" t="s">
        <v>25</v>
      </c>
      <c r="O1228" s="14"/>
      <c r="P1228" s="14"/>
      <c r="Q1228" s="14"/>
      <c r="R1228" s="14" t="s">
        <v>1802</v>
      </c>
    </row>
    <row r="1229" spans="1:18" ht="15" customHeight="1">
      <c r="A1229" s="12">
        <v>2001</v>
      </c>
      <c r="B1229" s="13" t="s">
        <v>1963</v>
      </c>
      <c r="C1229" s="14"/>
      <c r="D1229" s="14" t="s">
        <v>1960</v>
      </c>
      <c r="E1229" s="14" t="s">
        <v>1961</v>
      </c>
      <c r="F1229" s="15" t="s">
        <v>22</v>
      </c>
      <c r="G1229" s="14"/>
      <c r="H1229" s="58">
        <v>0</v>
      </c>
      <c r="I1229" s="14"/>
      <c r="J1229" s="14" t="s">
        <v>23</v>
      </c>
      <c r="K1229" s="14"/>
      <c r="L1229" s="14"/>
      <c r="M1229" s="14" t="s">
        <v>32</v>
      </c>
      <c r="N1229" s="22"/>
      <c r="O1229" s="14"/>
      <c r="P1229" s="14"/>
      <c r="Q1229" s="14"/>
      <c r="R1229" s="14"/>
    </row>
    <row r="1230" spans="1:18" ht="15" customHeight="1">
      <c r="A1230" s="12">
        <v>439</v>
      </c>
      <c r="B1230" s="13" t="s">
        <v>1964</v>
      </c>
      <c r="C1230" s="14"/>
      <c r="D1230" s="14" t="s">
        <v>1965</v>
      </c>
      <c r="E1230" s="14" t="s">
        <v>21</v>
      </c>
      <c r="F1230" s="15" t="s">
        <v>22</v>
      </c>
      <c r="G1230" s="21"/>
      <c r="H1230" s="58"/>
      <c r="I1230" s="14"/>
      <c r="J1230" s="14" t="s">
        <v>23</v>
      </c>
      <c r="K1230" s="14"/>
      <c r="L1230" s="14"/>
      <c r="M1230" s="14" t="s">
        <v>1537</v>
      </c>
      <c r="N1230" s="14" t="s">
        <v>25</v>
      </c>
      <c r="O1230" s="14"/>
      <c r="P1230" s="14"/>
      <c r="Q1230" s="14"/>
      <c r="R1230" s="14" t="s">
        <v>1809</v>
      </c>
    </row>
    <row r="1231" spans="1:18" ht="15" customHeight="1">
      <c r="A1231" s="12">
        <v>1215</v>
      </c>
      <c r="B1231" s="13" t="s">
        <v>1966</v>
      </c>
      <c r="C1231" s="14"/>
      <c r="D1231" s="14" t="s">
        <v>1965</v>
      </c>
      <c r="E1231" s="14" t="s">
        <v>21</v>
      </c>
      <c r="F1231" s="15" t="s">
        <v>22</v>
      </c>
      <c r="G1231" s="21"/>
      <c r="H1231" s="58"/>
      <c r="I1231" s="14"/>
      <c r="J1231" s="14" t="s">
        <v>23</v>
      </c>
      <c r="K1231" s="14"/>
      <c r="L1231" s="14"/>
      <c r="M1231" s="14" t="s">
        <v>1534</v>
      </c>
      <c r="N1231" s="14" t="s">
        <v>25</v>
      </c>
      <c r="O1231" s="14"/>
      <c r="P1231" s="14"/>
      <c r="Q1231" s="14"/>
      <c r="R1231" s="14" t="s">
        <v>1802</v>
      </c>
    </row>
    <row r="1232" spans="1:18" ht="15" customHeight="1">
      <c r="A1232" s="12">
        <v>2002</v>
      </c>
      <c r="B1232" s="13" t="s">
        <v>1967</v>
      </c>
      <c r="C1232" s="14"/>
      <c r="D1232" s="14" t="s">
        <v>1965</v>
      </c>
      <c r="E1232" s="14" t="s">
        <v>21</v>
      </c>
      <c r="F1232" s="15" t="s">
        <v>22</v>
      </c>
      <c r="G1232" s="14"/>
      <c r="H1232" s="58">
        <v>0</v>
      </c>
      <c r="I1232" s="14"/>
      <c r="J1232" s="14" t="s">
        <v>23</v>
      </c>
      <c r="K1232" s="14"/>
      <c r="L1232" s="14"/>
      <c r="M1232" s="14" t="s">
        <v>32</v>
      </c>
      <c r="N1232" s="22"/>
      <c r="O1232" s="14"/>
      <c r="P1232" s="14"/>
      <c r="Q1232" s="14"/>
      <c r="R1232" s="14"/>
    </row>
    <row r="1233" spans="1:1027" ht="15" customHeight="1">
      <c r="A1233" s="12">
        <v>440</v>
      </c>
      <c r="B1233" s="13" t="s">
        <v>1968</v>
      </c>
      <c r="C1233" s="14"/>
      <c r="D1233" s="14" t="s">
        <v>1969</v>
      </c>
      <c r="E1233" s="14" t="s">
        <v>36</v>
      </c>
      <c r="F1233" s="15" t="s">
        <v>22</v>
      </c>
      <c r="G1233" s="21"/>
      <c r="H1233" s="58"/>
      <c r="I1233" s="14"/>
      <c r="J1233" s="14" t="s">
        <v>23</v>
      </c>
      <c r="K1233" s="14"/>
      <c r="L1233" s="14"/>
      <c r="M1233" s="14" t="s">
        <v>1537</v>
      </c>
      <c r="N1233" s="14" t="s">
        <v>25</v>
      </c>
      <c r="O1233" s="14"/>
      <c r="P1233" s="14"/>
      <c r="Q1233" s="14"/>
      <c r="R1233" s="14" t="s">
        <v>1809</v>
      </c>
    </row>
    <row r="1234" spans="1:1027" ht="15" customHeight="1">
      <c r="A1234" s="12">
        <v>1216</v>
      </c>
      <c r="B1234" s="13" t="s">
        <v>1970</v>
      </c>
      <c r="C1234" s="14"/>
      <c r="D1234" s="14" t="s">
        <v>1969</v>
      </c>
      <c r="E1234" s="14" t="s">
        <v>36</v>
      </c>
      <c r="F1234" s="15" t="s">
        <v>22</v>
      </c>
      <c r="G1234" s="21"/>
      <c r="H1234" s="58"/>
      <c r="I1234" s="14"/>
      <c r="J1234" s="14" t="s">
        <v>23</v>
      </c>
      <c r="K1234" s="14"/>
      <c r="L1234" s="14"/>
      <c r="M1234" s="14" t="s">
        <v>1534</v>
      </c>
      <c r="N1234" s="14" t="s">
        <v>25</v>
      </c>
      <c r="O1234" s="14"/>
      <c r="P1234" s="14"/>
      <c r="Q1234" s="14"/>
      <c r="R1234" s="14" t="s">
        <v>1802</v>
      </c>
    </row>
    <row r="1235" spans="1:1027" ht="15" customHeight="1">
      <c r="A1235" s="12">
        <v>2003</v>
      </c>
      <c r="B1235" s="13" t="s">
        <v>1971</v>
      </c>
      <c r="C1235" s="14"/>
      <c r="D1235" s="14" t="s">
        <v>1969</v>
      </c>
      <c r="E1235" s="14" t="s">
        <v>36</v>
      </c>
      <c r="F1235" s="15" t="s">
        <v>22</v>
      </c>
      <c r="G1235" s="14"/>
      <c r="H1235" s="58">
        <v>0</v>
      </c>
      <c r="I1235" s="14"/>
      <c r="J1235" s="14" t="s">
        <v>23</v>
      </c>
      <c r="K1235" s="14"/>
      <c r="L1235" s="14"/>
      <c r="M1235" s="14" t="s">
        <v>32</v>
      </c>
      <c r="N1235" s="22"/>
      <c r="O1235" s="14"/>
      <c r="P1235" s="14"/>
      <c r="Q1235" s="14"/>
      <c r="R1235" s="14"/>
    </row>
    <row r="1236" spans="1:1027" ht="15" customHeight="1">
      <c r="A1236" s="12">
        <v>441</v>
      </c>
      <c r="B1236" s="13" t="s">
        <v>1972</v>
      </c>
      <c r="C1236" s="14"/>
      <c r="D1236" s="14" t="s">
        <v>1973</v>
      </c>
      <c r="E1236" s="14" t="s">
        <v>21</v>
      </c>
      <c r="F1236" s="15" t="s">
        <v>22</v>
      </c>
      <c r="G1236" s="21"/>
      <c r="H1236" s="58"/>
      <c r="I1236" s="14"/>
      <c r="J1236" s="14" t="s">
        <v>23</v>
      </c>
      <c r="K1236" s="14"/>
      <c r="L1236" s="14"/>
      <c r="M1236" s="14" t="s">
        <v>1537</v>
      </c>
      <c r="N1236" s="14" t="s">
        <v>25</v>
      </c>
      <c r="O1236" s="14"/>
      <c r="P1236" s="14"/>
      <c r="Q1236" s="14"/>
      <c r="R1236" s="14" t="s">
        <v>1809</v>
      </c>
    </row>
    <row r="1237" spans="1:1027" ht="15" customHeight="1">
      <c r="A1237" s="12">
        <v>1217</v>
      </c>
      <c r="B1237" s="13" t="s">
        <v>1974</v>
      </c>
      <c r="C1237" s="14"/>
      <c r="D1237" s="14" t="s">
        <v>1973</v>
      </c>
      <c r="E1237" s="14" t="s">
        <v>21</v>
      </c>
      <c r="F1237" s="15" t="s">
        <v>22</v>
      </c>
      <c r="G1237" s="21"/>
      <c r="H1237" s="58"/>
      <c r="I1237" s="14"/>
      <c r="J1237" s="14" t="s">
        <v>23</v>
      </c>
      <c r="K1237" s="14"/>
      <c r="L1237" s="14"/>
      <c r="M1237" s="14" t="s">
        <v>1534</v>
      </c>
      <c r="N1237" s="14" t="s">
        <v>25</v>
      </c>
      <c r="O1237" s="14"/>
      <c r="P1237" s="14"/>
      <c r="Q1237" s="14"/>
      <c r="R1237" s="14" t="s">
        <v>1802</v>
      </c>
    </row>
    <row r="1238" spans="1:1027" ht="15" customHeight="1">
      <c r="A1238" s="12">
        <v>2004</v>
      </c>
      <c r="B1238" s="13" t="s">
        <v>1975</v>
      </c>
      <c r="C1238" s="14"/>
      <c r="D1238" s="14" t="s">
        <v>1973</v>
      </c>
      <c r="E1238" s="14" t="s">
        <v>21</v>
      </c>
      <c r="F1238" s="15" t="s">
        <v>22</v>
      </c>
      <c r="G1238" s="14"/>
      <c r="H1238" s="58">
        <v>0</v>
      </c>
      <c r="I1238" s="14"/>
      <c r="J1238" s="14" t="s">
        <v>23</v>
      </c>
      <c r="K1238" s="14"/>
      <c r="L1238" s="14"/>
      <c r="M1238" s="14" t="s">
        <v>32</v>
      </c>
      <c r="N1238" s="22"/>
      <c r="O1238" s="14"/>
      <c r="P1238" s="14"/>
      <c r="Q1238" s="14"/>
      <c r="R1238" s="14"/>
    </row>
    <row r="1239" spans="1:1027" ht="15" customHeight="1">
      <c r="A1239" s="12">
        <v>442</v>
      </c>
      <c r="B1239" s="13" t="s">
        <v>1976</v>
      </c>
      <c r="C1239" s="14"/>
      <c r="D1239" s="14" t="s">
        <v>1977</v>
      </c>
      <c r="E1239" s="14" t="s">
        <v>36</v>
      </c>
      <c r="F1239" s="15" t="s">
        <v>22</v>
      </c>
      <c r="G1239" s="21"/>
      <c r="H1239" s="58"/>
      <c r="I1239" s="14"/>
      <c r="J1239" s="14" t="s">
        <v>23</v>
      </c>
      <c r="K1239" s="14"/>
      <c r="L1239" s="14"/>
      <c r="M1239" s="14" t="s">
        <v>1537</v>
      </c>
      <c r="N1239" s="14" t="s">
        <v>25</v>
      </c>
      <c r="O1239" s="14"/>
      <c r="P1239" s="14"/>
      <c r="Q1239" s="14"/>
      <c r="R1239" s="14" t="s">
        <v>1809</v>
      </c>
    </row>
    <row r="1240" spans="1:1027" ht="15" customHeight="1">
      <c r="A1240" s="12">
        <v>1218</v>
      </c>
      <c r="B1240" s="13" t="s">
        <v>1978</v>
      </c>
      <c r="C1240" s="14"/>
      <c r="D1240" s="14" t="s">
        <v>1977</v>
      </c>
      <c r="E1240" s="14" t="s">
        <v>36</v>
      </c>
      <c r="F1240" s="15" t="s">
        <v>22</v>
      </c>
      <c r="G1240" s="21"/>
      <c r="H1240" s="58"/>
      <c r="I1240" s="14"/>
      <c r="J1240" s="14" t="s">
        <v>23</v>
      </c>
      <c r="K1240" s="14"/>
      <c r="L1240" s="14"/>
      <c r="M1240" s="14" t="s">
        <v>1534</v>
      </c>
      <c r="N1240" s="14" t="s">
        <v>25</v>
      </c>
      <c r="O1240" s="14"/>
      <c r="P1240" s="14"/>
      <c r="Q1240" s="14"/>
      <c r="R1240" s="14" t="s">
        <v>1979</v>
      </c>
    </row>
    <row r="1241" spans="1:1027" ht="15" customHeight="1">
      <c r="A1241" s="12">
        <v>2005</v>
      </c>
      <c r="B1241" s="13" t="s">
        <v>1980</v>
      </c>
      <c r="C1241" s="14"/>
      <c r="D1241" s="14" t="s">
        <v>1977</v>
      </c>
      <c r="E1241" s="14" t="s">
        <v>36</v>
      </c>
      <c r="F1241" s="15" t="s">
        <v>22</v>
      </c>
      <c r="G1241" s="14"/>
      <c r="H1241" s="58">
        <v>0</v>
      </c>
      <c r="I1241" s="14"/>
      <c r="J1241" s="14" t="s">
        <v>23</v>
      </c>
      <c r="K1241" s="14"/>
      <c r="L1241" s="14"/>
      <c r="M1241" s="14" t="s">
        <v>32</v>
      </c>
      <c r="N1241" s="22"/>
      <c r="O1241" s="14"/>
      <c r="P1241" s="14"/>
      <c r="Q1241" s="14"/>
      <c r="R1241" s="14"/>
    </row>
    <row r="1242" spans="1:1027" ht="15" customHeight="1">
      <c r="A1242" s="12">
        <v>19</v>
      </c>
      <c r="B1242" s="13" t="s">
        <v>1981</v>
      </c>
      <c r="C1242" s="14"/>
      <c r="D1242" s="14" t="s">
        <v>1982</v>
      </c>
      <c r="E1242" s="14" t="s">
        <v>21</v>
      </c>
      <c r="F1242" s="15" t="s">
        <v>22</v>
      </c>
      <c r="G1242" s="14"/>
      <c r="H1242" s="58"/>
      <c r="I1242" s="14"/>
      <c r="J1242" s="14" t="s">
        <v>23</v>
      </c>
      <c r="K1242" s="15"/>
      <c r="L1242" s="15"/>
      <c r="M1242" s="14" t="s">
        <v>24</v>
      </c>
      <c r="N1242" s="14" t="s">
        <v>25</v>
      </c>
      <c r="O1242" s="14"/>
      <c r="P1242" s="14"/>
      <c r="Q1242" s="14"/>
      <c r="R1242" s="17">
        <v>43599</v>
      </c>
      <c r="S1242" s="12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  <c r="IW1242" s="3"/>
      <c r="IX1242" s="3"/>
      <c r="IY1242" s="3"/>
      <c r="IZ1242" s="3"/>
      <c r="JA1242" s="3"/>
      <c r="JB1242" s="3"/>
      <c r="JC1242" s="3"/>
      <c r="JD1242" s="3"/>
      <c r="JE1242" s="3"/>
      <c r="JF1242" s="3"/>
      <c r="JG1242" s="3"/>
      <c r="JH1242" s="3"/>
      <c r="JI1242" s="3"/>
      <c r="JJ1242" s="3"/>
      <c r="JK1242" s="3"/>
      <c r="JL1242" s="3"/>
      <c r="JM1242" s="3"/>
      <c r="JN1242" s="3"/>
      <c r="JO1242" s="3"/>
      <c r="JP1242" s="3"/>
      <c r="JQ1242" s="3"/>
      <c r="JR1242" s="3"/>
      <c r="JS1242" s="3"/>
      <c r="JT1242" s="3"/>
      <c r="JU1242" s="3"/>
      <c r="JV1242" s="3"/>
      <c r="JW1242" s="3"/>
      <c r="JX1242" s="3"/>
      <c r="JY1242" s="3"/>
      <c r="JZ1242" s="3"/>
      <c r="KA1242" s="3"/>
      <c r="KB1242" s="3"/>
      <c r="KC1242" s="3"/>
      <c r="KD1242" s="3"/>
      <c r="KE1242" s="3"/>
      <c r="KF1242" s="3"/>
      <c r="KG1242" s="3"/>
      <c r="KH1242" s="3"/>
      <c r="KI1242" s="3"/>
      <c r="KJ1242" s="3"/>
      <c r="KK1242" s="3"/>
      <c r="KL1242" s="3"/>
      <c r="KM1242" s="3"/>
      <c r="KN1242" s="3"/>
      <c r="KO1242" s="3"/>
      <c r="KP1242" s="3"/>
      <c r="KQ1242" s="3"/>
      <c r="KR1242" s="3"/>
      <c r="KS1242" s="3"/>
      <c r="KT1242" s="3"/>
      <c r="KU1242" s="3"/>
      <c r="KV1242" s="3"/>
      <c r="KW1242" s="3"/>
      <c r="KX1242" s="3"/>
      <c r="KY1242" s="3"/>
      <c r="KZ1242" s="3"/>
      <c r="LA1242" s="3"/>
      <c r="LB1242" s="3"/>
      <c r="LC1242" s="3"/>
      <c r="LD1242" s="3"/>
      <c r="LE1242" s="3"/>
      <c r="LF1242" s="3"/>
      <c r="LG1242" s="3"/>
      <c r="LH1242" s="3"/>
      <c r="LI1242" s="3"/>
      <c r="LJ1242" s="3"/>
      <c r="LK1242" s="3"/>
      <c r="LL1242" s="3"/>
      <c r="LM1242" s="3"/>
      <c r="LN1242" s="3"/>
      <c r="LO1242" s="3"/>
      <c r="LP1242" s="3"/>
      <c r="LQ1242" s="3"/>
      <c r="LR1242" s="3"/>
      <c r="LS1242" s="3"/>
      <c r="LT1242" s="3"/>
      <c r="LU1242" s="3"/>
      <c r="LV1242" s="3"/>
      <c r="LW1242" s="3"/>
      <c r="LX1242" s="3"/>
      <c r="LY1242" s="3"/>
      <c r="LZ1242" s="3"/>
      <c r="MA1242" s="3"/>
      <c r="MB1242" s="3"/>
      <c r="MC1242" s="3"/>
      <c r="MD1242" s="3"/>
      <c r="ME1242" s="3"/>
      <c r="MF1242" s="3"/>
      <c r="MG1242" s="3"/>
      <c r="MH1242" s="3"/>
      <c r="MI1242" s="3"/>
      <c r="MJ1242" s="3"/>
      <c r="MK1242" s="3"/>
      <c r="ML1242" s="3"/>
      <c r="MM1242" s="3"/>
      <c r="MN1242" s="3"/>
      <c r="MO1242" s="3"/>
      <c r="MP1242" s="3"/>
      <c r="MQ1242" s="3"/>
      <c r="MR1242" s="3"/>
      <c r="MS1242" s="3"/>
      <c r="MT1242" s="3"/>
      <c r="MU1242" s="3"/>
      <c r="MV1242" s="3"/>
      <c r="MW1242" s="3"/>
      <c r="MX1242" s="3"/>
      <c r="MY1242" s="3"/>
      <c r="MZ1242" s="3"/>
      <c r="NA1242" s="3"/>
      <c r="NB1242" s="3"/>
      <c r="NC1242" s="3"/>
      <c r="ND1242" s="3"/>
      <c r="NE1242" s="3"/>
      <c r="NF1242" s="3"/>
      <c r="NG1242" s="3"/>
      <c r="NH1242" s="3"/>
      <c r="NI1242" s="3"/>
      <c r="NJ1242" s="3"/>
      <c r="NK1242" s="3"/>
      <c r="NL1242" s="3"/>
      <c r="NM1242" s="3"/>
      <c r="NN1242" s="3"/>
      <c r="NO1242" s="3"/>
      <c r="NP1242" s="3"/>
      <c r="NQ1242" s="3"/>
      <c r="NR1242" s="3"/>
      <c r="NS1242" s="3"/>
      <c r="NT1242" s="3"/>
      <c r="NU1242" s="3"/>
      <c r="NV1242" s="3"/>
      <c r="NW1242" s="3"/>
      <c r="NX1242" s="3"/>
      <c r="NY1242" s="3"/>
      <c r="NZ1242" s="3"/>
      <c r="OA1242" s="3"/>
      <c r="OB1242" s="3"/>
      <c r="OC1242" s="3"/>
      <c r="OD1242" s="3"/>
      <c r="OE1242" s="3"/>
      <c r="OF1242" s="3"/>
      <c r="OG1242" s="3"/>
      <c r="OH1242" s="3"/>
      <c r="OI1242" s="3"/>
      <c r="OJ1242" s="3"/>
      <c r="OK1242" s="3"/>
      <c r="OL1242" s="3"/>
      <c r="OM1242" s="3"/>
      <c r="ON1242" s="3"/>
      <c r="OO1242" s="3"/>
      <c r="OP1242" s="3"/>
      <c r="OQ1242" s="3"/>
      <c r="OR1242" s="3"/>
      <c r="OS1242" s="3"/>
      <c r="OT1242" s="3"/>
      <c r="OU1242" s="3"/>
      <c r="OV1242" s="3"/>
      <c r="OW1242" s="3"/>
      <c r="OX1242" s="3"/>
      <c r="OY1242" s="3"/>
      <c r="OZ1242" s="3"/>
      <c r="PA1242" s="3"/>
      <c r="PB1242" s="3"/>
      <c r="PC1242" s="3"/>
      <c r="PD1242" s="3"/>
      <c r="PE1242" s="3"/>
      <c r="PF1242" s="3"/>
      <c r="PG1242" s="3"/>
      <c r="PH1242" s="3"/>
      <c r="PI1242" s="3"/>
      <c r="PJ1242" s="3"/>
      <c r="PK1242" s="3"/>
      <c r="PL1242" s="3"/>
      <c r="PM1242" s="3"/>
      <c r="PN1242" s="3"/>
      <c r="PO1242" s="3"/>
      <c r="PP1242" s="3"/>
      <c r="PQ1242" s="3"/>
      <c r="PR1242" s="3"/>
      <c r="PS1242" s="3"/>
      <c r="PT1242" s="3"/>
      <c r="PU1242" s="3"/>
      <c r="PV1242" s="3"/>
      <c r="PW1242" s="3"/>
      <c r="PX1242" s="3"/>
      <c r="PY1242" s="3"/>
      <c r="PZ1242" s="3"/>
      <c r="QA1242" s="3"/>
      <c r="QB1242" s="3"/>
      <c r="QC1242" s="3"/>
      <c r="QD1242" s="3"/>
      <c r="QE1242" s="3"/>
      <c r="QF1242" s="3"/>
      <c r="QG1242" s="3"/>
      <c r="QH1242" s="3"/>
      <c r="QI1242" s="3"/>
      <c r="QJ1242" s="3"/>
      <c r="QK1242" s="3"/>
      <c r="QL1242" s="3"/>
      <c r="QM1242" s="3"/>
      <c r="QN1242" s="3"/>
      <c r="QO1242" s="3"/>
      <c r="QP1242" s="3"/>
      <c r="QQ1242" s="3"/>
      <c r="QR1242" s="3"/>
      <c r="QS1242" s="3"/>
      <c r="QT1242" s="3"/>
      <c r="QU1242" s="3"/>
      <c r="QV1242" s="3"/>
      <c r="QW1242" s="3"/>
      <c r="QX1242" s="3"/>
      <c r="QY1242" s="3"/>
      <c r="QZ1242" s="3"/>
      <c r="RA1242" s="3"/>
      <c r="RB1242" s="3"/>
      <c r="RC1242" s="3"/>
      <c r="RD1242" s="3"/>
      <c r="RE1242" s="3"/>
      <c r="RF1242" s="3"/>
      <c r="RG1242" s="3"/>
      <c r="RH1242" s="3"/>
      <c r="RI1242" s="3"/>
      <c r="RJ1242" s="3"/>
      <c r="RK1242" s="3"/>
      <c r="RL1242" s="3"/>
      <c r="RM1242" s="3"/>
      <c r="RN1242" s="3"/>
      <c r="RO1242" s="3"/>
      <c r="RP1242" s="3"/>
      <c r="RQ1242" s="3"/>
      <c r="RR1242" s="3"/>
      <c r="RS1242" s="3"/>
      <c r="RT1242" s="3"/>
      <c r="RU1242" s="3"/>
      <c r="RV1242" s="3"/>
      <c r="RW1242" s="3"/>
      <c r="RX1242" s="3"/>
      <c r="RY1242" s="3"/>
      <c r="RZ1242" s="3"/>
      <c r="SA1242" s="3"/>
      <c r="SB1242" s="3"/>
      <c r="SC1242" s="3"/>
      <c r="SD1242" s="3"/>
      <c r="SE1242" s="3"/>
      <c r="SF1242" s="3"/>
      <c r="SG1242" s="3"/>
      <c r="SH1242" s="3"/>
      <c r="SI1242" s="3"/>
      <c r="SJ1242" s="3"/>
      <c r="SK1242" s="3"/>
      <c r="SL1242" s="3"/>
      <c r="SM1242" s="3"/>
      <c r="SN1242" s="3"/>
      <c r="SO1242" s="3"/>
      <c r="SP1242" s="3"/>
      <c r="SQ1242" s="3"/>
      <c r="SR1242" s="3"/>
      <c r="SS1242" s="3"/>
      <c r="ST1242" s="3"/>
      <c r="SU1242" s="3"/>
      <c r="SV1242" s="3"/>
      <c r="SW1242" s="3"/>
      <c r="SX1242" s="3"/>
      <c r="SY1242" s="3"/>
      <c r="SZ1242" s="3"/>
      <c r="TA1242" s="3"/>
      <c r="TB1242" s="3"/>
      <c r="TC1242" s="3"/>
      <c r="TD1242" s="3"/>
      <c r="TE1242" s="3"/>
      <c r="TF1242" s="3"/>
      <c r="TG1242" s="3"/>
      <c r="TH1242" s="3"/>
      <c r="TI1242" s="3"/>
      <c r="TJ1242" s="3"/>
      <c r="TK1242" s="3"/>
      <c r="TL1242" s="3"/>
      <c r="TM1242" s="3"/>
      <c r="TN1242" s="3"/>
      <c r="TO1242" s="3"/>
      <c r="TP1242" s="3"/>
      <c r="TQ1242" s="3"/>
      <c r="TR1242" s="3"/>
      <c r="TS1242" s="3"/>
      <c r="TT1242" s="3"/>
      <c r="TU1242" s="3"/>
      <c r="TV1242" s="3"/>
      <c r="TW1242" s="3"/>
      <c r="TX1242" s="3"/>
      <c r="TY1242" s="3"/>
      <c r="TZ1242" s="3"/>
      <c r="UA1242" s="3"/>
      <c r="UB1242" s="3"/>
      <c r="UC1242" s="3"/>
      <c r="UD1242" s="3"/>
      <c r="UE1242" s="3"/>
      <c r="UF1242" s="3"/>
      <c r="UG1242" s="3"/>
      <c r="UH1242" s="3"/>
      <c r="UI1242" s="3"/>
      <c r="UJ1242" s="3"/>
      <c r="UK1242" s="3"/>
      <c r="UL1242" s="3"/>
      <c r="UM1242" s="3"/>
      <c r="UN1242" s="3"/>
      <c r="UO1242" s="3"/>
      <c r="UP1242" s="3"/>
      <c r="UQ1242" s="3"/>
      <c r="UR1242" s="3"/>
      <c r="US1242" s="3"/>
      <c r="UT1242" s="3"/>
      <c r="UU1242" s="3"/>
      <c r="UV1242" s="3"/>
      <c r="UW1242" s="3"/>
      <c r="UX1242" s="3"/>
      <c r="UY1242" s="3"/>
      <c r="UZ1242" s="3"/>
      <c r="VA1242" s="3"/>
      <c r="VB1242" s="3"/>
      <c r="VC1242" s="3"/>
      <c r="VD1242" s="3"/>
      <c r="VE1242" s="3"/>
      <c r="VF1242" s="3"/>
      <c r="VG1242" s="3"/>
      <c r="VH1242" s="3"/>
      <c r="VI1242" s="3"/>
      <c r="VJ1242" s="3"/>
      <c r="VK1242" s="3"/>
      <c r="VL1242" s="3"/>
      <c r="VM1242" s="3"/>
      <c r="VN1242" s="3"/>
      <c r="VO1242" s="3"/>
      <c r="VP1242" s="3"/>
      <c r="VQ1242" s="3"/>
      <c r="VR1242" s="3"/>
      <c r="VS1242" s="3"/>
      <c r="VT1242" s="3"/>
      <c r="VU1242" s="3"/>
      <c r="VV1242" s="3"/>
      <c r="VW1242" s="3"/>
      <c r="VX1242" s="3"/>
      <c r="VY1242" s="3"/>
      <c r="VZ1242" s="3"/>
      <c r="WA1242" s="3"/>
      <c r="WB1242" s="3"/>
      <c r="WC1242" s="3"/>
      <c r="WD1242" s="3"/>
      <c r="WE1242" s="3"/>
      <c r="WF1242" s="3"/>
      <c r="WG1242" s="3"/>
      <c r="WH1242" s="3"/>
      <c r="WI1242" s="3"/>
      <c r="WJ1242" s="3"/>
      <c r="WK1242" s="3"/>
      <c r="WL1242" s="3"/>
      <c r="WM1242" s="3"/>
      <c r="WN1242" s="3"/>
      <c r="WO1242" s="3"/>
      <c r="WP1242" s="3"/>
      <c r="WQ1242" s="3"/>
      <c r="WR1242" s="3"/>
      <c r="WS1242" s="3"/>
      <c r="WT1242" s="3"/>
      <c r="WU1242" s="3"/>
      <c r="WV1242" s="3"/>
      <c r="WW1242" s="3"/>
      <c r="WX1242" s="3"/>
      <c r="WY1242" s="3"/>
      <c r="WZ1242" s="3"/>
      <c r="XA1242" s="3"/>
      <c r="XB1242" s="3"/>
      <c r="XC1242" s="3"/>
      <c r="XD1242" s="3"/>
      <c r="XE1242" s="3"/>
      <c r="XF1242" s="3"/>
      <c r="XG1242" s="3"/>
      <c r="XH1242" s="3"/>
      <c r="XI1242" s="3"/>
      <c r="XJ1242" s="3"/>
      <c r="XK1242" s="3"/>
      <c r="XL1242" s="3"/>
      <c r="XM1242" s="3"/>
      <c r="XN1242" s="3"/>
      <c r="XO1242" s="3"/>
      <c r="XP1242" s="3"/>
      <c r="XQ1242" s="3"/>
      <c r="XR1242" s="3"/>
      <c r="XS1242" s="3"/>
      <c r="XT1242" s="3"/>
      <c r="XU1242" s="3"/>
      <c r="XV1242" s="3"/>
      <c r="XW1242" s="3"/>
      <c r="XX1242" s="3"/>
      <c r="XY1242" s="3"/>
      <c r="XZ1242" s="3"/>
      <c r="YA1242" s="3"/>
      <c r="YB1242" s="3"/>
      <c r="YC1242" s="3"/>
      <c r="YD1242" s="3"/>
      <c r="YE1242" s="3"/>
      <c r="YF1242" s="3"/>
      <c r="YG1242" s="3"/>
      <c r="YH1242" s="3"/>
      <c r="YI1242" s="3"/>
      <c r="YJ1242" s="3"/>
      <c r="YK1242" s="3"/>
      <c r="YL1242" s="3"/>
      <c r="YM1242" s="3"/>
      <c r="YN1242" s="3"/>
      <c r="YO1242" s="3"/>
      <c r="YP1242" s="3"/>
      <c r="YQ1242" s="3"/>
      <c r="YR1242" s="3"/>
      <c r="YS1242" s="3"/>
      <c r="YT1242" s="3"/>
      <c r="YU1242" s="3"/>
      <c r="YV1242" s="3"/>
      <c r="YW1242" s="3"/>
      <c r="YX1242" s="3"/>
      <c r="YY1242" s="3"/>
      <c r="YZ1242" s="3"/>
      <c r="ZA1242" s="3"/>
      <c r="ZB1242" s="3"/>
      <c r="ZC1242" s="3"/>
      <c r="ZD1242" s="3"/>
      <c r="ZE1242" s="3"/>
      <c r="ZF1242" s="3"/>
      <c r="ZG1242" s="3"/>
      <c r="ZH1242" s="3"/>
      <c r="ZI1242" s="3"/>
      <c r="ZJ1242" s="3"/>
      <c r="ZK1242" s="3"/>
      <c r="ZL1242" s="3"/>
      <c r="ZM1242" s="3"/>
      <c r="ZN1242" s="3"/>
      <c r="ZO1242" s="3"/>
      <c r="ZP1242" s="3"/>
      <c r="ZQ1242" s="3"/>
      <c r="ZR1242" s="3"/>
      <c r="ZS1242" s="3"/>
      <c r="ZT1242" s="3"/>
      <c r="ZU1242" s="3"/>
      <c r="ZV1242" s="3"/>
      <c r="ZW1242" s="3"/>
      <c r="ZX1242" s="3"/>
      <c r="ZY1242" s="3"/>
      <c r="ZZ1242" s="3"/>
      <c r="AAA1242" s="3"/>
      <c r="AAB1242" s="3"/>
      <c r="AAC1242" s="3"/>
      <c r="AAD1242" s="3"/>
      <c r="AAE1242" s="3"/>
      <c r="AAF1242" s="3"/>
      <c r="AAG1242" s="3"/>
      <c r="AAH1242" s="3"/>
      <c r="AAI1242" s="3"/>
      <c r="AAJ1242" s="3"/>
      <c r="AAK1242" s="3"/>
      <c r="AAL1242" s="3"/>
      <c r="AAM1242" s="3"/>
      <c r="AAN1242" s="3"/>
      <c r="AAO1242" s="3"/>
      <c r="AAP1242" s="3"/>
      <c r="AAQ1242" s="3"/>
      <c r="AAR1242" s="3"/>
      <c r="AAS1242" s="3"/>
      <c r="AAT1242" s="3"/>
      <c r="AAU1242" s="3"/>
      <c r="AAV1242" s="3"/>
      <c r="AAW1242" s="3"/>
      <c r="AAX1242" s="3"/>
      <c r="AAY1242" s="3"/>
      <c r="AAZ1242" s="3"/>
      <c r="ABA1242" s="3"/>
      <c r="ABB1242" s="3"/>
      <c r="ABC1242" s="3"/>
      <c r="ABD1242" s="3"/>
      <c r="ABE1242" s="3"/>
      <c r="ABF1242" s="3"/>
      <c r="ABG1242" s="3"/>
      <c r="ABH1242" s="3"/>
      <c r="ABI1242" s="3"/>
      <c r="ABJ1242" s="3"/>
      <c r="ABK1242" s="3"/>
      <c r="ABL1242" s="3"/>
      <c r="ABM1242" s="3"/>
      <c r="ABN1242" s="3"/>
      <c r="ABO1242" s="3"/>
      <c r="ABP1242" s="3"/>
      <c r="ABQ1242" s="3"/>
      <c r="ABR1242" s="3"/>
      <c r="ABS1242" s="3"/>
      <c r="ABT1242" s="3"/>
      <c r="ABU1242" s="3"/>
      <c r="ABV1242" s="3"/>
      <c r="ABW1242" s="3"/>
      <c r="ABX1242" s="3"/>
      <c r="ABY1242" s="3"/>
      <c r="ABZ1242" s="3"/>
      <c r="ACA1242" s="3"/>
      <c r="ACB1242" s="3"/>
      <c r="ACC1242" s="3"/>
      <c r="ACD1242" s="3"/>
      <c r="ACE1242" s="3"/>
      <c r="ACF1242" s="3"/>
      <c r="ACG1242" s="3"/>
      <c r="ACH1242" s="3"/>
      <c r="ACI1242" s="3"/>
      <c r="ACJ1242" s="3"/>
      <c r="ACK1242" s="3"/>
      <c r="ACL1242" s="3"/>
      <c r="ACM1242" s="3"/>
      <c r="ACN1242" s="3"/>
      <c r="ACO1242" s="3"/>
      <c r="ACP1242" s="3"/>
      <c r="ACQ1242" s="3"/>
      <c r="ACR1242" s="3"/>
      <c r="ACS1242" s="3"/>
      <c r="ACT1242" s="3"/>
      <c r="ACU1242" s="3"/>
      <c r="ACV1242" s="3"/>
      <c r="ACW1242" s="3"/>
      <c r="ACX1242" s="3"/>
      <c r="ACY1242" s="3"/>
      <c r="ACZ1242" s="3"/>
      <c r="ADA1242" s="3"/>
      <c r="ADB1242" s="3"/>
      <c r="ADC1242" s="3"/>
      <c r="ADD1242" s="3"/>
      <c r="ADE1242" s="3"/>
      <c r="ADF1242" s="3"/>
      <c r="ADG1242" s="3"/>
      <c r="ADH1242" s="3"/>
      <c r="ADI1242" s="3"/>
      <c r="ADJ1242" s="3"/>
      <c r="ADK1242" s="3"/>
      <c r="ADL1242" s="3"/>
      <c r="ADM1242" s="3"/>
      <c r="ADN1242" s="3"/>
      <c r="ADO1242" s="3"/>
      <c r="ADP1242" s="3"/>
      <c r="ADQ1242" s="3"/>
      <c r="ADR1242" s="3"/>
      <c r="ADS1242" s="3"/>
      <c r="ADT1242" s="3"/>
      <c r="ADU1242" s="3"/>
      <c r="ADV1242" s="3"/>
      <c r="ADW1242" s="3"/>
      <c r="ADX1242" s="3"/>
      <c r="ADY1242" s="3"/>
      <c r="ADZ1242" s="3"/>
      <c r="AEA1242" s="3"/>
      <c r="AEB1242" s="3"/>
      <c r="AEC1242" s="3"/>
      <c r="AED1242" s="3"/>
      <c r="AEE1242" s="3"/>
      <c r="AEF1242" s="3"/>
      <c r="AEG1242" s="3"/>
      <c r="AEH1242" s="3"/>
      <c r="AEI1242" s="3"/>
      <c r="AEJ1242" s="3"/>
      <c r="AEK1242" s="3"/>
      <c r="AEL1242" s="3"/>
      <c r="AEM1242" s="3"/>
      <c r="AEN1242" s="3"/>
      <c r="AEO1242" s="3"/>
      <c r="AEP1242" s="3"/>
      <c r="AEQ1242" s="3"/>
      <c r="AER1242" s="3"/>
      <c r="AES1242" s="3"/>
      <c r="AET1242" s="3"/>
      <c r="AEU1242" s="3"/>
      <c r="AEV1242" s="3"/>
      <c r="AEW1242" s="3"/>
      <c r="AEX1242" s="3"/>
      <c r="AEY1242" s="3"/>
      <c r="AEZ1242" s="3"/>
      <c r="AFA1242" s="3"/>
      <c r="AFB1242" s="3"/>
      <c r="AFC1242" s="3"/>
      <c r="AFD1242" s="3"/>
      <c r="AFE1242" s="3"/>
      <c r="AFF1242" s="3"/>
      <c r="AFG1242" s="3"/>
      <c r="AFH1242" s="3"/>
      <c r="AFI1242" s="3"/>
      <c r="AFJ1242" s="3"/>
      <c r="AFK1242" s="3"/>
      <c r="AFL1242" s="3"/>
      <c r="AFM1242" s="3"/>
      <c r="AFN1242" s="3"/>
      <c r="AFO1242" s="3"/>
      <c r="AFP1242" s="3"/>
      <c r="AFQ1242" s="3"/>
      <c r="AFR1242" s="3"/>
      <c r="AFS1242" s="3"/>
      <c r="AFT1242" s="3"/>
      <c r="AFU1242" s="3"/>
      <c r="AFV1242" s="3"/>
      <c r="AFW1242" s="3"/>
      <c r="AFX1242" s="3"/>
      <c r="AFY1242" s="3"/>
      <c r="AFZ1242" s="3"/>
      <c r="AGA1242" s="3"/>
      <c r="AGB1242" s="3"/>
      <c r="AGC1242" s="3"/>
      <c r="AGD1242" s="3"/>
      <c r="AGE1242" s="3"/>
      <c r="AGF1242" s="3"/>
      <c r="AGG1242" s="3"/>
      <c r="AGH1242" s="3"/>
      <c r="AGI1242" s="3"/>
      <c r="AGJ1242" s="3"/>
      <c r="AGK1242" s="3"/>
      <c r="AGL1242" s="3"/>
      <c r="AGM1242" s="3"/>
      <c r="AGN1242" s="3"/>
      <c r="AGO1242" s="3"/>
      <c r="AGP1242" s="3"/>
      <c r="AGQ1242" s="3"/>
      <c r="AGR1242" s="3"/>
      <c r="AGS1242" s="3"/>
      <c r="AGT1242" s="3"/>
      <c r="AGU1242" s="3"/>
      <c r="AGV1242" s="3"/>
      <c r="AGW1242" s="3"/>
      <c r="AGX1242" s="3"/>
      <c r="AGY1242" s="3"/>
      <c r="AGZ1242" s="3"/>
      <c r="AHA1242" s="3"/>
      <c r="AHB1242" s="3"/>
      <c r="AHC1242" s="3"/>
      <c r="AHD1242" s="3"/>
      <c r="AHE1242" s="3"/>
      <c r="AHF1242" s="3"/>
      <c r="AHG1242" s="3"/>
      <c r="AHH1242" s="3"/>
      <c r="AHI1242" s="3"/>
      <c r="AHJ1242" s="3"/>
      <c r="AHK1242" s="3"/>
      <c r="AHL1242" s="3"/>
      <c r="AHM1242" s="3"/>
      <c r="AHN1242" s="3"/>
      <c r="AHO1242" s="3"/>
      <c r="AHP1242" s="3"/>
      <c r="AHQ1242" s="3"/>
      <c r="AHR1242" s="3"/>
      <c r="AHS1242" s="3"/>
      <c r="AHT1242" s="3"/>
      <c r="AHU1242" s="3"/>
      <c r="AHV1242" s="3"/>
      <c r="AHW1242" s="3"/>
      <c r="AHX1242" s="3"/>
      <c r="AHY1242" s="3"/>
      <c r="AHZ1242" s="3"/>
      <c r="AIA1242" s="3"/>
      <c r="AIB1242" s="3"/>
      <c r="AIC1242" s="3"/>
      <c r="AID1242" s="3"/>
      <c r="AIE1242" s="3"/>
      <c r="AIF1242" s="3"/>
      <c r="AIG1242" s="3"/>
      <c r="AIH1242" s="3"/>
      <c r="AII1242" s="3"/>
      <c r="AIJ1242" s="3"/>
      <c r="AIK1242" s="3"/>
      <c r="AIL1242" s="3"/>
      <c r="AIM1242" s="3"/>
      <c r="AIN1242" s="3"/>
      <c r="AIO1242" s="3"/>
      <c r="AIP1242" s="3"/>
      <c r="AIQ1242" s="3"/>
      <c r="AIR1242" s="3"/>
      <c r="AIS1242" s="3"/>
      <c r="AIT1242" s="3"/>
      <c r="AIU1242" s="3"/>
      <c r="AIV1242" s="3"/>
      <c r="AIW1242" s="3"/>
      <c r="AIX1242" s="3"/>
      <c r="AIY1242" s="3"/>
      <c r="AIZ1242" s="3"/>
      <c r="AJA1242" s="3"/>
      <c r="AJB1242" s="3"/>
      <c r="AJC1242" s="3"/>
      <c r="AJD1242" s="3"/>
      <c r="AJE1242" s="3"/>
      <c r="AJF1242" s="3"/>
      <c r="AJG1242" s="3"/>
      <c r="AJH1242" s="3"/>
      <c r="AJI1242" s="3"/>
      <c r="AJJ1242" s="3"/>
      <c r="AJK1242" s="3"/>
      <c r="AJL1242" s="3"/>
      <c r="AJM1242" s="3"/>
      <c r="AJN1242" s="3"/>
      <c r="AJO1242" s="3"/>
      <c r="AJP1242" s="3"/>
      <c r="AJQ1242" s="3"/>
      <c r="AJR1242" s="3"/>
      <c r="AJS1242" s="3"/>
      <c r="AJT1242" s="3"/>
      <c r="AJU1242" s="3"/>
      <c r="AJV1242" s="3"/>
      <c r="AJW1242" s="3"/>
      <c r="AJX1242" s="3"/>
      <c r="AJY1242" s="3"/>
      <c r="AJZ1242" s="3"/>
      <c r="AKA1242" s="3"/>
      <c r="AKB1242" s="3"/>
      <c r="AKC1242" s="3"/>
      <c r="AKD1242" s="3"/>
      <c r="AKE1242" s="3"/>
      <c r="AKF1242" s="3"/>
      <c r="AKG1242" s="3"/>
      <c r="AKH1242" s="3"/>
      <c r="AKI1242" s="3"/>
      <c r="AKJ1242" s="3"/>
      <c r="AKK1242" s="3"/>
      <c r="AKL1242" s="3"/>
      <c r="AKM1242" s="3"/>
      <c r="AKN1242" s="3"/>
      <c r="AKO1242" s="3"/>
      <c r="AKP1242" s="3"/>
      <c r="AKQ1242" s="3"/>
      <c r="AKR1242" s="3"/>
      <c r="AKS1242" s="3"/>
      <c r="AKT1242" s="3"/>
      <c r="AKU1242" s="3"/>
      <c r="AKV1242" s="3"/>
      <c r="AKW1242" s="3"/>
      <c r="AKX1242" s="3"/>
      <c r="AKY1242" s="3"/>
      <c r="AKZ1242" s="3"/>
      <c r="ALA1242" s="3"/>
      <c r="ALB1242" s="3"/>
      <c r="ALC1242" s="3"/>
      <c r="ALD1242" s="3"/>
      <c r="ALE1242" s="3"/>
      <c r="ALF1242" s="3"/>
      <c r="ALG1242" s="3"/>
      <c r="ALH1242" s="3"/>
      <c r="ALI1242" s="3"/>
      <c r="ALJ1242" s="3"/>
      <c r="ALK1242" s="3"/>
      <c r="ALL1242" s="3"/>
      <c r="ALM1242" s="3"/>
      <c r="ALN1242" s="3"/>
      <c r="ALO1242" s="3"/>
      <c r="ALP1242" s="3"/>
      <c r="ALQ1242" s="3"/>
      <c r="ALR1242" s="3"/>
      <c r="ALS1242" s="3"/>
      <c r="ALT1242" s="3"/>
      <c r="ALU1242" s="3"/>
      <c r="ALV1242" s="3"/>
      <c r="ALW1242" s="3"/>
      <c r="ALX1242" s="3"/>
      <c r="ALY1242" s="3"/>
      <c r="ALZ1242" s="3"/>
      <c r="AMA1242" s="3"/>
      <c r="AMB1242" s="3"/>
      <c r="AMC1242" s="3"/>
      <c r="AMD1242" s="3"/>
      <c r="AME1242" s="3"/>
      <c r="AMF1242" s="3"/>
      <c r="AMG1242" s="3"/>
      <c r="AMH1242" s="3"/>
      <c r="AMI1242" s="3"/>
      <c r="AMJ1242" s="3"/>
      <c r="AMK1242" s="3"/>
      <c r="AML1242" s="3"/>
      <c r="AMM1242" s="3"/>
    </row>
    <row r="1243" spans="1:1027" ht="15" customHeight="1">
      <c r="A1243" s="12">
        <v>443</v>
      </c>
      <c r="B1243" s="13" t="s">
        <v>1983</v>
      </c>
      <c r="C1243" s="14"/>
      <c r="D1243" s="14" t="s">
        <v>1982</v>
      </c>
      <c r="E1243" s="14" t="s">
        <v>21</v>
      </c>
      <c r="F1243" s="15" t="s">
        <v>22</v>
      </c>
      <c r="G1243" s="21"/>
      <c r="H1243" s="58"/>
      <c r="I1243" s="14"/>
      <c r="J1243" s="14" t="s">
        <v>23</v>
      </c>
      <c r="K1243" s="14"/>
      <c r="L1243" s="14"/>
      <c r="M1243" s="14" t="s">
        <v>1537</v>
      </c>
      <c r="N1243" s="14" t="s">
        <v>25</v>
      </c>
      <c r="O1243" s="14"/>
      <c r="P1243" s="14"/>
      <c r="Q1243" s="14"/>
      <c r="R1243" s="14" t="s">
        <v>1809</v>
      </c>
    </row>
    <row r="1244" spans="1:1027" ht="15" customHeight="1">
      <c r="A1244" s="12">
        <v>1219</v>
      </c>
      <c r="B1244" s="13" t="s">
        <v>1984</v>
      </c>
      <c r="C1244" s="14"/>
      <c r="D1244" s="14" t="s">
        <v>1982</v>
      </c>
      <c r="E1244" s="14" t="s">
        <v>21</v>
      </c>
      <c r="F1244" s="15" t="s">
        <v>22</v>
      </c>
      <c r="G1244" s="21"/>
      <c r="H1244" s="58"/>
      <c r="I1244" s="14"/>
      <c r="J1244" s="14" t="s">
        <v>23</v>
      </c>
      <c r="K1244" s="14"/>
      <c r="L1244" s="14"/>
      <c r="M1244" s="14" t="s">
        <v>1534</v>
      </c>
      <c r="N1244" s="14" t="s">
        <v>25</v>
      </c>
      <c r="O1244" s="14"/>
      <c r="P1244" s="14"/>
      <c r="Q1244" s="14"/>
      <c r="R1244" s="14" t="s">
        <v>1979</v>
      </c>
    </row>
    <row r="1245" spans="1:1027" ht="15" customHeight="1">
      <c r="A1245" s="12">
        <v>2006</v>
      </c>
      <c r="B1245" s="13" t="s">
        <v>1985</v>
      </c>
      <c r="C1245" s="14"/>
      <c r="D1245" s="14" t="s">
        <v>1982</v>
      </c>
      <c r="E1245" s="14" t="s">
        <v>21</v>
      </c>
      <c r="F1245" s="15" t="s">
        <v>22</v>
      </c>
      <c r="G1245" s="14"/>
      <c r="H1245" s="58">
        <v>0</v>
      </c>
      <c r="I1245" s="14"/>
      <c r="J1245" s="14" t="s">
        <v>23</v>
      </c>
      <c r="K1245" s="14"/>
      <c r="L1245" s="14"/>
      <c r="M1245" s="14" t="s">
        <v>32</v>
      </c>
      <c r="N1245" s="22"/>
      <c r="O1245" s="14"/>
      <c r="P1245" s="14"/>
      <c r="Q1245" s="14"/>
      <c r="R1245" s="14"/>
    </row>
    <row r="1246" spans="1:1027" ht="15" customHeight="1">
      <c r="A1246" s="12">
        <v>444</v>
      </c>
      <c r="B1246" s="13" t="s">
        <v>1986</v>
      </c>
      <c r="C1246" s="14"/>
      <c r="D1246" s="14" t="s">
        <v>1987</v>
      </c>
      <c r="E1246" s="14" t="s">
        <v>92</v>
      </c>
      <c r="F1246" s="15" t="s">
        <v>22</v>
      </c>
      <c r="G1246" s="21"/>
      <c r="H1246" s="58"/>
      <c r="I1246" s="14"/>
      <c r="J1246" s="14" t="s">
        <v>23</v>
      </c>
      <c r="K1246" s="14"/>
      <c r="L1246" s="14"/>
      <c r="M1246" s="14" t="s">
        <v>1537</v>
      </c>
      <c r="N1246" s="14" t="s">
        <v>25</v>
      </c>
      <c r="O1246" s="14"/>
      <c r="P1246" s="14"/>
      <c r="Q1246" s="14"/>
      <c r="R1246" s="14" t="s">
        <v>1809</v>
      </c>
    </row>
    <row r="1247" spans="1:1027" ht="15" customHeight="1">
      <c r="A1247" s="12">
        <v>1220</v>
      </c>
      <c r="B1247" s="13" t="s">
        <v>1988</v>
      </c>
      <c r="C1247" s="14"/>
      <c r="D1247" s="14" t="s">
        <v>1987</v>
      </c>
      <c r="E1247" s="14" t="s">
        <v>92</v>
      </c>
      <c r="F1247" s="15" t="s">
        <v>22</v>
      </c>
      <c r="G1247" s="21"/>
      <c r="H1247" s="58">
        <v>1</v>
      </c>
      <c r="I1247" s="14"/>
      <c r="J1247" s="14" t="s">
        <v>23</v>
      </c>
      <c r="K1247" s="14"/>
      <c r="L1247" s="14"/>
      <c r="M1247" s="14" t="s">
        <v>1534</v>
      </c>
      <c r="N1247" s="14" t="s">
        <v>25</v>
      </c>
      <c r="O1247" s="14"/>
      <c r="P1247" s="14"/>
      <c r="Q1247" s="14"/>
      <c r="R1247" s="14" t="s">
        <v>1979</v>
      </c>
    </row>
    <row r="1248" spans="1:1027" ht="15" customHeight="1">
      <c r="A1248" s="12">
        <v>2007</v>
      </c>
      <c r="B1248" s="13" t="s">
        <v>1989</v>
      </c>
      <c r="C1248" s="14"/>
      <c r="D1248" s="14" t="s">
        <v>1987</v>
      </c>
      <c r="E1248" s="14" t="s">
        <v>92</v>
      </c>
      <c r="F1248" s="15" t="s">
        <v>22</v>
      </c>
      <c r="G1248" s="14"/>
      <c r="H1248" s="58">
        <v>0</v>
      </c>
      <c r="I1248" s="14"/>
      <c r="J1248" s="14" t="s">
        <v>23</v>
      </c>
      <c r="K1248" s="14"/>
      <c r="L1248" s="14"/>
      <c r="M1248" s="14" t="s">
        <v>32</v>
      </c>
      <c r="N1248" s="22"/>
      <c r="O1248" s="14"/>
      <c r="P1248" s="14"/>
      <c r="Q1248" s="14"/>
      <c r="R1248" s="14"/>
    </row>
    <row r="1249" spans="1:18" ht="15" customHeight="1">
      <c r="A1249" s="12">
        <v>445</v>
      </c>
      <c r="B1249" s="13" t="s">
        <v>1990</v>
      </c>
      <c r="C1249" s="14"/>
      <c r="D1249" s="14" t="s">
        <v>1991</v>
      </c>
      <c r="E1249" s="14" t="s">
        <v>36</v>
      </c>
      <c r="F1249" s="15" t="s">
        <v>22</v>
      </c>
      <c r="G1249" s="21"/>
      <c r="H1249" s="58"/>
      <c r="I1249" s="14"/>
      <c r="J1249" s="14" t="s">
        <v>23</v>
      </c>
      <c r="K1249" s="14"/>
      <c r="L1249" s="14"/>
      <c r="M1249" s="14" t="s">
        <v>1537</v>
      </c>
      <c r="N1249" s="14" t="s">
        <v>25</v>
      </c>
      <c r="O1249" s="14"/>
      <c r="P1249" s="14"/>
      <c r="Q1249" s="14"/>
      <c r="R1249" s="14" t="s">
        <v>1809</v>
      </c>
    </row>
    <row r="1250" spans="1:18" ht="15" customHeight="1">
      <c r="A1250" s="12">
        <v>1221</v>
      </c>
      <c r="B1250" s="13" t="s">
        <v>1992</v>
      </c>
      <c r="C1250" s="14"/>
      <c r="D1250" s="14" t="s">
        <v>1991</v>
      </c>
      <c r="E1250" s="14" t="s">
        <v>36</v>
      </c>
      <c r="F1250" s="15" t="s">
        <v>22</v>
      </c>
      <c r="G1250" s="21"/>
      <c r="H1250" s="58">
        <v>1</v>
      </c>
      <c r="I1250" s="14"/>
      <c r="J1250" s="14" t="s">
        <v>23</v>
      </c>
      <c r="K1250" s="14"/>
      <c r="L1250" s="14"/>
      <c r="M1250" s="14" t="s">
        <v>1534</v>
      </c>
      <c r="N1250" s="14" t="s">
        <v>25</v>
      </c>
      <c r="O1250" s="14"/>
      <c r="P1250" s="14"/>
      <c r="Q1250" s="14"/>
      <c r="R1250" s="14" t="s">
        <v>1979</v>
      </c>
    </row>
    <row r="1251" spans="1:18" ht="15" customHeight="1">
      <c r="A1251" s="12">
        <v>2008</v>
      </c>
      <c r="B1251" s="13" t="s">
        <v>1993</v>
      </c>
      <c r="C1251" s="14"/>
      <c r="D1251" s="14" t="s">
        <v>1991</v>
      </c>
      <c r="E1251" s="14" t="s">
        <v>36</v>
      </c>
      <c r="F1251" s="15" t="s">
        <v>22</v>
      </c>
      <c r="G1251" s="14"/>
      <c r="H1251" s="58">
        <v>0</v>
      </c>
      <c r="I1251" s="14"/>
      <c r="J1251" s="14" t="s">
        <v>23</v>
      </c>
      <c r="K1251" s="14"/>
      <c r="L1251" s="14"/>
      <c r="M1251" s="14" t="s">
        <v>32</v>
      </c>
      <c r="N1251" s="22"/>
      <c r="O1251" s="14"/>
      <c r="P1251" s="14"/>
      <c r="Q1251" s="14"/>
      <c r="R1251" s="14"/>
    </row>
    <row r="1252" spans="1:18" ht="15" customHeight="1">
      <c r="A1252" s="12">
        <v>446</v>
      </c>
      <c r="B1252" s="13" t="s">
        <v>1994</v>
      </c>
      <c r="C1252" s="14"/>
      <c r="D1252" s="14" t="s">
        <v>1995</v>
      </c>
      <c r="E1252" s="14" t="s">
        <v>1961</v>
      </c>
      <c r="F1252" s="15" t="s">
        <v>22</v>
      </c>
      <c r="G1252" s="21"/>
      <c r="H1252" s="58"/>
      <c r="I1252" s="14"/>
      <c r="J1252" s="14" t="s">
        <v>23</v>
      </c>
      <c r="K1252" s="14"/>
      <c r="L1252" s="14"/>
      <c r="M1252" s="14" t="s">
        <v>1537</v>
      </c>
      <c r="N1252" s="14" t="s">
        <v>25</v>
      </c>
      <c r="O1252" s="14"/>
      <c r="P1252" s="14"/>
      <c r="Q1252" s="14"/>
      <c r="R1252" s="14" t="s">
        <v>1809</v>
      </c>
    </row>
    <row r="1253" spans="1:18" ht="15" customHeight="1">
      <c r="A1253" s="12">
        <v>1222</v>
      </c>
      <c r="B1253" s="13" t="s">
        <v>1996</v>
      </c>
      <c r="C1253" s="14"/>
      <c r="D1253" s="14" t="s">
        <v>1995</v>
      </c>
      <c r="E1253" s="14" t="s">
        <v>1961</v>
      </c>
      <c r="F1253" s="15" t="s">
        <v>22</v>
      </c>
      <c r="G1253" s="21"/>
      <c r="H1253" s="58"/>
      <c r="I1253" s="14"/>
      <c r="J1253" s="14" t="s">
        <v>23</v>
      </c>
      <c r="K1253" s="14"/>
      <c r="L1253" s="14"/>
      <c r="M1253" s="14" t="s">
        <v>1534</v>
      </c>
      <c r="N1253" s="14" t="s">
        <v>25</v>
      </c>
      <c r="O1253" s="14"/>
      <c r="P1253" s="14"/>
      <c r="Q1253" s="14"/>
      <c r="R1253" s="14" t="s">
        <v>1979</v>
      </c>
    </row>
    <row r="1254" spans="1:18" ht="15" customHeight="1">
      <c r="A1254" s="12">
        <v>2009</v>
      </c>
      <c r="B1254" s="13" t="s">
        <v>1997</v>
      </c>
      <c r="C1254" s="14"/>
      <c r="D1254" s="14" t="s">
        <v>1995</v>
      </c>
      <c r="E1254" s="14" t="s">
        <v>1961</v>
      </c>
      <c r="F1254" s="15" t="s">
        <v>22</v>
      </c>
      <c r="G1254" s="14"/>
      <c r="H1254" s="58">
        <v>0</v>
      </c>
      <c r="I1254" s="14"/>
      <c r="J1254" s="14" t="s">
        <v>23</v>
      </c>
      <c r="K1254" s="14"/>
      <c r="L1254" s="14"/>
      <c r="M1254" s="14" t="s">
        <v>32</v>
      </c>
      <c r="N1254" s="22"/>
      <c r="O1254" s="14"/>
      <c r="P1254" s="14"/>
      <c r="Q1254" s="14"/>
      <c r="R1254" s="14"/>
    </row>
    <row r="1255" spans="1:18" ht="15" customHeight="1">
      <c r="A1255" s="12">
        <v>447</v>
      </c>
      <c r="B1255" s="13" t="s">
        <v>1998</v>
      </c>
      <c r="C1255" s="14"/>
      <c r="D1255" s="14" t="s">
        <v>1999</v>
      </c>
      <c r="E1255" s="14" t="s">
        <v>44</v>
      </c>
      <c r="F1255" s="15" t="s">
        <v>22</v>
      </c>
      <c r="G1255" s="21"/>
      <c r="H1255" s="58"/>
      <c r="I1255" s="14"/>
      <c r="J1255" s="14" t="s">
        <v>23</v>
      </c>
      <c r="K1255" s="14"/>
      <c r="L1255" s="14"/>
      <c r="M1255" s="14" t="s">
        <v>1537</v>
      </c>
      <c r="N1255" s="14" t="s">
        <v>25</v>
      </c>
      <c r="O1255" s="14"/>
      <c r="P1255" s="14"/>
      <c r="Q1255" s="14"/>
      <c r="R1255" s="14" t="s">
        <v>1809</v>
      </c>
    </row>
    <row r="1256" spans="1:18" ht="15" customHeight="1">
      <c r="A1256" s="12">
        <v>1223</v>
      </c>
      <c r="B1256" s="13" t="s">
        <v>2000</v>
      </c>
      <c r="C1256" s="14"/>
      <c r="D1256" s="14" t="s">
        <v>1999</v>
      </c>
      <c r="E1256" s="14" t="s">
        <v>44</v>
      </c>
      <c r="F1256" s="15" t="s">
        <v>22</v>
      </c>
      <c r="G1256" s="21"/>
      <c r="H1256" s="58"/>
      <c r="I1256" s="14"/>
      <c r="J1256" s="14" t="s">
        <v>23</v>
      </c>
      <c r="K1256" s="14"/>
      <c r="L1256" s="14"/>
      <c r="M1256" s="14" t="s">
        <v>1534</v>
      </c>
      <c r="N1256" s="14" t="s">
        <v>25</v>
      </c>
      <c r="O1256" s="14"/>
      <c r="P1256" s="14"/>
      <c r="Q1256" s="14"/>
      <c r="R1256" s="14" t="s">
        <v>1979</v>
      </c>
    </row>
    <row r="1257" spans="1:18" ht="15" customHeight="1">
      <c r="A1257" s="12">
        <v>2010</v>
      </c>
      <c r="B1257" s="13" t="s">
        <v>2001</v>
      </c>
      <c r="C1257" s="14"/>
      <c r="D1257" s="14" t="s">
        <v>1999</v>
      </c>
      <c r="E1257" s="14" t="s">
        <v>44</v>
      </c>
      <c r="F1257" s="15" t="s">
        <v>22</v>
      </c>
      <c r="G1257" s="14"/>
      <c r="H1257" s="58">
        <v>1</v>
      </c>
      <c r="I1257" s="14"/>
      <c r="J1257" s="14" t="s">
        <v>23</v>
      </c>
      <c r="K1257" s="14"/>
      <c r="L1257" s="14"/>
      <c r="M1257" s="14" t="s">
        <v>32</v>
      </c>
      <c r="N1257" s="22"/>
      <c r="O1257" s="14"/>
      <c r="P1257" s="14"/>
      <c r="Q1257" s="14"/>
      <c r="R1257" s="14"/>
    </row>
    <row r="1258" spans="1:18" ht="15" customHeight="1">
      <c r="A1258" s="12">
        <v>448</v>
      </c>
      <c r="B1258" s="13" t="s">
        <v>2002</v>
      </c>
      <c r="C1258" s="14"/>
      <c r="D1258" s="14" t="s">
        <v>2003</v>
      </c>
      <c r="E1258" s="14" t="s">
        <v>36</v>
      </c>
      <c r="F1258" s="15" t="s">
        <v>22</v>
      </c>
      <c r="G1258" s="21"/>
      <c r="H1258" s="58"/>
      <c r="I1258" s="14"/>
      <c r="J1258" s="14" t="s">
        <v>23</v>
      </c>
      <c r="K1258" s="14"/>
      <c r="L1258" s="14"/>
      <c r="M1258" s="14" t="s">
        <v>1537</v>
      </c>
      <c r="N1258" s="14" t="s">
        <v>25</v>
      </c>
      <c r="O1258" s="14"/>
      <c r="P1258" s="14"/>
      <c r="Q1258" s="14"/>
      <c r="R1258" s="14" t="s">
        <v>1809</v>
      </c>
    </row>
    <row r="1259" spans="1:18" ht="15" customHeight="1">
      <c r="A1259" s="12">
        <v>1224</v>
      </c>
      <c r="B1259" s="13" t="s">
        <v>2004</v>
      </c>
      <c r="C1259" s="14"/>
      <c r="D1259" s="14" t="s">
        <v>2003</v>
      </c>
      <c r="E1259" s="14" t="s">
        <v>36</v>
      </c>
      <c r="F1259" s="15" t="s">
        <v>22</v>
      </c>
      <c r="G1259" s="21"/>
      <c r="H1259" s="58"/>
      <c r="I1259" s="14"/>
      <c r="J1259" s="14" t="s">
        <v>23</v>
      </c>
      <c r="K1259" s="14"/>
      <c r="L1259" s="14"/>
      <c r="M1259" s="14" t="s">
        <v>1534</v>
      </c>
      <c r="N1259" s="14" t="s">
        <v>25</v>
      </c>
      <c r="O1259" s="14"/>
      <c r="P1259" s="14"/>
      <c r="Q1259" s="14"/>
      <c r="R1259" s="14" t="s">
        <v>1979</v>
      </c>
    </row>
    <row r="1260" spans="1:18" ht="15" customHeight="1">
      <c r="A1260" s="12">
        <v>2011</v>
      </c>
      <c r="B1260" s="13" t="s">
        <v>2005</v>
      </c>
      <c r="C1260" s="14"/>
      <c r="D1260" s="14" t="s">
        <v>2003</v>
      </c>
      <c r="E1260" s="14" t="s">
        <v>36</v>
      </c>
      <c r="F1260" s="15" t="s">
        <v>22</v>
      </c>
      <c r="G1260" s="14"/>
      <c r="H1260" s="58">
        <v>0</v>
      </c>
      <c r="I1260" s="14"/>
      <c r="J1260" s="14" t="s">
        <v>23</v>
      </c>
      <c r="K1260" s="14"/>
      <c r="L1260" s="14"/>
      <c r="M1260" s="14" t="s">
        <v>32</v>
      </c>
      <c r="N1260" s="22"/>
      <c r="O1260" s="14"/>
      <c r="P1260" s="14"/>
      <c r="Q1260" s="14"/>
      <c r="R1260" s="14"/>
    </row>
    <row r="1261" spans="1:18" ht="15" customHeight="1">
      <c r="A1261" s="12">
        <v>449</v>
      </c>
      <c r="B1261" s="13" t="s">
        <v>2006</v>
      </c>
      <c r="C1261" s="14"/>
      <c r="D1261" s="14" t="s">
        <v>2007</v>
      </c>
      <c r="E1261" s="14" t="s">
        <v>1961</v>
      </c>
      <c r="F1261" s="15" t="s">
        <v>22</v>
      </c>
      <c r="G1261" s="21"/>
      <c r="H1261" s="58"/>
      <c r="I1261" s="14"/>
      <c r="J1261" s="14" t="s">
        <v>23</v>
      </c>
      <c r="K1261" s="14"/>
      <c r="L1261" s="14"/>
      <c r="M1261" s="14" t="s">
        <v>1537</v>
      </c>
      <c r="N1261" s="14" t="s">
        <v>25</v>
      </c>
      <c r="O1261" s="14"/>
      <c r="P1261" s="14"/>
      <c r="Q1261" s="14"/>
      <c r="R1261" s="14" t="s">
        <v>1809</v>
      </c>
    </row>
    <row r="1262" spans="1:18" ht="15" customHeight="1">
      <c r="A1262" s="12">
        <v>1225</v>
      </c>
      <c r="B1262" s="13" t="s">
        <v>2008</v>
      </c>
      <c r="C1262" s="14"/>
      <c r="D1262" s="14" t="s">
        <v>2007</v>
      </c>
      <c r="E1262" s="14" t="s">
        <v>1961</v>
      </c>
      <c r="F1262" s="15" t="s">
        <v>22</v>
      </c>
      <c r="G1262" s="21"/>
      <c r="H1262" s="58"/>
      <c r="I1262" s="14"/>
      <c r="J1262" s="14" t="s">
        <v>23</v>
      </c>
      <c r="K1262" s="14"/>
      <c r="L1262" s="14"/>
      <c r="M1262" s="14" t="s">
        <v>1534</v>
      </c>
      <c r="N1262" s="14" t="s">
        <v>25</v>
      </c>
      <c r="O1262" s="14"/>
      <c r="P1262" s="14"/>
      <c r="Q1262" s="14"/>
      <c r="R1262" s="14" t="s">
        <v>1979</v>
      </c>
    </row>
    <row r="1263" spans="1:18" ht="15" customHeight="1">
      <c r="A1263" s="12">
        <v>2012</v>
      </c>
      <c r="B1263" s="13" t="s">
        <v>2009</v>
      </c>
      <c r="C1263" s="14"/>
      <c r="D1263" s="14" t="s">
        <v>2007</v>
      </c>
      <c r="E1263" s="14" t="s">
        <v>1961</v>
      </c>
      <c r="F1263" s="15" t="s">
        <v>22</v>
      </c>
      <c r="G1263" s="14"/>
      <c r="H1263" s="58">
        <v>0</v>
      </c>
      <c r="I1263" s="14"/>
      <c r="J1263" s="14" t="s">
        <v>23</v>
      </c>
      <c r="K1263" s="14"/>
      <c r="L1263" s="14"/>
      <c r="M1263" s="14" t="s">
        <v>32</v>
      </c>
      <c r="N1263" s="22"/>
      <c r="O1263" s="14"/>
      <c r="P1263" s="14"/>
      <c r="Q1263" s="14"/>
      <c r="R1263" s="14"/>
    </row>
    <row r="1264" spans="1:18" ht="15" customHeight="1">
      <c r="A1264" s="12">
        <v>450</v>
      </c>
      <c r="B1264" s="13" t="s">
        <v>2010</v>
      </c>
      <c r="C1264" s="14"/>
      <c r="D1264" s="14" t="s">
        <v>2011</v>
      </c>
      <c r="E1264" s="14" t="s">
        <v>1961</v>
      </c>
      <c r="F1264" s="15" t="s">
        <v>22</v>
      </c>
      <c r="G1264" s="21"/>
      <c r="H1264" s="58"/>
      <c r="I1264" s="14"/>
      <c r="J1264" s="14" t="s">
        <v>23</v>
      </c>
      <c r="K1264" s="14"/>
      <c r="L1264" s="14"/>
      <c r="M1264" s="14" t="s">
        <v>1537</v>
      </c>
      <c r="N1264" s="14" t="s">
        <v>25</v>
      </c>
      <c r="O1264" s="14"/>
      <c r="P1264" s="14"/>
      <c r="Q1264" s="14"/>
      <c r="R1264" s="14" t="s">
        <v>1809</v>
      </c>
    </row>
    <row r="1265" spans="1:18" ht="15" customHeight="1">
      <c r="A1265" s="12">
        <v>1226</v>
      </c>
      <c r="B1265" s="13" t="s">
        <v>2012</v>
      </c>
      <c r="C1265" s="14"/>
      <c r="D1265" s="14" t="s">
        <v>2011</v>
      </c>
      <c r="E1265" s="14" t="s">
        <v>1961</v>
      </c>
      <c r="F1265" s="15" t="s">
        <v>22</v>
      </c>
      <c r="G1265" s="21"/>
      <c r="H1265" s="58"/>
      <c r="I1265" s="14"/>
      <c r="J1265" s="14" t="s">
        <v>23</v>
      </c>
      <c r="K1265" s="14"/>
      <c r="L1265" s="14"/>
      <c r="M1265" s="14" t="s">
        <v>1534</v>
      </c>
      <c r="N1265" s="14" t="s">
        <v>25</v>
      </c>
      <c r="O1265" s="14"/>
      <c r="P1265" s="14"/>
      <c r="Q1265" s="14"/>
      <c r="R1265" s="14" t="s">
        <v>1979</v>
      </c>
    </row>
    <row r="1266" spans="1:18" ht="15" customHeight="1">
      <c r="A1266" s="12">
        <v>2013</v>
      </c>
      <c r="B1266" s="13" t="s">
        <v>2013</v>
      </c>
      <c r="C1266" s="14"/>
      <c r="D1266" s="14" t="s">
        <v>2011</v>
      </c>
      <c r="E1266" s="14" t="s">
        <v>1961</v>
      </c>
      <c r="F1266" s="15" t="s">
        <v>22</v>
      </c>
      <c r="G1266" s="14"/>
      <c r="H1266" s="58">
        <v>0</v>
      </c>
      <c r="I1266" s="14"/>
      <c r="J1266" s="14" t="s">
        <v>23</v>
      </c>
      <c r="K1266" s="14"/>
      <c r="L1266" s="14"/>
      <c r="M1266" s="14" t="s">
        <v>32</v>
      </c>
      <c r="N1266" s="22"/>
      <c r="O1266" s="14"/>
      <c r="P1266" s="14"/>
      <c r="Q1266" s="14"/>
      <c r="R1266" s="14"/>
    </row>
    <row r="1267" spans="1:18" ht="15" customHeight="1">
      <c r="A1267" s="12">
        <v>451</v>
      </c>
      <c r="B1267" s="13" t="s">
        <v>2014</v>
      </c>
      <c r="C1267" s="14"/>
      <c r="D1267" s="14" t="s">
        <v>2015</v>
      </c>
      <c r="E1267" s="14" t="s">
        <v>36</v>
      </c>
      <c r="F1267" s="15" t="s">
        <v>22</v>
      </c>
      <c r="G1267" s="21"/>
      <c r="H1267" s="58"/>
      <c r="I1267" s="14"/>
      <c r="J1267" s="14" t="s">
        <v>23</v>
      </c>
      <c r="K1267" s="14"/>
      <c r="L1267" s="14"/>
      <c r="M1267" s="14" t="s">
        <v>1537</v>
      </c>
      <c r="N1267" s="25" t="s">
        <v>37</v>
      </c>
      <c r="O1267" s="14" t="s">
        <v>189</v>
      </c>
      <c r="P1267" s="14"/>
      <c r="Q1267" s="14"/>
      <c r="R1267" s="14" t="s">
        <v>1809</v>
      </c>
    </row>
    <row r="1268" spans="1:18" ht="15" customHeight="1">
      <c r="A1268" s="12">
        <v>1227</v>
      </c>
      <c r="B1268" s="13" t="s">
        <v>2016</v>
      </c>
      <c r="C1268" s="14"/>
      <c r="D1268" s="14" t="s">
        <v>2015</v>
      </c>
      <c r="E1268" s="14" t="s">
        <v>36</v>
      </c>
      <c r="F1268" s="15" t="s">
        <v>22</v>
      </c>
      <c r="G1268" s="21"/>
      <c r="H1268" s="58">
        <v>2</v>
      </c>
      <c r="I1268" s="14"/>
      <c r="J1268" s="14" t="s">
        <v>23</v>
      </c>
      <c r="K1268" s="14"/>
      <c r="L1268" s="14"/>
      <c r="M1268" s="14" t="s">
        <v>1534</v>
      </c>
      <c r="N1268" s="25" t="s">
        <v>37</v>
      </c>
      <c r="O1268" s="14" t="s">
        <v>356</v>
      </c>
      <c r="P1268" s="14"/>
      <c r="Q1268" s="14"/>
      <c r="R1268" s="14" t="s">
        <v>1979</v>
      </c>
    </row>
    <row r="1269" spans="1:18" ht="15" customHeight="1">
      <c r="A1269" s="12">
        <v>2014</v>
      </c>
      <c r="B1269" s="13" t="s">
        <v>2017</v>
      </c>
      <c r="C1269" s="14"/>
      <c r="D1269" s="14" t="s">
        <v>2015</v>
      </c>
      <c r="E1269" s="14" t="s">
        <v>36</v>
      </c>
      <c r="F1269" s="15" t="s">
        <v>22</v>
      </c>
      <c r="G1269" s="14"/>
      <c r="H1269" s="58">
        <v>1</v>
      </c>
      <c r="I1269" s="14"/>
      <c r="J1269" s="14" t="s">
        <v>23</v>
      </c>
      <c r="K1269" s="14"/>
      <c r="L1269" s="14"/>
      <c r="M1269" s="14" t="s">
        <v>32</v>
      </c>
      <c r="N1269" s="22"/>
      <c r="O1269" s="14"/>
      <c r="P1269" s="14"/>
      <c r="Q1269" s="14"/>
      <c r="R1269" s="14"/>
    </row>
    <row r="1270" spans="1:18" ht="15" customHeight="1">
      <c r="A1270" s="12">
        <v>452</v>
      </c>
      <c r="B1270" s="13" t="s">
        <v>2018</v>
      </c>
      <c r="C1270" s="14"/>
      <c r="D1270" s="14" t="s">
        <v>2019</v>
      </c>
      <c r="E1270" s="14" t="s">
        <v>1961</v>
      </c>
      <c r="F1270" s="15" t="s">
        <v>22</v>
      </c>
      <c r="G1270" s="21"/>
      <c r="H1270" s="58"/>
      <c r="I1270" s="14"/>
      <c r="J1270" s="14" t="s">
        <v>23</v>
      </c>
      <c r="K1270" s="14"/>
      <c r="L1270" s="14"/>
      <c r="M1270" s="14" t="s">
        <v>1537</v>
      </c>
      <c r="N1270" s="14" t="s">
        <v>25</v>
      </c>
      <c r="O1270" s="14"/>
      <c r="P1270" s="14"/>
      <c r="Q1270" s="14"/>
      <c r="R1270" s="14" t="s">
        <v>1809</v>
      </c>
    </row>
    <row r="1271" spans="1:18" ht="15" customHeight="1">
      <c r="A1271" s="12">
        <v>1228</v>
      </c>
      <c r="B1271" s="13" t="s">
        <v>2020</v>
      </c>
      <c r="C1271" s="14"/>
      <c r="D1271" s="14" t="s">
        <v>2019</v>
      </c>
      <c r="E1271" s="14" t="s">
        <v>1961</v>
      </c>
      <c r="F1271" s="15" t="s">
        <v>22</v>
      </c>
      <c r="G1271" s="21"/>
      <c r="H1271" s="58"/>
      <c r="I1271" s="14"/>
      <c r="J1271" s="14" t="s">
        <v>23</v>
      </c>
      <c r="K1271" s="14"/>
      <c r="L1271" s="14"/>
      <c r="M1271" s="14" t="s">
        <v>1534</v>
      </c>
      <c r="N1271" s="14" t="s">
        <v>25</v>
      </c>
      <c r="O1271" s="14"/>
      <c r="P1271" s="14"/>
      <c r="Q1271" s="14"/>
      <c r="R1271" s="14" t="s">
        <v>1979</v>
      </c>
    </row>
    <row r="1272" spans="1:18" ht="15" customHeight="1">
      <c r="A1272" s="12">
        <v>2015</v>
      </c>
      <c r="B1272" s="13" t="s">
        <v>2021</v>
      </c>
      <c r="C1272" s="14"/>
      <c r="D1272" s="14" t="s">
        <v>2019</v>
      </c>
      <c r="E1272" s="14" t="s">
        <v>1961</v>
      </c>
      <c r="F1272" s="15" t="s">
        <v>22</v>
      </c>
      <c r="G1272" s="14"/>
      <c r="H1272" s="58">
        <v>0</v>
      </c>
      <c r="I1272" s="14"/>
      <c r="J1272" s="14" t="s">
        <v>23</v>
      </c>
      <c r="K1272" s="14"/>
      <c r="L1272" s="14"/>
      <c r="M1272" s="14" t="s">
        <v>32</v>
      </c>
      <c r="N1272" s="22"/>
      <c r="O1272" s="14"/>
      <c r="P1272" s="14"/>
      <c r="Q1272" s="14"/>
      <c r="R1272" s="14"/>
    </row>
    <row r="1273" spans="1:18" ht="15" customHeight="1">
      <c r="A1273" s="12">
        <v>453</v>
      </c>
      <c r="B1273" s="13" t="s">
        <v>2022</v>
      </c>
      <c r="C1273" s="14"/>
      <c r="D1273" s="14" t="s">
        <v>2023</v>
      </c>
      <c r="E1273" s="14" t="s">
        <v>2024</v>
      </c>
      <c r="F1273" s="15" t="s">
        <v>22</v>
      </c>
      <c r="G1273" s="21"/>
      <c r="H1273" s="58"/>
      <c r="I1273" s="14"/>
      <c r="J1273" s="14" t="s">
        <v>23</v>
      </c>
      <c r="K1273" s="14"/>
      <c r="L1273" s="14"/>
      <c r="M1273" s="14" t="s">
        <v>1537</v>
      </c>
      <c r="N1273" s="14" t="s">
        <v>25</v>
      </c>
      <c r="O1273" s="14"/>
      <c r="P1273" s="14"/>
      <c r="Q1273" s="14"/>
      <c r="R1273" s="14" t="s">
        <v>1809</v>
      </c>
    </row>
    <row r="1274" spans="1:18" ht="15" customHeight="1">
      <c r="A1274" s="12">
        <v>1229</v>
      </c>
      <c r="B1274" s="13" t="s">
        <v>2025</v>
      </c>
      <c r="C1274" s="14"/>
      <c r="D1274" s="14" t="s">
        <v>2023</v>
      </c>
      <c r="E1274" s="14" t="s">
        <v>2024</v>
      </c>
      <c r="F1274" s="15" t="s">
        <v>22</v>
      </c>
      <c r="G1274" s="21"/>
      <c r="H1274" s="58">
        <v>1</v>
      </c>
      <c r="I1274" s="14"/>
      <c r="J1274" s="14" t="s">
        <v>23</v>
      </c>
      <c r="K1274" s="14"/>
      <c r="L1274" s="14"/>
      <c r="M1274" s="14" t="s">
        <v>1534</v>
      </c>
      <c r="N1274" s="14" t="s">
        <v>25</v>
      </c>
      <c r="O1274" s="14"/>
      <c r="P1274" s="14"/>
      <c r="Q1274" s="14"/>
      <c r="R1274" s="14" t="s">
        <v>1979</v>
      </c>
    </row>
    <row r="1275" spans="1:18" ht="15" customHeight="1">
      <c r="A1275" s="12">
        <v>2016</v>
      </c>
      <c r="B1275" s="13" t="s">
        <v>2026</v>
      </c>
      <c r="C1275" s="14"/>
      <c r="D1275" s="14" t="s">
        <v>2023</v>
      </c>
      <c r="E1275" s="14" t="s">
        <v>2024</v>
      </c>
      <c r="F1275" s="15" t="s">
        <v>22</v>
      </c>
      <c r="G1275" s="14"/>
      <c r="H1275" s="58">
        <v>0</v>
      </c>
      <c r="I1275" s="14"/>
      <c r="J1275" s="14" t="s">
        <v>23</v>
      </c>
      <c r="K1275" s="14"/>
      <c r="L1275" s="14"/>
      <c r="M1275" s="14" t="s">
        <v>32</v>
      </c>
      <c r="N1275" s="22"/>
      <c r="O1275" s="14"/>
      <c r="P1275" s="14"/>
      <c r="Q1275" s="14"/>
      <c r="R1275" s="14"/>
    </row>
    <row r="1276" spans="1:18" ht="15" customHeight="1">
      <c r="A1276" s="12">
        <v>454</v>
      </c>
      <c r="B1276" s="13" t="s">
        <v>2027</v>
      </c>
      <c r="C1276" s="14"/>
      <c r="D1276" s="14" t="s">
        <v>2028</v>
      </c>
      <c r="E1276" s="14" t="s">
        <v>44</v>
      </c>
      <c r="F1276" s="15" t="s">
        <v>22</v>
      </c>
      <c r="G1276" s="21"/>
      <c r="H1276" s="58"/>
      <c r="I1276" s="14"/>
      <c r="J1276" s="14" t="s">
        <v>23</v>
      </c>
      <c r="K1276" s="14"/>
      <c r="L1276" s="14"/>
      <c r="M1276" s="14" t="s">
        <v>1537</v>
      </c>
      <c r="N1276" s="25" t="s">
        <v>289</v>
      </c>
      <c r="O1276" s="14" t="s">
        <v>189</v>
      </c>
      <c r="P1276" s="14"/>
      <c r="Q1276" s="14"/>
      <c r="R1276" s="14" t="s">
        <v>1809</v>
      </c>
    </row>
    <row r="1277" spans="1:18" ht="15" customHeight="1">
      <c r="A1277" s="12">
        <v>1230</v>
      </c>
      <c r="B1277" s="13" t="s">
        <v>2029</v>
      </c>
      <c r="C1277" s="14"/>
      <c r="D1277" s="14" t="s">
        <v>2028</v>
      </c>
      <c r="E1277" s="14" t="s">
        <v>44</v>
      </c>
      <c r="F1277" s="15" t="s">
        <v>22</v>
      </c>
      <c r="G1277" s="21"/>
      <c r="H1277" s="58">
        <v>3</v>
      </c>
      <c r="I1277" s="14"/>
      <c r="J1277" s="14" t="s">
        <v>23</v>
      </c>
      <c r="K1277" s="14"/>
      <c r="L1277" s="14"/>
      <c r="M1277" s="14" t="s">
        <v>1534</v>
      </c>
      <c r="N1277" s="25" t="s">
        <v>37</v>
      </c>
      <c r="O1277" s="14" t="s">
        <v>2030</v>
      </c>
      <c r="P1277" s="14"/>
      <c r="Q1277" s="14"/>
      <c r="R1277" s="14" t="s">
        <v>1979</v>
      </c>
    </row>
    <row r="1278" spans="1:18" ht="15" customHeight="1">
      <c r="A1278" s="12">
        <v>2017</v>
      </c>
      <c r="B1278" s="13" t="s">
        <v>2031</v>
      </c>
      <c r="C1278" s="14"/>
      <c r="D1278" s="14" t="s">
        <v>2028</v>
      </c>
      <c r="E1278" s="14" t="s">
        <v>44</v>
      </c>
      <c r="F1278" s="15" t="s">
        <v>22</v>
      </c>
      <c r="G1278" s="14"/>
      <c r="H1278" s="58">
        <v>1</v>
      </c>
      <c r="I1278" s="14"/>
      <c r="J1278" s="14" t="s">
        <v>23</v>
      </c>
      <c r="K1278" s="14"/>
      <c r="L1278" s="14"/>
      <c r="M1278" s="14" t="s">
        <v>32</v>
      </c>
      <c r="N1278" s="22"/>
      <c r="O1278" s="14"/>
      <c r="P1278" s="14"/>
      <c r="Q1278" s="14"/>
      <c r="R1278" s="14"/>
    </row>
    <row r="1279" spans="1:18" ht="15" customHeight="1">
      <c r="A1279" s="12">
        <v>455</v>
      </c>
      <c r="B1279" s="13" t="s">
        <v>2032</v>
      </c>
      <c r="C1279" s="14"/>
      <c r="D1279" s="14" t="s">
        <v>2033</v>
      </c>
      <c r="E1279" s="14" t="s">
        <v>1102</v>
      </c>
      <c r="F1279" s="15" t="s">
        <v>22</v>
      </c>
      <c r="G1279" s="21"/>
      <c r="H1279" s="58"/>
      <c r="I1279" s="14"/>
      <c r="J1279" s="14" t="s">
        <v>23</v>
      </c>
      <c r="K1279" s="14"/>
      <c r="L1279" s="14"/>
      <c r="M1279" s="14" t="s">
        <v>1537</v>
      </c>
      <c r="N1279" s="14" t="s">
        <v>25</v>
      </c>
      <c r="O1279" s="14"/>
      <c r="P1279" s="14"/>
      <c r="Q1279" s="14"/>
      <c r="R1279" s="14" t="s">
        <v>1809</v>
      </c>
    </row>
    <row r="1280" spans="1:18" ht="15" customHeight="1">
      <c r="A1280" s="12">
        <v>1231</v>
      </c>
      <c r="B1280" s="13" t="s">
        <v>2034</v>
      </c>
      <c r="C1280" s="14"/>
      <c r="D1280" s="14" t="s">
        <v>2033</v>
      </c>
      <c r="E1280" s="14" t="s">
        <v>1102</v>
      </c>
      <c r="F1280" s="15" t="s">
        <v>22</v>
      </c>
      <c r="G1280" s="21"/>
      <c r="H1280" s="58"/>
      <c r="I1280" s="14"/>
      <c r="J1280" s="14" t="s">
        <v>23</v>
      </c>
      <c r="K1280" s="14"/>
      <c r="L1280" s="14"/>
      <c r="M1280" s="14" t="s">
        <v>1534</v>
      </c>
      <c r="N1280" s="14" t="s">
        <v>25</v>
      </c>
      <c r="O1280" s="14"/>
      <c r="P1280" s="14"/>
      <c r="Q1280" s="14"/>
      <c r="R1280" s="14" t="s">
        <v>1979</v>
      </c>
    </row>
    <row r="1281" spans="1:18" ht="15" customHeight="1">
      <c r="A1281" s="12">
        <v>2018</v>
      </c>
      <c r="B1281" s="13" t="s">
        <v>2035</v>
      </c>
      <c r="C1281" s="14"/>
      <c r="D1281" s="14" t="s">
        <v>2033</v>
      </c>
      <c r="E1281" s="14" t="s">
        <v>1102</v>
      </c>
      <c r="F1281" s="15" t="s">
        <v>22</v>
      </c>
      <c r="G1281" s="14"/>
      <c r="H1281" s="58">
        <v>0</v>
      </c>
      <c r="I1281" s="14"/>
      <c r="J1281" s="14" t="s">
        <v>23</v>
      </c>
      <c r="K1281" s="14"/>
      <c r="L1281" s="14"/>
      <c r="M1281" s="14" t="s">
        <v>32</v>
      </c>
      <c r="N1281" s="22"/>
      <c r="O1281" s="14"/>
      <c r="P1281" s="14"/>
      <c r="Q1281" s="14"/>
      <c r="R1281" s="14"/>
    </row>
    <row r="1282" spans="1:18" ht="15" customHeight="1">
      <c r="A1282" s="12">
        <v>456</v>
      </c>
      <c r="B1282" s="13" t="s">
        <v>2036</v>
      </c>
      <c r="C1282" s="14"/>
      <c r="D1282" s="14" t="s">
        <v>2037</v>
      </c>
      <c r="E1282" s="14" t="s">
        <v>44</v>
      </c>
      <c r="F1282" s="15" t="s">
        <v>22</v>
      </c>
      <c r="G1282" s="21"/>
      <c r="H1282" s="58"/>
      <c r="I1282" s="14"/>
      <c r="J1282" s="14" t="s">
        <v>23</v>
      </c>
      <c r="K1282" s="14"/>
      <c r="L1282" s="14"/>
      <c r="M1282" s="14" t="s">
        <v>1537</v>
      </c>
      <c r="N1282" s="14" t="s">
        <v>25</v>
      </c>
      <c r="O1282" s="14"/>
      <c r="P1282" s="14"/>
      <c r="Q1282" s="14"/>
      <c r="R1282" s="14" t="s">
        <v>1809</v>
      </c>
    </row>
    <row r="1283" spans="1:18" ht="15" customHeight="1">
      <c r="A1283" s="12">
        <v>1232</v>
      </c>
      <c r="B1283" s="13" t="s">
        <v>2038</v>
      </c>
      <c r="C1283" s="14"/>
      <c r="D1283" s="14" t="s">
        <v>2037</v>
      </c>
      <c r="E1283" s="14" t="s">
        <v>44</v>
      </c>
      <c r="F1283" s="15" t="s">
        <v>22</v>
      </c>
      <c r="G1283" s="21"/>
      <c r="H1283" s="58">
        <v>3</v>
      </c>
      <c r="I1283" s="14"/>
      <c r="J1283" s="14" t="s">
        <v>23</v>
      </c>
      <c r="K1283" s="14"/>
      <c r="L1283" s="14"/>
      <c r="M1283" s="14" t="s">
        <v>1534</v>
      </c>
      <c r="N1283" s="25" t="s">
        <v>37</v>
      </c>
      <c r="O1283" s="14" t="s">
        <v>1769</v>
      </c>
      <c r="P1283" s="14"/>
      <c r="Q1283" s="14"/>
      <c r="R1283" s="14" t="s">
        <v>1979</v>
      </c>
    </row>
    <row r="1284" spans="1:18" ht="15" customHeight="1">
      <c r="A1284" s="12">
        <v>2019</v>
      </c>
      <c r="B1284" s="13" t="s">
        <v>2039</v>
      </c>
      <c r="C1284" s="14"/>
      <c r="D1284" s="14" t="s">
        <v>2037</v>
      </c>
      <c r="E1284" s="14" t="s">
        <v>44</v>
      </c>
      <c r="F1284" s="15" t="s">
        <v>22</v>
      </c>
      <c r="G1284" s="14"/>
      <c r="H1284" s="58">
        <v>3</v>
      </c>
      <c r="I1284" s="14"/>
      <c r="J1284" s="14" t="s">
        <v>23</v>
      </c>
      <c r="K1284" s="14"/>
      <c r="L1284" s="14"/>
      <c r="M1284" s="14" t="s">
        <v>32</v>
      </c>
      <c r="N1284" s="22"/>
      <c r="O1284" s="14"/>
      <c r="P1284" s="14"/>
      <c r="Q1284" s="14"/>
      <c r="R1284" s="14"/>
    </row>
    <row r="1285" spans="1:18" ht="15" customHeight="1">
      <c r="A1285" s="12">
        <v>457</v>
      </c>
      <c r="B1285" s="13" t="s">
        <v>2040</v>
      </c>
      <c r="C1285" s="14"/>
      <c r="D1285" s="14" t="s">
        <v>2041</v>
      </c>
      <c r="E1285" s="14" t="s">
        <v>36</v>
      </c>
      <c r="F1285" s="15" t="s">
        <v>22</v>
      </c>
      <c r="G1285" s="21"/>
      <c r="H1285" s="58"/>
      <c r="I1285" s="14"/>
      <c r="J1285" s="14" t="s">
        <v>23</v>
      </c>
      <c r="K1285" s="14"/>
      <c r="L1285" s="14"/>
      <c r="M1285" s="14" t="s">
        <v>1537</v>
      </c>
      <c r="N1285" s="25" t="s">
        <v>37</v>
      </c>
      <c r="O1285" s="14" t="s">
        <v>189</v>
      </c>
      <c r="P1285" s="14"/>
      <c r="Q1285" s="14"/>
      <c r="R1285" s="14" t="s">
        <v>1809</v>
      </c>
    </row>
    <row r="1286" spans="1:18" ht="15" customHeight="1">
      <c r="A1286" s="12">
        <v>1233</v>
      </c>
      <c r="B1286" s="13" t="s">
        <v>2042</v>
      </c>
      <c r="C1286" s="14"/>
      <c r="D1286" s="14" t="s">
        <v>2041</v>
      </c>
      <c r="E1286" s="14" t="s">
        <v>36</v>
      </c>
      <c r="F1286" s="15" t="s">
        <v>22</v>
      </c>
      <c r="G1286" s="21"/>
      <c r="H1286" s="58"/>
      <c r="I1286" s="14"/>
      <c r="J1286" s="14" t="s">
        <v>23</v>
      </c>
      <c r="K1286" s="14"/>
      <c r="L1286" s="14"/>
      <c r="M1286" s="14" t="s">
        <v>1534</v>
      </c>
      <c r="N1286" s="25" t="s">
        <v>37</v>
      </c>
      <c r="O1286" s="14" t="s">
        <v>1034</v>
      </c>
      <c r="P1286" s="14"/>
      <c r="Q1286" s="14"/>
      <c r="R1286" s="14" t="s">
        <v>1979</v>
      </c>
    </row>
    <row r="1287" spans="1:18" ht="15" customHeight="1">
      <c r="A1287" s="12">
        <v>2020</v>
      </c>
      <c r="B1287" s="13" t="s">
        <v>2043</v>
      </c>
      <c r="C1287" s="14"/>
      <c r="D1287" s="14" t="s">
        <v>2041</v>
      </c>
      <c r="E1287" s="14" t="s">
        <v>36</v>
      </c>
      <c r="F1287" s="15" t="s">
        <v>22</v>
      </c>
      <c r="G1287" s="14"/>
      <c r="H1287" s="58">
        <v>0</v>
      </c>
      <c r="I1287" s="14"/>
      <c r="J1287" s="14" t="s">
        <v>23</v>
      </c>
      <c r="K1287" s="14"/>
      <c r="L1287" s="14"/>
      <c r="M1287" s="14" t="s">
        <v>32</v>
      </c>
      <c r="N1287" s="22"/>
      <c r="O1287" s="14"/>
      <c r="P1287" s="14"/>
      <c r="Q1287" s="14"/>
      <c r="R1287" s="14"/>
    </row>
    <row r="1288" spans="1:18" ht="15" customHeight="1">
      <c r="A1288" s="12" t="e">
        <f>A:A458</f>
        <v>#NAME?</v>
      </c>
      <c r="B1288" s="13" t="s">
        <v>2044</v>
      </c>
      <c r="C1288" s="14"/>
      <c r="D1288" s="14" t="s">
        <v>2045</v>
      </c>
      <c r="E1288" s="14" t="s">
        <v>137</v>
      </c>
      <c r="F1288" s="15" t="s">
        <v>22</v>
      </c>
      <c r="G1288" s="21"/>
      <c r="H1288" s="58"/>
      <c r="I1288" s="14"/>
      <c r="J1288" s="14" t="s">
        <v>23</v>
      </c>
      <c r="K1288" s="14"/>
      <c r="L1288" s="14"/>
      <c r="M1288" s="14" t="s">
        <v>1537</v>
      </c>
      <c r="N1288" s="14" t="s">
        <v>25</v>
      </c>
      <c r="O1288" s="14"/>
      <c r="P1288" s="14"/>
      <c r="Q1288" s="14"/>
      <c r="R1288" s="14" t="s">
        <v>1809</v>
      </c>
    </row>
    <row r="1289" spans="1:18" ht="15" customHeight="1">
      <c r="A1289" s="12">
        <v>1234</v>
      </c>
      <c r="B1289" s="13" t="s">
        <v>2046</v>
      </c>
      <c r="C1289" s="14"/>
      <c r="D1289" s="14" t="s">
        <v>2045</v>
      </c>
      <c r="E1289" s="14" t="s">
        <v>137</v>
      </c>
      <c r="F1289" s="15" t="s">
        <v>22</v>
      </c>
      <c r="G1289" s="21"/>
      <c r="H1289" s="58"/>
      <c r="I1289" s="14"/>
      <c r="J1289" s="14" t="s">
        <v>23</v>
      </c>
      <c r="K1289" s="14"/>
      <c r="L1289" s="14"/>
      <c r="M1289" s="14" t="s">
        <v>1534</v>
      </c>
      <c r="N1289" s="14" t="s">
        <v>25</v>
      </c>
      <c r="O1289" s="14"/>
      <c r="P1289" s="14"/>
      <c r="Q1289" s="14"/>
      <c r="R1289" s="14" t="s">
        <v>1979</v>
      </c>
    </row>
    <row r="1290" spans="1:18" ht="15" customHeight="1">
      <c r="A1290" s="12">
        <v>2021</v>
      </c>
      <c r="B1290" s="13" t="s">
        <v>2047</v>
      </c>
      <c r="C1290" s="14"/>
      <c r="D1290" s="14" t="s">
        <v>2045</v>
      </c>
      <c r="E1290" s="14" t="s">
        <v>137</v>
      </c>
      <c r="F1290" s="15" t="s">
        <v>22</v>
      </c>
      <c r="G1290" s="14"/>
      <c r="H1290" s="58">
        <v>0</v>
      </c>
      <c r="I1290" s="14"/>
      <c r="J1290" s="14" t="s">
        <v>23</v>
      </c>
      <c r="K1290" s="14"/>
      <c r="L1290" s="14"/>
      <c r="M1290" s="14" t="s">
        <v>32</v>
      </c>
      <c r="N1290" s="42"/>
      <c r="O1290" s="39"/>
      <c r="P1290" s="14"/>
      <c r="Q1290" s="14"/>
      <c r="R1290" s="14"/>
    </row>
    <row r="1291" spans="1:18" ht="15" customHeight="1">
      <c r="A1291" s="12">
        <v>459</v>
      </c>
      <c r="B1291" s="13" t="s">
        <v>2048</v>
      </c>
      <c r="C1291" s="14"/>
      <c r="D1291" s="14" t="s">
        <v>2049</v>
      </c>
      <c r="E1291" s="14" t="s">
        <v>36</v>
      </c>
      <c r="F1291" s="15" t="s">
        <v>22</v>
      </c>
      <c r="G1291" s="21"/>
      <c r="H1291" s="58"/>
      <c r="I1291" s="14"/>
      <c r="J1291" s="14" t="s">
        <v>23</v>
      </c>
      <c r="K1291" s="14"/>
      <c r="L1291" s="14"/>
      <c r="M1291" s="14" t="s">
        <v>1537</v>
      </c>
      <c r="N1291" s="25" t="s">
        <v>37</v>
      </c>
      <c r="O1291" s="14" t="s">
        <v>45</v>
      </c>
      <c r="P1291" s="14"/>
      <c r="Q1291" s="14"/>
      <c r="R1291" s="14" t="s">
        <v>1809</v>
      </c>
    </row>
    <row r="1292" spans="1:18" ht="15" customHeight="1">
      <c r="A1292" s="12">
        <v>1235</v>
      </c>
      <c r="B1292" s="13" t="s">
        <v>2050</v>
      </c>
      <c r="C1292" s="14"/>
      <c r="D1292" s="14" t="s">
        <v>2049</v>
      </c>
      <c r="E1292" s="14" t="s">
        <v>36</v>
      </c>
      <c r="F1292" s="15" t="s">
        <v>22</v>
      </c>
      <c r="G1292" s="21"/>
      <c r="H1292" s="58">
        <v>1</v>
      </c>
      <c r="I1292" s="14"/>
      <c r="J1292" s="14" t="s">
        <v>23</v>
      </c>
      <c r="K1292" s="14"/>
      <c r="L1292" s="14"/>
      <c r="M1292" s="14" t="s">
        <v>1534</v>
      </c>
      <c r="N1292" s="25" t="s">
        <v>37</v>
      </c>
      <c r="O1292" s="14" t="s">
        <v>2051</v>
      </c>
      <c r="P1292" s="14"/>
      <c r="Q1292" s="14"/>
      <c r="R1292" s="14" t="s">
        <v>1979</v>
      </c>
    </row>
    <row r="1293" spans="1:18" ht="15" customHeight="1">
      <c r="A1293" s="12">
        <v>2022</v>
      </c>
      <c r="B1293" s="13" t="s">
        <v>2052</v>
      </c>
      <c r="C1293" s="14"/>
      <c r="D1293" s="14" t="s">
        <v>2049</v>
      </c>
      <c r="E1293" s="14" t="s">
        <v>36</v>
      </c>
      <c r="F1293" s="15" t="s">
        <v>22</v>
      </c>
      <c r="G1293" s="14"/>
      <c r="H1293" s="58">
        <v>0</v>
      </c>
      <c r="I1293" s="14"/>
      <c r="J1293" s="14" t="s">
        <v>23</v>
      </c>
      <c r="K1293" s="14"/>
      <c r="L1293" s="14"/>
      <c r="M1293" s="14" t="s">
        <v>32</v>
      </c>
      <c r="N1293" s="22"/>
      <c r="O1293" s="14"/>
      <c r="P1293" s="14"/>
      <c r="Q1293" s="14"/>
      <c r="R1293" s="14"/>
    </row>
    <row r="1294" spans="1:18" ht="15" customHeight="1">
      <c r="A1294" s="12">
        <v>460</v>
      </c>
      <c r="B1294" s="13" t="s">
        <v>2053</v>
      </c>
      <c r="C1294" s="14"/>
      <c r="D1294" s="14" t="s">
        <v>2054</v>
      </c>
      <c r="E1294" s="14" t="s">
        <v>137</v>
      </c>
      <c r="F1294" s="15" t="s">
        <v>22</v>
      </c>
      <c r="G1294" s="21"/>
      <c r="H1294" s="58"/>
      <c r="I1294" s="14"/>
      <c r="J1294" s="14" t="s">
        <v>23</v>
      </c>
      <c r="K1294" s="14"/>
      <c r="L1294" s="14"/>
      <c r="M1294" s="14" t="s">
        <v>1537</v>
      </c>
      <c r="N1294" s="14" t="s">
        <v>25</v>
      </c>
      <c r="O1294" s="14"/>
      <c r="P1294" s="14"/>
      <c r="Q1294" s="14"/>
      <c r="R1294" s="14" t="s">
        <v>1809</v>
      </c>
    </row>
    <row r="1295" spans="1:18" ht="15" customHeight="1">
      <c r="A1295" s="12">
        <v>1236</v>
      </c>
      <c r="B1295" s="13" t="s">
        <v>2055</v>
      </c>
      <c r="C1295" s="14"/>
      <c r="D1295" s="14" t="s">
        <v>2054</v>
      </c>
      <c r="E1295" s="14" t="s">
        <v>137</v>
      </c>
      <c r="F1295" s="15" t="s">
        <v>22</v>
      </c>
      <c r="G1295" s="21"/>
      <c r="H1295" s="58">
        <v>1</v>
      </c>
      <c r="I1295" s="14"/>
      <c r="J1295" s="14" t="s">
        <v>23</v>
      </c>
      <c r="K1295" s="14"/>
      <c r="L1295" s="14"/>
      <c r="M1295" s="14" t="s">
        <v>1534</v>
      </c>
      <c r="N1295" s="14" t="s">
        <v>25</v>
      </c>
      <c r="O1295" s="14"/>
      <c r="P1295" s="14"/>
      <c r="Q1295" s="14"/>
      <c r="R1295" s="14" t="s">
        <v>1979</v>
      </c>
    </row>
    <row r="1296" spans="1:18" ht="15" customHeight="1">
      <c r="A1296" s="12">
        <v>2023</v>
      </c>
      <c r="B1296" s="13" t="s">
        <v>2056</v>
      </c>
      <c r="C1296" s="14"/>
      <c r="D1296" s="14" t="s">
        <v>2054</v>
      </c>
      <c r="E1296" s="14" t="s">
        <v>137</v>
      </c>
      <c r="F1296" s="15" t="s">
        <v>22</v>
      </c>
      <c r="G1296" s="14"/>
      <c r="H1296" s="58">
        <v>1</v>
      </c>
      <c r="I1296" s="14"/>
      <c r="J1296" s="14" t="s">
        <v>23</v>
      </c>
      <c r="K1296" s="14"/>
      <c r="L1296" s="14"/>
      <c r="M1296" s="14" t="s">
        <v>32</v>
      </c>
      <c r="N1296" s="22"/>
      <c r="O1296" s="14"/>
      <c r="P1296" s="14"/>
      <c r="Q1296" s="14"/>
      <c r="R1296" s="14"/>
    </row>
    <row r="1297" spans="1:36" ht="15" customHeight="1">
      <c r="A1297" s="12">
        <v>461</v>
      </c>
      <c r="B1297" s="13" t="s">
        <v>2057</v>
      </c>
      <c r="C1297" s="14"/>
      <c r="D1297" s="14" t="s">
        <v>2058</v>
      </c>
      <c r="E1297" s="14" t="s">
        <v>137</v>
      </c>
      <c r="F1297" s="15" t="s">
        <v>22</v>
      </c>
      <c r="G1297" s="21"/>
      <c r="H1297" s="58"/>
      <c r="I1297" s="14"/>
      <c r="J1297" s="14" t="s">
        <v>23</v>
      </c>
      <c r="K1297" s="14"/>
      <c r="L1297" s="14"/>
      <c r="M1297" s="14" t="s">
        <v>1537</v>
      </c>
      <c r="N1297" s="14" t="s">
        <v>25</v>
      </c>
      <c r="O1297" s="14"/>
      <c r="P1297" s="14"/>
      <c r="Q1297" s="14"/>
      <c r="R1297" s="14" t="s">
        <v>1809</v>
      </c>
    </row>
    <row r="1298" spans="1:36" ht="15" customHeight="1">
      <c r="A1298" s="12">
        <v>1237</v>
      </c>
      <c r="B1298" s="13" t="s">
        <v>2059</v>
      </c>
      <c r="C1298" s="14"/>
      <c r="D1298" s="14" t="s">
        <v>2058</v>
      </c>
      <c r="E1298" s="14" t="s">
        <v>137</v>
      </c>
      <c r="F1298" s="15" t="s">
        <v>22</v>
      </c>
      <c r="G1298" s="21"/>
      <c r="H1298" s="58">
        <v>2</v>
      </c>
      <c r="I1298" s="14"/>
      <c r="J1298" s="14" t="s">
        <v>23</v>
      </c>
      <c r="K1298" s="14"/>
      <c r="L1298" s="14"/>
      <c r="M1298" s="14" t="s">
        <v>1534</v>
      </c>
      <c r="N1298" s="25" t="s">
        <v>37</v>
      </c>
      <c r="O1298" s="14" t="s">
        <v>745</v>
      </c>
      <c r="P1298" s="14"/>
      <c r="Q1298" s="14"/>
      <c r="R1298" s="14" t="s">
        <v>1979</v>
      </c>
    </row>
    <row r="1299" spans="1:36" ht="15" customHeight="1">
      <c r="A1299" s="12">
        <v>2024</v>
      </c>
      <c r="B1299" s="13" t="s">
        <v>2060</v>
      </c>
      <c r="C1299" s="14"/>
      <c r="D1299" s="14" t="s">
        <v>2058</v>
      </c>
      <c r="E1299" s="14" t="s">
        <v>137</v>
      </c>
      <c r="F1299" s="15" t="s">
        <v>22</v>
      </c>
      <c r="G1299" s="14"/>
      <c r="H1299" s="58">
        <v>2</v>
      </c>
      <c r="I1299" s="14"/>
      <c r="J1299" s="14" t="s">
        <v>23</v>
      </c>
      <c r="K1299" s="14"/>
      <c r="L1299" s="14"/>
      <c r="M1299" s="14" t="s">
        <v>32</v>
      </c>
      <c r="N1299" s="22"/>
      <c r="O1299" s="14"/>
      <c r="P1299" s="14"/>
      <c r="Q1299" s="14"/>
      <c r="R1299" s="14"/>
    </row>
    <row r="1300" spans="1:36" ht="15" customHeight="1">
      <c r="A1300" s="12">
        <v>462</v>
      </c>
      <c r="B1300" s="13" t="s">
        <v>2061</v>
      </c>
      <c r="C1300" s="14"/>
      <c r="D1300" s="14" t="s">
        <v>2062</v>
      </c>
      <c r="E1300" s="14" t="s">
        <v>580</v>
      </c>
      <c r="F1300" s="15" t="s">
        <v>22</v>
      </c>
      <c r="G1300" s="21"/>
      <c r="H1300" s="58"/>
      <c r="I1300" s="14"/>
      <c r="J1300" s="14" t="s">
        <v>23</v>
      </c>
      <c r="K1300" s="14"/>
      <c r="L1300" s="14"/>
      <c r="M1300" s="14" t="s">
        <v>1537</v>
      </c>
      <c r="N1300" s="14" t="s">
        <v>25</v>
      </c>
      <c r="O1300" s="14"/>
      <c r="P1300" s="14"/>
      <c r="Q1300" s="14"/>
      <c r="R1300" s="14" t="s">
        <v>1809</v>
      </c>
    </row>
    <row r="1301" spans="1:36" ht="15" customHeight="1">
      <c r="A1301" s="12">
        <v>2025</v>
      </c>
      <c r="B1301" s="13" t="s">
        <v>2063</v>
      </c>
      <c r="C1301" s="14"/>
      <c r="D1301" s="14" t="s">
        <v>2062</v>
      </c>
      <c r="E1301" s="14" t="s">
        <v>580</v>
      </c>
      <c r="F1301" s="15" t="s">
        <v>22</v>
      </c>
      <c r="G1301" s="14"/>
      <c r="H1301" s="58">
        <v>1</v>
      </c>
      <c r="I1301" s="14"/>
      <c r="J1301" s="14" t="s">
        <v>23</v>
      </c>
      <c r="K1301" s="14"/>
      <c r="L1301" s="14"/>
      <c r="M1301" s="14" t="s">
        <v>32</v>
      </c>
      <c r="N1301" s="22"/>
      <c r="O1301" s="14"/>
      <c r="P1301" s="14"/>
      <c r="Q1301" s="14"/>
      <c r="R1301" s="14"/>
    </row>
    <row r="1302" spans="1:36" ht="15" customHeight="1">
      <c r="A1302" s="12">
        <v>463</v>
      </c>
      <c r="B1302" s="13" t="s">
        <v>2064</v>
      </c>
      <c r="C1302" s="14"/>
      <c r="D1302" s="14" t="s">
        <v>2065</v>
      </c>
      <c r="E1302" s="14" t="s">
        <v>36</v>
      </c>
      <c r="F1302" s="15" t="s">
        <v>22</v>
      </c>
      <c r="G1302" s="21"/>
      <c r="H1302" s="58"/>
      <c r="I1302" s="14"/>
      <c r="J1302" s="14" t="s">
        <v>23</v>
      </c>
      <c r="K1302" s="14"/>
      <c r="L1302" s="14"/>
      <c r="M1302" s="14" t="s">
        <v>1537</v>
      </c>
      <c r="N1302" s="14" t="s">
        <v>25</v>
      </c>
      <c r="O1302" s="14"/>
      <c r="P1302" s="14"/>
      <c r="Q1302" s="14"/>
      <c r="R1302" s="14" t="s">
        <v>1809</v>
      </c>
    </row>
    <row r="1303" spans="1:36" ht="15" customHeight="1">
      <c r="A1303" s="12">
        <v>1238</v>
      </c>
      <c r="B1303" s="13" t="s">
        <v>2066</v>
      </c>
      <c r="C1303" s="14"/>
      <c r="D1303" s="14" t="s">
        <v>2065</v>
      </c>
      <c r="E1303" s="14" t="s">
        <v>36</v>
      </c>
      <c r="F1303" s="15" t="s">
        <v>22</v>
      </c>
      <c r="G1303" s="21"/>
      <c r="H1303" s="58">
        <v>1</v>
      </c>
      <c r="I1303" s="14"/>
      <c r="J1303" s="14" t="s">
        <v>23</v>
      </c>
      <c r="K1303" s="14"/>
      <c r="L1303" s="14"/>
      <c r="M1303" s="14" t="s">
        <v>1534</v>
      </c>
      <c r="N1303" s="25" t="s">
        <v>37</v>
      </c>
      <c r="O1303" s="14" t="s">
        <v>2067</v>
      </c>
      <c r="P1303" s="14"/>
      <c r="Q1303" s="14"/>
      <c r="R1303" s="14" t="s">
        <v>1979</v>
      </c>
    </row>
    <row r="1304" spans="1:36" ht="15" customHeight="1">
      <c r="A1304" s="12">
        <v>2032</v>
      </c>
      <c r="B1304" s="13" t="s">
        <v>2068</v>
      </c>
      <c r="C1304" s="14"/>
      <c r="D1304" s="16">
        <v>430</v>
      </c>
      <c r="E1304" s="16" t="s">
        <v>36</v>
      </c>
      <c r="F1304" s="15" t="s">
        <v>22</v>
      </c>
      <c r="G1304" s="18"/>
      <c r="H1304" s="58">
        <v>3</v>
      </c>
      <c r="I1304" s="16"/>
      <c r="J1304" s="14" t="s">
        <v>23</v>
      </c>
      <c r="K1304" s="18"/>
      <c r="L1304" s="18"/>
      <c r="M1304" s="18"/>
      <c r="N1304" s="18"/>
      <c r="O1304" s="18"/>
      <c r="P1304" s="18"/>
      <c r="Q1304" s="18"/>
      <c r="R1304" s="18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</row>
    <row r="1305" spans="1:36" ht="15" customHeight="1">
      <c r="A1305" s="12">
        <v>464</v>
      </c>
      <c r="B1305" s="13" t="s">
        <v>2069</v>
      </c>
      <c r="C1305" s="14"/>
      <c r="D1305" s="14" t="s">
        <v>2070</v>
      </c>
      <c r="E1305" s="14" t="s">
        <v>36</v>
      </c>
      <c r="F1305" s="15" t="s">
        <v>22</v>
      </c>
      <c r="G1305" s="21"/>
      <c r="H1305" s="58"/>
      <c r="I1305" s="14"/>
      <c r="J1305" s="14" t="s">
        <v>23</v>
      </c>
      <c r="K1305" s="14"/>
      <c r="L1305" s="14"/>
      <c r="M1305" s="14" t="s">
        <v>1537</v>
      </c>
      <c r="N1305" s="14" t="s">
        <v>25</v>
      </c>
      <c r="O1305" s="14"/>
      <c r="P1305" s="14"/>
      <c r="Q1305" s="14"/>
      <c r="R1305" s="14" t="s">
        <v>1809</v>
      </c>
    </row>
    <row r="1306" spans="1:36" ht="15" customHeight="1">
      <c r="A1306" s="12">
        <v>1239</v>
      </c>
      <c r="B1306" s="13" t="s">
        <v>2071</v>
      </c>
      <c r="C1306" s="14"/>
      <c r="D1306" s="14" t="s">
        <v>2070</v>
      </c>
      <c r="E1306" s="14" t="s">
        <v>36</v>
      </c>
      <c r="F1306" s="15" t="s">
        <v>22</v>
      </c>
      <c r="G1306" s="21"/>
      <c r="H1306" s="58">
        <v>3</v>
      </c>
      <c r="I1306" s="14"/>
      <c r="J1306" s="14" t="s">
        <v>23</v>
      </c>
      <c r="K1306" s="14"/>
      <c r="L1306" s="14"/>
      <c r="M1306" s="14" t="s">
        <v>1534</v>
      </c>
      <c r="N1306" s="25" t="s">
        <v>289</v>
      </c>
      <c r="O1306" s="14" t="s">
        <v>1512</v>
      </c>
      <c r="P1306" s="14"/>
      <c r="Q1306" s="14"/>
      <c r="R1306" s="14" t="s">
        <v>1979</v>
      </c>
    </row>
    <row r="1307" spans="1:36" ht="15" customHeight="1">
      <c r="A1307" s="12">
        <v>2033</v>
      </c>
      <c r="B1307" s="13" t="s">
        <v>2072</v>
      </c>
      <c r="C1307" s="14"/>
      <c r="D1307" s="16">
        <v>431</v>
      </c>
      <c r="E1307" s="16" t="s">
        <v>36</v>
      </c>
      <c r="F1307" s="15" t="s">
        <v>22</v>
      </c>
      <c r="G1307" s="18"/>
      <c r="H1307" s="58">
        <v>1</v>
      </c>
      <c r="I1307" s="16"/>
      <c r="J1307" s="14" t="s">
        <v>23</v>
      </c>
      <c r="K1307" s="18"/>
      <c r="L1307" s="18"/>
      <c r="M1307" s="18"/>
      <c r="N1307" s="18"/>
      <c r="O1307" s="18"/>
      <c r="P1307" s="18"/>
      <c r="Q1307" s="18"/>
      <c r="R1307" s="18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</row>
    <row r="1308" spans="1:36" ht="15" customHeight="1">
      <c r="A1308" s="12">
        <v>465</v>
      </c>
      <c r="B1308" s="13" t="s">
        <v>2073</v>
      </c>
      <c r="C1308" s="14"/>
      <c r="D1308" s="14" t="s">
        <v>2074</v>
      </c>
      <c r="E1308" s="14" t="s">
        <v>580</v>
      </c>
      <c r="F1308" s="15" t="s">
        <v>22</v>
      </c>
      <c r="G1308" s="21"/>
      <c r="H1308" s="58"/>
      <c r="I1308" s="14"/>
      <c r="J1308" s="14" t="s">
        <v>23</v>
      </c>
      <c r="K1308" s="14"/>
      <c r="L1308" s="14"/>
      <c r="M1308" s="14" t="s">
        <v>1537</v>
      </c>
      <c r="N1308" s="14" t="s">
        <v>25</v>
      </c>
      <c r="O1308" s="14"/>
      <c r="P1308" s="14"/>
      <c r="Q1308" s="14"/>
      <c r="R1308" s="14" t="s">
        <v>1809</v>
      </c>
    </row>
    <row r="1309" spans="1:36" ht="15" customHeight="1">
      <c r="A1309" s="12">
        <v>1240</v>
      </c>
      <c r="B1309" s="13" t="s">
        <v>2075</v>
      </c>
      <c r="C1309" s="14"/>
      <c r="D1309" s="14" t="s">
        <v>2074</v>
      </c>
      <c r="E1309" s="14" t="s">
        <v>580</v>
      </c>
      <c r="F1309" s="15" t="s">
        <v>22</v>
      </c>
      <c r="G1309" s="21"/>
      <c r="H1309" s="58">
        <v>1</v>
      </c>
      <c r="I1309" s="14"/>
      <c r="J1309" s="14" t="s">
        <v>23</v>
      </c>
      <c r="K1309" s="14"/>
      <c r="L1309" s="14"/>
      <c r="M1309" s="14" t="s">
        <v>1534</v>
      </c>
      <c r="N1309" s="14" t="s">
        <v>25</v>
      </c>
      <c r="O1309" s="14"/>
      <c r="P1309" s="14"/>
      <c r="Q1309" s="14"/>
      <c r="R1309" s="14" t="s">
        <v>1979</v>
      </c>
    </row>
    <row r="1310" spans="1:36" ht="15" customHeight="1">
      <c r="A1310" s="12">
        <v>1537</v>
      </c>
      <c r="B1310" s="13" t="s">
        <v>2076</v>
      </c>
      <c r="C1310" s="14"/>
      <c r="D1310" s="14" t="s">
        <v>2074</v>
      </c>
      <c r="E1310" s="14" t="s">
        <v>580</v>
      </c>
      <c r="F1310" s="15" t="s">
        <v>22</v>
      </c>
      <c r="G1310" s="14"/>
      <c r="H1310" s="58">
        <v>0</v>
      </c>
      <c r="I1310" s="14"/>
      <c r="J1310" s="14" t="s">
        <v>23</v>
      </c>
      <c r="K1310" s="14"/>
      <c r="L1310" s="14"/>
      <c r="M1310" s="14" t="s">
        <v>650</v>
      </c>
      <c r="N1310" s="14" t="s">
        <v>25</v>
      </c>
      <c r="O1310" s="14"/>
      <c r="P1310" s="14"/>
      <c r="Q1310" s="14"/>
      <c r="R1310" s="14" t="s">
        <v>1824</v>
      </c>
    </row>
    <row r="1311" spans="1:36" ht="15" customHeight="1">
      <c r="A1311" s="12">
        <v>2034</v>
      </c>
      <c r="B1311" s="13" t="s">
        <v>2077</v>
      </c>
      <c r="C1311" s="14"/>
      <c r="D1311" s="16">
        <v>432</v>
      </c>
      <c r="E1311" s="14" t="s">
        <v>580</v>
      </c>
      <c r="F1311" s="15" t="s">
        <v>22</v>
      </c>
      <c r="G1311" s="18"/>
      <c r="H1311" s="58"/>
      <c r="I1311" s="16"/>
      <c r="J1311" s="14" t="s">
        <v>23</v>
      </c>
      <c r="K1311" s="18"/>
      <c r="L1311" s="18"/>
      <c r="M1311" s="18"/>
      <c r="N1311" s="18"/>
      <c r="O1311" s="18"/>
      <c r="P1311" s="18"/>
      <c r="Q1311" s="18"/>
      <c r="R1311" s="18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</row>
    <row r="1312" spans="1:36" ht="15" customHeight="1">
      <c r="A1312" s="12">
        <v>466</v>
      </c>
      <c r="B1312" s="13" t="s">
        <v>2078</v>
      </c>
      <c r="C1312" s="14"/>
      <c r="D1312" s="14" t="s">
        <v>2079</v>
      </c>
      <c r="E1312" s="14" t="s">
        <v>36</v>
      </c>
      <c r="F1312" s="15" t="s">
        <v>22</v>
      </c>
      <c r="G1312" s="21"/>
      <c r="H1312" s="58"/>
      <c r="I1312" s="14"/>
      <c r="J1312" s="14" t="s">
        <v>23</v>
      </c>
      <c r="K1312" s="14"/>
      <c r="L1312" s="14"/>
      <c r="M1312" s="14" t="s">
        <v>1537</v>
      </c>
      <c r="N1312" s="14" t="s">
        <v>25</v>
      </c>
      <c r="O1312" s="14"/>
      <c r="P1312" s="14"/>
      <c r="Q1312" s="14"/>
      <c r="R1312" s="14" t="s">
        <v>1809</v>
      </c>
    </row>
    <row r="1313" spans="1:36" ht="15" customHeight="1">
      <c r="A1313" s="12">
        <v>1241</v>
      </c>
      <c r="B1313" s="13" t="s">
        <v>2080</v>
      </c>
      <c r="C1313" s="14"/>
      <c r="D1313" s="14" t="s">
        <v>2079</v>
      </c>
      <c r="E1313" s="14" t="s">
        <v>36</v>
      </c>
      <c r="F1313" s="15" t="s">
        <v>22</v>
      </c>
      <c r="G1313" s="21"/>
      <c r="H1313" s="58">
        <v>3</v>
      </c>
      <c r="I1313" s="14"/>
      <c r="J1313" s="14" t="s">
        <v>23</v>
      </c>
      <c r="K1313" s="14"/>
      <c r="L1313" s="14"/>
      <c r="M1313" s="14" t="s">
        <v>1534</v>
      </c>
      <c r="N1313" s="14" t="s">
        <v>25</v>
      </c>
      <c r="O1313" s="14"/>
      <c r="P1313" s="14"/>
      <c r="Q1313" s="14"/>
      <c r="R1313" s="14" t="s">
        <v>1979</v>
      </c>
    </row>
    <row r="1314" spans="1:36" ht="15" customHeight="1">
      <c r="A1314" s="12">
        <v>2035</v>
      </c>
      <c r="B1314" s="13" t="s">
        <v>2081</v>
      </c>
      <c r="C1314" s="14"/>
      <c r="D1314" s="16">
        <v>433</v>
      </c>
      <c r="E1314" s="16" t="s">
        <v>36</v>
      </c>
      <c r="F1314" s="15" t="s">
        <v>22</v>
      </c>
      <c r="G1314" s="18"/>
      <c r="H1314" s="58"/>
      <c r="I1314" s="16"/>
      <c r="J1314" s="14" t="s">
        <v>23</v>
      </c>
      <c r="K1314" s="18"/>
      <c r="L1314" s="18"/>
      <c r="M1314" s="18"/>
      <c r="N1314" s="18"/>
      <c r="O1314" s="18"/>
      <c r="P1314" s="18"/>
      <c r="Q1314" s="18"/>
      <c r="R1314" s="18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</row>
    <row r="1315" spans="1:36" ht="15" customHeight="1">
      <c r="A1315" s="12">
        <v>467</v>
      </c>
      <c r="B1315" s="13" t="s">
        <v>2082</v>
      </c>
      <c r="C1315" s="14"/>
      <c r="D1315" s="14" t="s">
        <v>2083</v>
      </c>
      <c r="E1315" s="14" t="s">
        <v>36</v>
      </c>
      <c r="F1315" s="15" t="s">
        <v>22</v>
      </c>
      <c r="G1315" s="21"/>
      <c r="H1315" s="58"/>
      <c r="I1315" s="14"/>
      <c r="J1315" s="14" t="s">
        <v>23</v>
      </c>
      <c r="K1315" s="14"/>
      <c r="L1315" s="14"/>
      <c r="M1315" s="14" t="s">
        <v>1537</v>
      </c>
      <c r="N1315" s="14" t="s">
        <v>25</v>
      </c>
      <c r="O1315" s="14"/>
      <c r="P1315" s="14"/>
      <c r="Q1315" s="14"/>
      <c r="R1315" s="14" t="s">
        <v>1809</v>
      </c>
    </row>
    <row r="1316" spans="1:36" ht="15" customHeight="1">
      <c r="A1316" s="12">
        <v>1242</v>
      </c>
      <c r="B1316" s="13" t="s">
        <v>2084</v>
      </c>
      <c r="C1316" s="14"/>
      <c r="D1316" s="14" t="s">
        <v>2083</v>
      </c>
      <c r="E1316" s="14" t="s">
        <v>36</v>
      </c>
      <c r="F1316" s="15" t="s">
        <v>22</v>
      </c>
      <c r="G1316" s="21"/>
      <c r="H1316" s="58">
        <v>3</v>
      </c>
      <c r="I1316" s="14"/>
      <c r="J1316" s="14" t="s">
        <v>23</v>
      </c>
      <c r="K1316" s="14"/>
      <c r="L1316" s="14"/>
      <c r="M1316" s="14" t="s">
        <v>1534</v>
      </c>
      <c r="N1316" s="25" t="s">
        <v>37</v>
      </c>
      <c r="O1316" s="14" t="s">
        <v>2085</v>
      </c>
      <c r="P1316" s="14"/>
      <c r="Q1316" s="14"/>
      <c r="R1316" s="14" t="s">
        <v>1979</v>
      </c>
    </row>
    <row r="1317" spans="1:36" ht="15" customHeight="1">
      <c r="A1317" s="12">
        <v>2036</v>
      </c>
      <c r="B1317" s="13" t="s">
        <v>2086</v>
      </c>
      <c r="C1317" s="14"/>
      <c r="D1317" s="16">
        <v>434</v>
      </c>
      <c r="E1317" s="16" t="s">
        <v>36</v>
      </c>
      <c r="F1317" s="15" t="s">
        <v>22</v>
      </c>
      <c r="G1317" s="18"/>
      <c r="H1317" s="58">
        <v>3</v>
      </c>
      <c r="I1317" s="16"/>
      <c r="J1317" s="14" t="s">
        <v>23</v>
      </c>
      <c r="K1317" s="18"/>
      <c r="L1317" s="18"/>
      <c r="M1317" s="18"/>
      <c r="N1317" s="18"/>
      <c r="O1317" s="18"/>
      <c r="P1317" s="18"/>
      <c r="Q1317" s="18"/>
      <c r="R1317" s="18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</row>
    <row r="1318" spans="1:36" ht="15" customHeight="1">
      <c r="A1318" s="12">
        <v>468</v>
      </c>
      <c r="B1318" s="13" t="s">
        <v>2087</v>
      </c>
      <c r="C1318" s="14"/>
      <c r="D1318" s="14" t="s">
        <v>2088</v>
      </c>
      <c r="E1318" s="14" t="s">
        <v>44</v>
      </c>
      <c r="F1318" s="15" t="s">
        <v>22</v>
      </c>
      <c r="G1318" s="21"/>
      <c r="H1318" s="58"/>
      <c r="I1318" s="14"/>
      <c r="J1318" s="14" t="s">
        <v>23</v>
      </c>
      <c r="K1318" s="14"/>
      <c r="L1318" s="14"/>
      <c r="M1318" s="14" t="s">
        <v>1537</v>
      </c>
      <c r="N1318" s="14" t="s">
        <v>25</v>
      </c>
      <c r="O1318" s="14"/>
      <c r="P1318" s="14"/>
      <c r="Q1318" s="14"/>
      <c r="R1318" s="14" t="s">
        <v>1809</v>
      </c>
    </row>
    <row r="1319" spans="1:36" ht="15" customHeight="1">
      <c r="A1319" s="12">
        <v>1243</v>
      </c>
      <c r="B1319" s="13" t="s">
        <v>2089</v>
      </c>
      <c r="C1319" s="14"/>
      <c r="D1319" s="14" t="s">
        <v>2088</v>
      </c>
      <c r="E1319" s="14" t="s">
        <v>44</v>
      </c>
      <c r="F1319" s="15" t="s">
        <v>22</v>
      </c>
      <c r="G1319" s="21"/>
      <c r="H1319" s="58">
        <v>0</v>
      </c>
      <c r="I1319" s="14"/>
      <c r="J1319" s="14" t="s">
        <v>23</v>
      </c>
      <c r="K1319" s="14"/>
      <c r="L1319" s="14"/>
      <c r="M1319" s="14" t="s">
        <v>1534</v>
      </c>
      <c r="N1319" s="14" t="s">
        <v>25</v>
      </c>
      <c r="O1319" s="14"/>
      <c r="P1319" s="14"/>
      <c r="Q1319" s="14"/>
      <c r="R1319" s="14" t="s">
        <v>1979</v>
      </c>
    </row>
    <row r="1320" spans="1:36" ht="15" customHeight="1">
      <c r="A1320" s="12">
        <v>2037</v>
      </c>
      <c r="B1320" s="13" t="s">
        <v>2090</v>
      </c>
      <c r="C1320" s="14"/>
      <c r="D1320" s="16">
        <v>435</v>
      </c>
      <c r="E1320" s="16" t="s">
        <v>44</v>
      </c>
      <c r="F1320" s="15" t="s">
        <v>22</v>
      </c>
      <c r="G1320" s="18"/>
      <c r="H1320" s="58"/>
      <c r="I1320" s="16"/>
      <c r="J1320" s="14" t="s">
        <v>23</v>
      </c>
      <c r="K1320" s="18"/>
      <c r="L1320" s="18"/>
      <c r="M1320" s="18"/>
      <c r="N1320" s="18"/>
      <c r="O1320" s="18"/>
      <c r="P1320" s="18"/>
      <c r="Q1320" s="18"/>
      <c r="R1320" s="18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</row>
    <row r="1321" spans="1:36" ht="15" customHeight="1">
      <c r="A1321" s="12">
        <v>469</v>
      </c>
      <c r="B1321" s="13" t="s">
        <v>2091</v>
      </c>
      <c r="C1321" s="14"/>
      <c r="D1321" s="14" t="s">
        <v>2092</v>
      </c>
      <c r="E1321" s="14" t="s">
        <v>215</v>
      </c>
      <c r="F1321" s="15" t="s">
        <v>22</v>
      </c>
      <c r="G1321" s="21"/>
      <c r="H1321" s="58"/>
      <c r="I1321" s="14"/>
      <c r="J1321" s="14" t="s">
        <v>23</v>
      </c>
      <c r="K1321" s="14"/>
      <c r="L1321" s="14"/>
      <c r="M1321" s="14" t="s">
        <v>1537</v>
      </c>
      <c r="N1321" s="25" t="s">
        <v>37</v>
      </c>
      <c r="O1321" s="14" t="s">
        <v>80</v>
      </c>
      <c r="P1321" s="14"/>
      <c r="Q1321" s="14"/>
      <c r="R1321" s="14" t="s">
        <v>1809</v>
      </c>
    </row>
    <row r="1322" spans="1:36" ht="15" customHeight="1">
      <c r="A1322" s="12">
        <v>2038</v>
      </c>
      <c r="B1322" s="13" t="s">
        <v>2093</v>
      </c>
      <c r="C1322" s="14"/>
      <c r="D1322" s="16">
        <v>436</v>
      </c>
      <c r="E1322" s="14" t="s">
        <v>215</v>
      </c>
      <c r="F1322" s="15" t="s">
        <v>22</v>
      </c>
      <c r="G1322" s="18"/>
      <c r="H1322" s="58">
        <v>2</v>
      </c>
      <c r="I1322" s="16"/>
      <c r="J1322" s="14" t="s">
        <v>23</v>
      </c>
      <c r="K1322" s="18"/>
      <c r="L1322" s="18"/>
      <c r="M1322" s="18"/>
      <c r="N1322" s="18"/>
      <c r="O1322" s="18"/>
      <c r="P1322" s="18"/>
      <c r="Q1322" s="18"/>
      <c r="R1322" s="18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</row>
    <row r="1323" spans="1:36" ht="15" customHeight="1">
      <c r="A1323" s="12">
        <v>470</v>
      </c>
      <c r="B1323" s="13" t="s">
        <v>2094</v>
      </c>
      <c r="C1323" s="14"/>
      <c r="D1323" s="14" t="s">
        <v>2095</v>
      </c>
      <c r="E1323" s="14" t="s">
        <v>1102</v>
      </c>
      <c r="F1323" s="15" t="s">
        <v>22</v>
      </c>
      <c r="G1323" s="21"/>
      <c r="H1323" s="58"/>
      <c r="I1323" s="14"/>
      <c r="J1323" s="14" t="s">
        <v>23</v>
      </c>
      <c r="K1323" s="14"/>
      <c r="L1323" s="14"/>
      <c r="M1323" s="14" t="s">
        <v>1537</v>
      </c>
      <c r="N1323" s="14" t="s">
        <v>25</v>
      </c>
      <c r="O1323" s="14"/>
      <c r="P1323" s="14"/>
      <c r="Q1323" s="14"/>
      <c r="R1323" s="14" t="s">
        <v>1809</v>
      </c>
    </row>
    <row r="1324" spans="1:36" ht="15" customHeight="1">
      <c r="A1324" s="12">
        <v>1244</v>
      </c>
      <c r="B1324" s="13" t="s">
        <v>2096</v>
      </c>
      <c r="C1324" s="14"/>
      <c r="D1324" s="14" t="s">
        <v>2095</v>
      </c>
      <c r="E1324" s="14" t="s">
        <v>1102</v>
      </c>
      <c r="F1324" s="15" t="s">
        <v>22</v>
      </c>
      <c r="G1324" s="21"/>
      <c r="H1324" s="58">
        <v>1</v>
      </c>
      <c r="I1324" s="14"/>
      <c r="J1324" s="14" t="s">
        <v>23</v>
      </c>
      <c r="K1324" s="14"/>
      <c r="L1324" s="14"/>
      <c r="M1324" s="14" t="s">
        <v>1534</v>
      </c>
      <c r="N1324" s="14" t="s">
        <v>25</v>
      </c>
      <c r="O1324" s="14"/>
      <c r="P1324" s="14"/>
      <c r="Q1324" s="14"/>
      <c r="R1324" s="14" t="s">
        <v>1979</v>
      </c>
    </row>
    <row r="1325" spans="1:36" ht="15" customHeight="1">
      <c r="A1325" s="12">
        <v>2039</v>
      </c>
      <c r="B1325" s="13" t="s">
        <v>2097</v>
      </c>
      <c r="C1325" s="14"/>
      <c r="D1325" s="16">
        <v>437</v>
      </c>
      <c r="E1325" s="16" t="s">
        <v>1102</v>
      </c>
      <c r="F1325" s="15" t="s">
        <v>22</v>
      </c>
      <c r="G1325" s="18"/>
      <c r="H1325" s="58">
        <v>1</v>
      </c>
      <c r="I1325" s="16"/>
      <c r="J1325" s="14" t="s">
        <v>23</v>
      </c>
      <c r="K1325" s="18"/>
      <c r="L1325" s="18"/>
      <c r="M1325" s="18"/>
      <c r="N1325" s="18"/>
      <c r="O1325" s="18"/>
      <c r="P1325" s="18"/>
      <c r="Q1325" s="18"/>
      <c r="R1325" s="18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</row>
    <row r="1326" spans="1:36" ht="15" customHeight="1">
      <c r="A1326" s="12">
        <v>471</v>
      </c>
      <c r="B1326" s="13" t="s">
        <v>2098</v>
      </c>
      <c r="C1326" s="14"/>
      <c r="D1326" s="14" t="s">
        <v>2099</v>
      </c>
      <c r="E1326" s="14" t="s">
        <v>36</v>
      </c>
      <c r="F1326" s="15" t="s">
        <v>22</v>
      </c>
      <c r="G1326" s="21"/>
      <c r="H1326" s="58"/>
      <c r="I1326" s="14"/>
      <c r="J1326" s="14" t="s">
        <v>23</v>
      </c>
      <c r="K1326" s="14"/>
      <c r="L1326" s="14"/>
      <c r="M1326" s="14" t="s">
        <v>1537</v>
      </c>
      <c r="N1326" s="25" t="s">
        <v>289</v>
      </c>
      <c r="O1326" s="14" t="s">
        <v>45</v>
      </c>
      <c r="P1326" s="14"/>
      <c r="Q1326" s="14"/>
      <c r="R1326" s="14" t="s">
        <v>1809</v>
      </c>
    </row>
    <row r="1327" spans="1:36" ht="15" customHeight="1">
      <c r="A1327" s="12">
        <v>1245</v>
      </c>
      <c r="B1327" s="13" t="s">
        <v>2100</v>
      </c>
      <c r="C1327" s="14"/>
      <c r="D1327" s="14" t="s">
        <v>2099</v>
      </c>
      <c r="E1327" s="14" t="s">
        <v>36</v>
      </c>
      <c r="F1327" s="15" t="s">
        <v>22</v>
      </c>
      <c r="G1327" s="21"/>
      <c r="H1327" s="58">
        <v>3</v>
      </c>
      <c r="I1327" s="14"/>
      <c r="J1327" s="14" t="s">
        <v>23</v>
      </c>
      <c r="K1327" s="14"/>
      <c r="L1327" s="14"/>
      <c r="M1327" s="14" t="s">
        <v>1534</v>
      </c>
      <c r="N1327" s="25" t="s">
        <v>37</v>
      </c>
      <c r="O1327" s="14" t="s">
        <v>1099</v>
      </c>
      <c r="P1327" s="14"/>
      <c r="Q1327" s="14"/>
      <c r="R1327" s="14" t="s">
        <v>1979</v>
      </c>
    </row>
    <row r="1328" spans="1:36" ht="15" customHeight="1">
      <c r="A1328" s="12">
        <v>2040</v>
      </c>
      <c r="B1328" s="13" t="s">
        <v>2101</v>
      </c>
      <c r="C1328" s="14"/>
      <c r="D1328" s="16">
        <v>438</v>
      </c>
      <c r="E1328" s="16" t="s">
        <v>36</v>
      </c>
      <c r="F1328" s="15" t="s">
        <v>22</v>
      </c>
      <c r="G1328" s="18"/>
      <c r="H1328" s="58">
        <v>3</v>
      </c>
      <c r="I1328" s="16"/>
      <c r="J1328" s="14" t="s">
        <v>23</v>
      </c>
      <c r="K1328" s="18"/>
      <c r="L1328" s="18"/>
      <c r="M1328" s="18"/>
      <c r="N1328" s="18"/>
      <c r="O1328" s="18"/>
      <c r="P1328" s="18"/>
      <c r="Q1328" s="18"/>
      <c r="R1328" s="18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</row>
    <row r="1329" spans="1:36" ht="15" customHeight="1">
      <c r="A1329" s="12">
        <v>1246</v>
      </c>
      <c r="B1329" s="13" t="s">
        <v>2102</v>
      </c>
      <c r="C1329" s="14"/>
      <c r="D1329" s="14" t="s">
        <v>2103</v>
      </c>
      <c r="E1329" s="14" t="s">
        <v>21</v>
      </c>
      <c r="F1329" s="15" t="s">
        <v>22</v>
      </c>
      <c r="G1329" s="21"/>
      <c r="H1329" s="58">
        <v>1</v>
      </c>
      <c r="I1329" s="14"/>
      <c r="J1329" s="14" t="s">
        <v>23</v>
      </c>
      <c r="K1329" s="14"/>
      <c r="L1329" s="14"/>
      <c r="M1329" s="14" t="s">
        <v>1534</v>
      </c>
      <c r="N1329" s="14" t="s">
        <v>25</v>
      </c>
      <c r="O1329" s="14"/>
      <c r="P1329" s="14"/>
      <c r="Q1329" s="14"/>
      <c r="R1329" s="14" t="s">
        <v>1979</v>
      </c>
    </row>
    <row r="1330" spans="1:36" ht="15" customHeight="1">
      <c r="A1330" s="12">
        <v>2041</v>
      </c>
      <c r="B1330" s="13" t="s">
        <v>2104</v>
      </c>
      <c r="C1330" s="14"/>
      <c r="D1330" s="16">
        <v>439</v>
      </c>
      <c r="E1330" s="14" t="s">
        <v>21</v>
      </c>
      <c r="F1330" s="15" t="s">
        <v>22</v>
      </c>
      <c r="G1330" s="18"/>
      <c r="H1330" s="58"/>
      <c r="I1330" s="16"/>
      <c r="J1330" s="14" t="s">
        <v>23</v>
      </c>
      <c r="K1330" s="18"/>
      <c r="L1330" s="18"/>
      <c r="M1330" s="18"/>
      <c r="N1330" s="18"/>
      <c r="O1330" s="18"/>
      <c r="P1330" s="18"/>
      <c r="Q1330" s="18"/>
      <c r="R1330" s="18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</row>
    <row r="1331" spans="1:36" ht="15" customHeight="1">
      <c r="A1331" s="12">
        <v>472</v>
      </c>
      <c r="B1331" s="13" t="s">
        <v>2105</v>
      </c>
      <c r="C1331" s="14"/>
      <c r="D1331" s="14" t="s">
        <v>2106</v>
      </c>
      <c r="E1331" s="14" t="s">
        <v>21</v>
      </c>
      <c r="F1331" s="15" t="s">
        <v>22</v>
      </c>
      <c r="G1331" s="21"/>
      <c r="H1331" s="58"/>
      <c r="I1331" s="14"/>
      <c r="J1331" s="14" t="s">
        <v>23</v>
      </c>
      <c r="K1331" s="14"/>
      <c r="L1331" s="14"/>
      <c r="M1331" s="14" t="s">
        <v>1537</v>
      </c>
      <c r="N1331" s="14" t="s">
        <v>25</v>
      </c>
      <c r="O1331" s="14"/>
      <c r="P1331" s="14"/>
      <c r="Q1331" s="14"/>
      <c r="R1331" s="14" t="s">
        <v>1809</v>
      </c>
    </row>
    <row r="1332" spans="1:36" ht="15" customHeight="1">
      <c r="A1332" s="12">
        <v>1247</v>
      </c>
      <c r="B1332" s="13" t="s">
        <v>2107</v>
      </c>
      <c r="C1332" s="14"/>
      <c r="D1332" s="14" t="s">
        <v>2106</v>
      </c>
      <c r="E1332" s="14" t="s">
        <v>21</v>
      </c>
      <c r="F1332" s="15" t="s">
        <v>22</v>
      </c>
      <c r="G1332" s="21"/>
      <c r="H1332" s="58">
        <v>1</v>
      </c>
      <c r="I1332" s="14"/>
      <c r="J1332" s="14" t="s">
        <v>23</v>
      </c>
      <c r="K1332" s="14"/>
      <c r="L1332" s="14"/>
      <c r="M1332" s="14" t="s">
        <v>1534</v>
      </c>
      <c r="N1332" s="14" t="s">
        <v>25</v>
      </c>
      <c r="O1332" s="14"/>
      <c r="P1332" s="14"/>
      <c r="Q1332" s="14"/>
      <c r="R1332" s="14" t="s">
        <v>1979</v>
      </c>
    </row>
    <row r="1333" spans="1:36" ht="15" customHeight="1">
      <c r="A1333" s="12">
        <v>2042</v>
      </c>
      <c r="B1333" s="13" t="s">
        <v>2108</v>
      </c>
      <c r="C1333" s="14"/>
      <c r="D1333" s="16">
        <v>440</v>
      </c>
      <c r="E1333" s="14" t="s">
        <v>21</v>
      </c>
      <c r="F1333" s="15" t="s">
        <v>22</v>
      </c>
      <c r="G1333" s="18"/>
      <c r="H1333" s="58"/>
      <c r="I1333" s="16"/>
      <c r="J1333" s="14" t="s">
        <v>23</v>
      </c>
      <c r="K1333" s="18"/>
      <c r="L1333" s="18"/>
      <c r="M1333" s="18"/>
      <c r="N1333" s="18"/>
      <c r="O1333" s="18"/>
      <c r="P1333" s="18"/>
      <c r="Q1333" s="18"/>
      <c r="R1333" s="18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</row>
    <row r="1334" spans="1:36" ht="15" customHeight="1">
      <c r="A1334" s="12">
        <v>473</v>
      </c>
      <c r="B1334" s="13" t="s">
        <v>2109</v>
      </c>
      <c r="C1334" s="14"/>
      <c r="D1334" s="14" t="s">
        <v>2110</v>
      </c>
      <c r="E1334" s="14" t="s">
        <v>36</v>
      </c>
      <c r="F1334" s="15" t="s">
        <v>22</v>
      </c>
      <c r="G1334" s="21"/>
      <c r="H1334" s="58"/>
      <c r="I1334" s="14"/>
      <c r="J1334" s="14" t="s">
        <v>23</v>
      </c>
      <c r="K1334" s="14"/>
      <c r="L1334" s="14"/>
      <c r="M1334" s="14" t="s">
        <v>1537</v>
      </c>
      <c r="N1334" s="25" t="s">
        <v>37</v>
      </c>
      <c r="O1334" s="14" t="s">
        <v>179</v>
      </c>
      <c r="P1334" s="14"/>
      <c r="Q1334" s="14"/>
      <c r="R1334" s="14" t="s">
        <v>1809</v>
      </c>
    </row>
    <row r="1335" spans="1:36" ht="15" customHeight="1">
      <c r="A1335" s="12">
        <v>1248</v>
      </c>
      <c r="B1335" s="13" t="s">
        <v>2111</v>
      </c>
      <c r="C1335" s="14"/>
      <c r="D1335" s="14" t="s">
        <v>2110</v>
      </c>
      <c r="E1335" s="14" t="s">
        <v>36</v>
      </c>
      <c r="F1335" s="15" t="s">
        <v>22</v>
      </c>
      <c r="G1335" s="21"/>
      <c r="H1335" s="58">
        <v>2</v>
      </c>
      <c r="I1335" s="14"/>
      <c r="J1335" s="14" t="s">
        <v>23</v>
      </c>
      <c r="K1335" s="14"/>
      <c r="L1335" s="14"/>
      <c r="M1335" s="14" t="s">
        <v>1534</v>
      </c>
      <c r="N1335" s="25" t="s">
        <v>37</v>
      </c>
      <c r="O1335" s="14" t="s">
        <v>2112</v>
      </c>
      <c r="P1335" s="14"/>
      <c r="Q1335" s="14"/>
      <c r="R1335" s="14" t="s">
        <v>1979</v>
      </c>
    </row>
    <row r="1336" spans="1:36" ht="15" customHeight="1">
      <c r="A1336" s="12">
        <v>2043</v>
      </c>
      <c r="B1336" s="13" t="s">
        <v>2113</v>
      </c>
      <c r="C1336" s="14"/>
      <c r="D1336" s="16">
        <v>441</v>
      </c>
      <c r="E1336" s="16" t="s">
        <v>36</v>
      </c>
      <c r="F1336" s="15" t="s">
        <v>22</v>
      </c>
      <c r="G1336" s="18"/>
      <c r="H1336" s="58">
        <v>3</v>
      </c>
      <c r="I1336" s="16"/>
      <c r="J1336" s="14" t="s">
        <v>23</v>
      </c>
      <c r="K1336" s="18"/>
      <c r="L1336" s="18"/>
      <c r="M1336" s="18"/>
      <c r="N1336" s="18"/>
      <c r="O1336" s="18"/>
      <c r="P1336" s="18"/>
      <c r="Q1336" s="18"/>
      <c r="R1336" s="18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</row>
    <row r="1337" spans="1:36" ht="15" customHeight="1">
      <c r="A1337" s="12">
        <v>474</v>
      </c>
      <c r="B1337" s="13" t="s">
        <v>2114</v>
      </c>
      <c r="C1337" s="14"/>
      <c r="D1337" s="14" t="s">
        <v>2115</v>
      </c>
      <c r="E1337" s="44" t="s">
        <v>172</v>
      </c>
      <c r="F1337" s="15" t="s">
        <v>22</v>
      </c>
      <c r="G1337" s="21"/>
      <c r="H1337" s="58"/>
      <c r="I1337" s="14"/>
      <c r="J1337" s="14" t="s">
        <v>23</v>
      </c>
      <c r="K1337" s="14"/>
      <c r="L1337" s="14"/>
      <c r="M1337" s="14" t="s">
        <v>1537</v>
      </c>
      <c r="N1337" s="14" t="s">
        <v>25</v>
      </c>
      <c r="O1337" s="14"/>
      <c r="P1337" s="14"/>
      <c r="Q1337" s="14"/>
      <c r="R1337" s="14" t="s">
        <v>1809</v>
      </c>
    </row>
    <row r="1338" spans="1:36" ht="15" customHeight="1">
      <c r="A1338" s="12">
        <v>1249</v>
      </c>
      <c r="B1338" s="13" t="s">
        <v>2116</v>
      </c>
      <c r="C1338" s="14"/>
      <c r="D1338" s="14" t="s">
        <v>2115</v>
      </c>
      <c r="E1338" s="14" t="s">
        <v>172</v>
      </c>
      <c r="F1338" s="15" t="s">
        <v>22</v>
      </c>
      <c r="G1338" s="21"/>
      <c r="H1338" s="58">
        <v>1</v>
      </c>
      <c r="I1338" s="14"/>
      <c r="J1338" s="14" t="s">
        <v>23</v>
      </c>
      <c r="K1338" s="14"/>
      <c r="L1338" s="14"/>
      <c r="M1338" s="14" t="s">
        <v>1534</v>
      </c>
      <c r="N1338" s="14" t="s">
        <v>25</v>
      </c>
      <c r="O1338" s="14"/>
      <c r="P1338" s="14"/>
      <c r="Q1338" s="14"/>
      <c r="R1338" s="14" t="s">
        <v>1979</v>
      </c>
    </row>
    <row r="1339" spans="1:36" ht="15" customHeight="1">
      <c r="A1339" s="12">
        <v>2044</v>
      </c>
      <c r="B1339" s="13" t="s">
        <v>2117</v>
      </c>
      <c r="C1339" s="14"/>
      <c r="D1339" s="16">
        <v>442</v>
      </c>
      <c r="E1339" s="16" t="s">
        <v>172</v>
      </c>
      <c r="F1339" s="15" t="s">
        <v>22</v>
      </c>
      <c r="G1339" s="18"/>
      <c r="H1339" s="58"/>
      <c r="I1339" s="16"/>
      <c r="J1339" s="14" t="s">
        <v>23</v>
      </c>
      <c r="K1339" s="18"/>
      <c r="L1339" s="18"/>
      <c r="M1339" s="18"/>
      <c r="N1339" s="18"/>
      <c r="O1339" s="18"/>
      <c r="P1339" s="18"/>
      <c r="Q1339" s="18"/>
      <c r="R1339" s="18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</row>
    <row r="1340" spans="1:36" ht="15" customHeight="1">
      <c r="A1340" s="12">
        <v>475</v>
      </c>
      <c r="B1340" s="13" t="s">
        <v>2118</v>
      </c>
      <c r="C1340" s="14"/>
      <c r="D1340" s="14" t="s">
        <v>2119</v>
      </c>
      <c r="E1340" s="14" t="s">
        <v>321</v>
      </c>
      <c r="F1340" s="15" t="s">
        <v>22</v>
      </c>
      <c r="G1340" s="21"/>
      <c r="H1340" s="58"/>
      <c r="I1340" s="14"/>
      <c r="J1340" s="14" t="s">
        <v>23</v>
      </c>
      <c r="K1340" s="14"/>
      <c r="L1340" s="14"/>
      <c r="M1340" s="14" t="s">
        <v>1537</v>
      </c>
      <c r="N1340" s="14" t="s">
        <v>25</v>
      </c>
      <c r="O1340" s="14"/>
      <c r="P1340" s="14"/>
      <c r="Q1340" s="14"/>
      <c r="R1340" s="14" t="s">
        <v>1809</v>
      </c>
    </row>
    <row r="1341" spans="1:36" ht="15" customHeight="1">
      <c r="A1341" s="12">
        <v>1250</v>
      </c>
      <c r="B1341" s="13" t="s">
        <v>2120</v>
      </c>
      <c r="C1341" s="14"/>
      <c r="D1341" s="14" t="s">
        <v>2119</v>
      </c>
      <c r="E1341" s="14" t="s">
        <v>321</v>
      </c>
      <c r="F1341" s="15" t="s">
        <v>22</v>
      </c>
      <c r="G1341" s="21"/>
      <c r="H1341" s="58">
        <v>2</v>
      </c>
      <c r="I1341" s="14"/>
      <c r="J1341" s="14" t="s">
        <v>23</v>
      </c>
      <c r="K1341" s="14"/>
      <c r="L1341" s="14"/>
      <c r="M1341" s="14" t="s">
        <v>1534</v>
      </c>
      <c r="N1341" s="14" t="s">
        <v>25</v>
      </c>
      <c r="O1341" s="14"/>
      <c r="P1341" s="14"/>
      <c r="Q1341" s="14"/>
      <c r="R1341" s="14" t="s">
        <v>1979</v>
      </c>
    </row>
    <row r="1342" spans="1:36" ht="15" customHeight="1">
      <c r="A1342" s="12">
        <v>2045</v>
      </c>
      <c r="B1342" s="13" t="s">
        <v>2121</v>
      </c>
      <c r="C1342" s="14"/>
      <c r="D1342" s="16">
        <v>443</v>
      </c>
      <c r="E1342" s="14" t="s">
        <v>321</v>
      </c>
      <c r="F1342" s="15" t="s">
        <v>22</v>
      </c>
      <c r="G1342" s="18"/>
      <c r="H1342" s="58">
        <v>2</v>
      </c>
      <c r="I1342" s="16"/>
      <c r="J1342" s="14" t="s">
        <v>23</v>
      </c>
      <c r="K1342" s="18"/>
      <c r="L1342" s="18"/>
      <c r="M1342" s="18"/>
      <c r="N1342" s="18"/>
      <c r="O1342" s="18"/>
      <c r="P1342" s="18"/>
      <c r="Q1342" s="18"/>
      <c r="R1342" s="18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</row>
    <row r="1343" spans="1:36" ht="15" customHeight="1">
      <c r="A1343" s="12">
        <v>476</v>
      </c>
      <c r="B1343" s="13" t="s">
        <v>2122</v>
      </c>
      <c r="C1343" s="14"/>
      <c r="D1343" s="14" t="s">
        <v>2123</v>
      </c>
      <c r="E1343" s="14" t="s">
        <v>115</v>
      </c>
      <c r="F1343" s="15" t="s">
        <v>22</v>
      </c>
      <c r="G1343" s="21"/>
      <c r="H1343" s="58"/>
      <c r="I1343" s="14"/>
      <c r="J1343" s="14" t="s">
        <v>23</v>
      </c>
      <c r="K1343" s="14"/>
      <c r="L1343" s="14"/>
      <c r="M1343" s="14" t="s">
        <v>1537</v>
      </c>
      <c r="N1343" s="14" t="s">
        <v>25</v>
      </c>
      <c r="O1343" s="14"/>
      <c r="P1343" s="14"/>
      <c r="Q1343" s="14"/>
      <c r="R1343" s="14" t="s">
        <v>1809</v>
      </c>
    </row>
    <row r="1344" spans="1:36" ht="15" customHeight="1">
      <c r="A1344" s="12">
        <v>1251</v>
      </c>
      <c r="B1344" s="13" t="s">
        <v>2124</v>
      </c>
      <c r="C1344" s="14"/>
      <c r="D1344" s="14" t="s">
        <v>2123</v>
      </c>
      <c r="E1344" s="14" t="s">
        <v>1200</v>
      </c>
      <c r="F1344" s="15" t="s">
        <v>22</v>
      </c>
      <c r="G1344" s="21"/>
      <c r="H1344" s="58">
        <v>1</v>
      </c>
      <c r="I1344" s="14"/>
      <c r="J1344" s="14" t="s">
        <v>23</v>
      </c>
      <c r="K1344" s="14"/>
      <c r="L1344" s="14"/>
      <c r="M1344" s="14" t="s">
        <v>1534</v>
      </c>
      <c r="N1344" s="14" t="s">
        <v>25</v>
      </c>
      <c r="O1344" s="14"/>
      <c r="P1344" s="14"/>
      <c r="Q1344" s="14"/>
      <c r="R1344" s="14" t="s">
        <v>1979</v>
      </c>
    </row>
    <row r="1345" spans="1:36" ht="15" customHeight="1">
      <c r="A1345" s="12">
        <v>2046</v>
      </c>
      <c r="B1345" s="13" t="s">
        <v>2125</v>
      </c>
      <c r="C1345" s="14"/>
      <c r="D1345" s="16">
        <v>444</v>
      </c>
      <c r="E1345" s="16" t="s">
        <v>1200</v>
      </c>
      <c r="F1345" s="15" t="s">
        <v>22</v>
      </c>
      <c r="G1345" s="18"/>
      <c r="H1345" s="58"/>
      <c r="I1345" s="16"/>
      <c r="J1345" s="14" t="s">
        <v>23</v>
      </c>
      <c r="K1345" s="18"/>
      <c r="L1345" s="18"/>
      <c r="M1345" s="18"/>
      <c r="N1345" s="18"/>
      <c r="O1345" s="18"/>
      <c r="P1345" s="18"/>
      <c r="Q1345" s="18"/>
      <c r="R1345" s="18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</row>
    <row r="1346" spans="1:36" ht="15" customHeight="1">
      <c r="A1346" s="12">
        <v>477</v>
      </c>
      <c r="B1346" s="13" t="s">
        <v>2126</v>
      </c>
      <c r="C1346" s="14"/>
      <c r="D1346" s="14" t="s">
        <v>2127</v>
      </c>
      <c r="E1346" s="14" t="s">
        <v>1961</v>
      </c>
      <c r="F1346" s="15" t="s">
        <v>22</v>
      </c>
      <c r="G1346" s="21"/>
      <c r="H1346" s="58"/>
      <c r="I1346" s="14"/>
      <c r="J1346" s="14" t="s">
        <v>23</v>
      </c>
      <c r="K1346" s="14"/>
      <c r="L1346" s="14"/>
      <c r="M1346" s="14" t="s">
        <v>1537</v>
      </c>
      <c r="N1346" s="14" t="s">
        <v>25</v>
      </c>
      <c r="O1346" s="14"/>
      <c r="P1346" s="14"/>
      <c r="Q1346" s="14"/>
      <c r="R1346" s="14" t="s">
        <v>1809</v>
      </c>
    </row>
    <row r="1347" spans="1:36" ht="15" customHeight="1">
      <c r="A1347" s="12">
        <v>1252</v>
      </c>
      <c r="B1347" s="13" t="s">
        <v>2128</v>
      </c>
      <c r="C1347" s="14"/>
      <c r="D1347" s="14" t="s">
        <v>2127</v>
      </c>
      <c r="E1347" s="14" t="s">
        <v>1961</v>
      </c>
      <c r="F1347" s="15" t="s">
        <v>22</v>
      </c>
      <c r="G1347" s="21"/>
      <c r="H1347" s="58">
        <v>0</v>
      </c>
      <c r="I1347" s="14"/>
      <c r="J1347" s="14" t="s">
        <v>23</v>
      </c>
      <c r="K1347" s="14"/>
      <c r="L1347" s="14"/>
      <c r="M1347" s="14" t="s">
        <v>1534</v>
      </c>
      <c r="N1347" s="14" t="s">
        <v>25</v>
      </c>
      <c r="O1347" s="14"/>
      <c r="P1347" s="14"/>
      <c r="Q1347" s="14"/>
      <c r="R1347" s="14" t="s">
        <v>1979</v>
      </c>
    </row>
    <row r="1348" spans="1:36" ht="15" customHeight="1">
      <c r="A1348" s="12">
        <v>2047</v>
      </c>
      <c r="B1348" s="13" t="s">
        <v>2129</v>
      </c>
      <c r="C1348" s="14"/>
      <c r="D1348" s="16">
        <v>445</v>
      </c>
      <c r="E1348" s="16" t="s">
        <v>1961</v>
      </c>
      <c r="F1348" s="15" t="s">
        <v>22</v>
      </c>
      <c r="G1348" s="18"/>
      <c r="H1348" s="58"/>
      <c r="I1348" s="16"/>
      <c r="J1348" s="14" t="s">
        <v>23</v>
      </c>
      <c r="K1348" s="18"/>
      <c r="L1348" s="18"/>
      <c r="M1348" s="18"/>
      <c r="N1348" s="18"/>
      <c r="O1348" s="18"/>
      <c r="P1348" s="18"/>
      <c r="Q1348" s="18"/>
      <c r="R1348" s="18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</row>
    <row r="1349" spans="1:36" ht="15" customHeight="1">
      <c r="A1349" s="12">
        <v>478</v>
      </c>
      <c r="B1349" s="13" t="s">
        <v>2130</v>
      </c>
      <c r="C1349" s="14"/>
      <c r="D1349" s="14" t="s">
        <v>2131</v>
      </c>
      <c r="E1349" s="14" t="s">
        <v>44</v>
      </c>
      <c r="F1349" s="15" t="s">
        <v>22</v>
      </c>
      <c r="G1349" s="21"/>
      <c r="H1349" s="58"/>
      <c r="I1349" s="14"/>
      <c r="J1349" s="14" t="s">
        <v>23</v>
      </c>
      <c r="K1349" s="14"/>
      <c r="L1349" s="14"/>
      <c r="M1349" s="14" t="s">
        <v>1537</v>
      </c>
      <c r="N1349" s="14" t="s">
        <v>25</v>
      </c>
      <c r="O1349" s="14"/>
      <c r="P1349" s="14"/>
      <c r="Q1349" s="14"/>
      <c r="R1349" s="14" t="s">
        <v>1809</v>
      </c>
    </row>
    <row r="1350" spans="1:36" ht="15" customHeight="1">
      <c r="A1350" s="12">
        <v>1253</v>
      </c>
      <c r="B1350" s="13" t="s">
        <v>2132</v>
      </c>
      <c r="C1350" s="14"/>
      <c r="D1350" s="14" t="s">
        <v>2131</v>
      </c>
      <c r="E1350" s="14" t="s">
        <v>44</v>
      </c>
      <c r="F1350" s="15" t="s">
        <v>22</v>
      </c>
      <c r="G1350" s="21"/>
      <c r="H1350" s="58">
        <v>3</v>
      </c>
      <c r="I1350" s="14"/>
      <c r="J1350" s="14" t="s">
        <v>23</v>
      </c>
      <c r="K1350" s="14"/>
      <c r="L1350" s="14"/>
      <c r="M1350" s="14" t="s">
        <v>1534</v>
      </c>
      <c r="N1350" s="14" t="s">
        <v>25</v>
      </c>
      <c r="O1350" s="14"/>
      <c r="P1350" s="14"/>
      <c r="Q1350" s="14"/>
      <c r="R1350" s="14" t="s">
        <v>1979</v>
      </c>
    </row>
    <row r="1351" spans="1:36" ht="15" customHeight="1">
      <c r="A1351" s="12">
        <v>2048</v>
      </c>
      <c r="B1351" s="13" t="s">
        <v>2133</v>
      </c>
      <c r="C1351" s="14"/>
      <c r="D1351" s="16">
        <v>446</v>
      </c>
      <c r="E1351" s="16" t="s">
        <v>44</v>
      </c>
      <c r="F1351" s="15" t="s">
        <v>22</v>
      </c>
      <c r="G1351" s="18"/>
      <c r="H1351" s="58">
        <v>2</v>
      </c>
      <c r="I1351" s="16"/>
      <c r="J1351" s="14" t="s">
        <v>23</v>
      </c>
      <c r="K1351" s="18"/>
      <c r="L1351" s="18"/>
      <c r="M1351" s="18"/>
      <c r="N1351" s="18"/>
      <c r="O1351" s="18"/>
      <c r="P1351" s="18"/>
      <c r="Q1351" s="18"/>
      <c r="R1351" s="18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</row>
    <row r="1352" spans="1:36" ht="15" customHeight="1">
      <c r="A1352" s="12">
        <v>2049</v>
      </c>
      <c r="B1352" s="13" t="s">
        <v>2134</v>
      </c>
      <c r="C1352" s="14"/>
      <c r="D1352" s="16">
        <v>447</v>
      </c>
      <c r="E1352" s="16" t="s">
        <v>36</v>
      </c>
      <c r="F1352" s="15" t="s">
        <v>22</v>
      </c>
      <c r="G1352" s="18"/>
      <c r="H1352" s="58"/>
      <c r="I1352" s="16"/>
      <c r="J1352" s="14" t="s">
        <v>23</v>
      </c>
      <c r="K1352" s="18"/>
      <c r="L1352" s="18"/>
      <c r="M1352" s="18"/>
      <c r="N1352" s="18"/>
      <c r="O1352" s="18"/>
      <c r="P1352" s="18"/>
      <c r="Q1352" s="18"/>
      <c r="R1352" s="18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</row>
    <row r="1353" spans="1:36" ht="15" customHeight="1">
      <c r="A1353" s="12">
        <v>479</v>
      </c>
      <c r="B1353" s="13" t="s">
        <v>2135</v>
      </c>
      <c r="C1353" s="14"/>
      <c r="D1353" s="14" t="s">
        <v>2136</v>
      </c>
      <c r="E1353" s="14" t="s">
        <v>44</v>
      </c>
      <c r="F1353" s="15" t="s">
        <v>22</v>
      </c>
      <c r="G1353" s="21"/>
      <c r="H1353" s="58"/>
      <c r="I1353" s="14"/>
      <c r="J1353" s="14" t="s">
        <v>23</v>
      </c>
      <c r="K1353" s="14"/>
      <c r="L1353" s="14"/>
      <c r="M1353" s="14" t="s">
        <v>1537</v>
      </c>
      <c r="N1353" s="14" t="s">
        <v>25</v>
      </c>
      <c r="O1353" s="14"/>
      <c r="P1353" s="14"/>
      <c r="Q1353" s="14"/>
      <c r="R1353" s="14" t="s">
        <v>1809</v>
      </c>
    </row>
    <row r="1354" spans="1:36" ht="15" customHeight="1">
      <c r="A1354" s="12">
        <v>1254</v>
      </c>
      <c r="B1354" s="13" t="s">
        <v>2137</v>
      </c>
      <c r="C1354" s="14"/>
      <c r="D1354" s="14" t="s">
        <v>2136</v>
      </c>
      <c r="E1354" s="14" t="s">
        <v>44</v>
      </c>
      <c r="F1354" s="15" t="s">
        <v>22</v>
      </c>
      <c r="G1354" s="21"/>
      <c r="H1354" s="58">
        <v>3</v>
      </c>
      <c r="I1354" s="14"/>
      <c r="J1354" s="14" t="s">
        <v>23</v>
      </c>
      <c r="K1354" s="14"/>
      <c r="L1354" s="14"/>
      <c r="M1354" s="14" t="s">
        <v>1534</v>
      </c>
      <c r="N1354" s="14" t="s">
        <v>25</v>
      </c>
      <c r="O1354" s="14"/>
      <c r="P1354" s="14"/>
      <c r="Q1354" s="14"/>
      <c r="R1354" s="14" t="s">
        <v>1979</v>
      </c>
    </row>
    <row r="1355" spans="1:36" ht="15" customHeight="1">
      <c r="A1355" s="12">
        <v>2050</v>
      </c>
      <c r="B1355" s="13" t="s">
        <v>2138</v>
      </c>
      <c r="C1355" s="14"/>
      <c r="D1355" s="16">
        <v>448</v>
      </c>
      <c r="E1355" s="16" t="s">
        <v>44</v>
      </c>
      <c r="F1355" s="15" t="s">
        <v>22</v>
      </c>
      <c r="G1355" s="18"/>
      <c r="H1355" s="58"/>
      <c r="I1355" s="16"/>
      <c r="J1355" s="14" t="s">
        <v>23</v>
      </c>
      <c r="K1355" s="18"/>
      <c r="L1355" s="18"/>
      <c r="M1355" s="18"/>
      <c r="N1355" s="18"/>
      <c r="O1355" s="18"/>
      <c r="P1355" s="18"/>
      <c r="Q1355" s="18"/>
      <c r="R1355" s="18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</row>
    <row r="1356" spans="1:36" ht="15" customHeight="1">
      <c r="A1356" s="12">
        <v>480</v>
      </c>
      <c r="B1356" s="13" t="s">
        <v>2139</v>
      </c>
      <c r="C1356" s="14"/>
      <c r="D1356" s="14" t="s">
        <v>2140</v>
      </c>
      <c r="E1356" s="14" t="s">
        <v>21</v>
      </c>
      <c r="F1356" s="15" t="s">
        <v>22</v>
      </c>
      <c r="G1356" s="21"/>
      <c r="H1356" s="58"/>
      <c r="I1356" s="14"/>
      <c r="J1356" s="14" t="s">
        <v>23</v>
      </c>
      <c r="K1356" s="14"/>
      <c r="L1356" s="14"/>
      <c r="M1356" s="14" t="s">
        <v>1537</v>
      </c>
      <c r="N1356" s="14" t="s">
        <v>25</v>
      </c>
      <c r="O1356" s="14"/>
      <c r="P1356" s="14"/>
      <c r="Q1356" s="14"/>
      <c r="R1356" s="14" t="s">
        <v>1809</v>
      </c>
    </row>
    <row r="1357" spans="1:36" ht="15" customHeight="1">
      <c r="A1357" s="12">
        <v>1255</v>
      </c>
      <c r="B1357" s="13" t="s">
        <v>2141</v>
      </c>
      <c r="C1357" s="14"/>
      <c r="D1357" s="14" t="s">
        <v>2140</v>
      </c>
      <c r="E1357" s="14" t="s">
        <v>21</v>
      </c>
      <c r="F1357" s="15" t="s">
        <v>22</v>
      </c>
      <c r="G1357" s="21"/>
      <c r="H1357" s="58">
        <v>1</v>
      </c>
      <c r="I1357" s="14"/>
      <c r="J1357" s="14" t="s">
        <v>23</v>
      </c>
      <c r="K1357" s="14"/>
      <c r="L1357" s="14"/>
      <c r="M1357" s="14" t="s">
        <v>1534</v>
      </c>
      <c r="N1357" s="14" t="s">
        <v>25</v>
      </c>
      <c r="O1357" s="14"/>
      <c r="P1357" s="14"/>
      <c r="Q1357" s="14"/>
      <c r="R1357" s="14" t="s">
        <v>1979</v>
      </c>
    </row>
    <row r="1358" spans="1:36" ht="15" customHeight="1">
      <c r="A1358" s="12">
        <v>2051</v>
      </c>
      <c r="B1358" s="13" t="s">
        <v>2142</v>
      </c>
      <c r="C1358" s="14"/>
      <c r="D1358" s="16">
        <v>449</v>
      </c>
      <c r="E1358" s="14" t="s">
        <v>21</v>
      </c>
      <c r="F1358" s="15" t="s">
        <v>22</v>
      </c>
      <c r="G1358" s="18"/>
      <c r="H1358" s="58"/>
      <c r="I1358" s="16"/>
      <c r="J1358" s="14" t="s">
        <v>23</v>
      </c>
      <c r="K1358" s="18"/>
      <c r="L1358" s="18"/>
      <c r="M1358" s="18"/>
      <c r="N1358" s="18"/>
      <c r="O1358" s="18"/>
      <c r="P1358" s="18"/>
      <c r="Q1358" s="18"/>
      <c r="R1358" s="18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</row>
    <row r="1359" spans="1:36" ht="15" customHeight="1">
      <c r="A1359" s="12">
        <v>481</v>
      </c>
      <c r="B1359" s="13" t="s">
        <v>2143</v>
      </c>
      <c r="C1359" s="14"/>
      <c r="D1359" s="14" t="s">
        <v>2144</v>
      </c>
      <c r="E1359" s="14" t="s">
        <v>36</v>
      </c>
      <c r="F1359" s="15" t="s">
        <v>22</v>
      </c>
      <c r="G1359" s="21"/>
      <c r="H1359" s="58"/>
      <c r="I1359" s="14"/>
      <c r="J1359" s="14" t="s">
        <v>23</v>
      </c>
      <c r="K1359" s="14"/>
      <c r="L1359" s="14"/>
      <c r="M1359" s="14" t="s">
        <v>1537</v>
      </c>
      <c r="N1359" s="14" t="s">
        <v>25</v>
      </c>
      <c r="O1359" s="14"/>
      <c r="P1359" s="14"/>
      <c r="Q1359" s="14"/>
      <c r="R1359" s="14" t="s">
        <v>1809</v>
      </c>
    </row>
    <row r="1360" spans="1:36" ht="15" customHeight="1">
      <c r="A1360" s="12">
        <v>1256</v>
      </c>
      <c r="B1360" s="13" t="s">
        <v>2145</v>
      </c>
      <c r="C1360" s="14"/>
      <c r="D1360" s="14" t="s">
        <v>2144</v>
      </c>
      <c r="E1360" s="14" t="s">
        <v>36</v>
      </c>
      <c r="F1360" s="15" t="s">
        <v>22</v>
      </c>
      <c r="G1360" s="21"/>
      <c r="H1360" s="58">
        <v>1</v>
      </c>
      <c r="I1360" s="14"/>
      <c r="J1360" s="14" t="s">
        <v>23</v>
      </c>
      <c r="K1360" s="14"/>
      <c r="L1360" s="14"/>
      <c r="M1360" s="14" t="s">
        <v>1534</v>
      </c>
      <c r="N1360" s="14" t="s">
        <v>25</v>
      </c>
      <c r="O1360" s="14"/>
      <c r="P1360" s="14"/>
      <c r="Q1360" s="14"/>
      <c r="R1360" s="14" t="s">
        <v>1979</v>
      </c>
    </row>
    <row r="1361" spans="1:36" ht="15" customHeight="1">
      <c r="A1361" s="12">
        <v>2052</v>
      </c>
      <c r="B1361" s="13" t="s">
        <v>2146</v>
      </c>
      <c r="C1361" s="14"/>
      <c r="D1361" s="16">
        <v>450</v>
      </c>
      <c r="E1361" s="16" t="s">
        <v>36</v>
      </c>
      <c r="F1361" s="15" t="s">
        <v>22</v>
      </c>
      <c r="G1361" s="18"/>
      <c r="H1361" s="58"/>
      <c r="I1361" s="16"/>
      <c r="J1361" s="14" t="s">
        <v>23</v>
      </c>
      <c r="K1361" s="18"/>
      <c r="L1361" s="18"/>
      <c r="M1361" s="18"/>
      <c r="N1361" s="18"/>
      <c r="O1361" s="18"/>
      <c r="P1361" s="18"/>
      <c r="Q1361" s="18"/>
      <c r="R1361" s="18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</row>
    <row r="1362" spans="1:36" ht="15" customHeight="1">
      <c r="A1362" s="12">
        <v>1257</v>
      </c>
      <c r="B1362" s="13" t="s">
        <v>2147</v>
      </c>
      <c r="C1362" s="14"/>
      <c r="D1362" s="14" t="s">
        <v>2148</v>
      </c>
      <c r="E1362" s="14" t="s">
        <v>44</v>
      </c>
      <c r="F1362" s="15" t="s">
        <v>22</v>
      </c>
      <c r="G1362" s="21"/>
      <c r="H1362" s="58">
        <v>4</v>
      </c>
      <c r="I1362" s="14"/>
      <c r="J1362" s="14" t="s">
        <v>23</v>
      </c>
      <c r="K1362" s="14"/>
      <c r="L1362" s="14"/>
      <c r="M1362" s="14" t="s">
        <v>1534</v>
      </c>
      <c r="N1362" s="25" t="s">
        <v>37</v>
      </c>
      <c r="O1362" s="14" t="s">
        <v>2149</v>
      </c>
      <c r="P1362" s="14"/>
      <c r="Q1362" s="14"/>
      <c r="R1362" s="14" t="s">
        <v>1979</v>
      </c>
    </row>
    <row r="1363" spans="1:36" ht="15" customHeight="1">
      <c r="A1363" s="12">
        <v>2053</v>
      </c>
      <c r="B1363" s="13" t="s">
        <v>2150</v>
      </c>
      <c r="C1363" s="14"/>
      <c r="D1363" s="16">
        <v>451</v>
      </c>
      <c r="E1363" s="16" t="s">
        <v>44</v>
      </c>
      <c r="F1363" s="15" t="s">
        <v>22</v>
      </c>
      <c r="G1363" s="18"/>
      <c r="H1363" s="58"/>
      <c r="I1363" s="16"/>
      <c r="J1363" s="14" t="s">
        <v>23</v>
      </c>
      <c r="K1363" s="18"/>
      <c r="L1363" s="18"/>
      <c r="M1363" s="18"/>
      <c r="N1363" s="18"/>
      <c r="O1363" s="18"/>
      <c r="P1363" s="18"/>
      <c r="Q1363" s="18"/>
      <c r="R1363" s="18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</row>
    <row r="1364" spans="1:36" ht="15" customHeight="1">
      <c r="A1364" s="12">
        <v>482</v>
      </c>
      <c r="B1364" s="13" t="s">
        <v>2151</v>
      </c>
      <c r="C1364" s="14"/>
      <c r="D1364" s="14" t="s">
        <v>2152</v>
      </c>
      <c r="E1364" s="14" t="s">
        <v>36</v>
      </c>
      <c r="F1364" s="15" t="s">
        <v>22</v>
      </c>
      <c r="G1364" s="21"/>
      <c r="H1364" s="58"/>
      <c r="I1364" s="14"/>
      <c r="J1364" s="14" t="s">
        <v>23</v>
      </c>
      <c r="K1364" s="14"/>
      <c r="L1364" s="14"/>
      <c r="M1364" s="14" t="s">
        <v>1537</v>
      </c>
      <c r="N1364" s="25" t="s">
        <v>37</v>
      </c>
      <c r="O1364" s="14" t="s">
        <v>138</v>
      </c>
      <c r="P1364" s="14"/>
      <c r="Q1364" s="14"/>
      <c r="R1364" s="14" t="s">
        <v>1809</v>
      </c>
    </row>
    <row r="1365" spans="1:36" ht="15" customHeight="1">
      <c r="A1365" s="12">
        <v>1258</v>
      </c>
      <c r="B1365" s="13" t="s">
        <v>2153</v>
      </c>
      <c r="C1365" s="14"/>
      <c r="D1365" s="14" t="s">
        <v>2152</v>
      </c>
      <c r="E1365" s="14" t="s">
        <v>36</v>
      </c>
      <c r="F1365" s="15" t="s">
        <v>22</v>
      </c>
      <c r="G1365" s="21"/>
      <c r="H1365" s="58">
        <v>1</v>
      </c>
      <c r="I1365" s="14"/>
      <c r="J1365" s="14" t="s">
        <v>23</v>
      </c>
      <c r="K1365" s="14"/>
      <c r="L1365" s="14"/>
      <c r="M1365" s="14" t="s">
        <v>1534</v>
      </c>
      <c r="N1365" s="14" t="s">
        <v>25</v>
      </c>
      <c r="O1365" s="14"/>
      <c r="P1365" s="14"/>
      <c r="Q1365" s="14"/>
      <c r="R1365" s="14" t="s">
        <v>1979</v>
      </c>
    </row>
    <row r="1366" spans="1:36" ht="15" customHeight="1">
      <c r="A1366" s="12">
        <v>2054</v>
      </c>
      <c r="B1366" s="13" t="s">
        <v>2154</v>
      </c>
      <c r="C1366" s="14"/>
      <c r="D1366" s="16">
        <v>452</v>
      </c>
      <c r="E1366" s="16" t="s">
        <v>36</v>
      </c>
      <c r="F1366" s="15" t="s">
        <v>22</v>
      </c>
      <c r="G1366" s="18"/>
      <c r="H1366" s="58"/>
      <c r="I1366" s="16"/>
      <c r="J1366" s="14" t="s">
        <v>23</v>
      </c>
      <c r="K1366" s="18"/>
      <c r="L1366" s="18"/>
      <c r="M1366" s="18"/>
      <c r="N1366" s="18"/>
      <c r="O1366" s="18"/>
      <c r="P1366" s="18"/>
      <c r="Q1366" s="18"/>
      <c r="R1366" s="18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</row>
    <row r="1367" spans="1:36" ht="15" customHeight="1">
      <c r="A1367" s="12">
        <v>483</v>
      </c>
      <c r="B1367" s="13" t="s">
        <v>2155</v>
      </c>
      <c r="C1367" s="14"/>
      <c r="D1367" s="14" t="s">
        <v>2156</v>
      </c>
      <c r="E1367" s="14" t="s">
        <v>172</v>
      </c>
      <c r="F1367" s="15" t="s">
        <v>22</v>
      </c>
      <c r="G1367" s="21"/>
      <c r="H1367" s="58"/>
      <c r="I1367" s="14"/>
      <c r="J1367" s="14" t="s">
        <v>23</v>
      </c>
      <c r="K1367" s="14"/>
      <c r="L1367" s="14"/>
      <c r="M1367" s="14" t="s">
        <v>1537</v>
      </c>
      <c r="N1367" s="14" t="s">
        <v>25</v>
      </c>
      <c r="O1367" s="14"/>
      <c r="P1367" s="14"/>
      <c r="Q1367" s="14"/>
      <c r="R1367" s="14" t="s">
        <v>1809</v>
      </c>
    </row>
    <row r="1368" spans="1:36" ht="15" customHeight="1">
      <c r="A1368" s="12">
        <v>1259</v>
      </c>
      <c r="B1368" s="13" t="s">
        <v>2157</v>
      </c>
      <c r="C1368" s="14"/>
      <c r="D1368" s="14" t="s">
        <v>2156</v>
      </c>
      <c r="E1368" s="14" t="s">
        <v>172</v>
      </c>
      <c r="F1368" s="15" t="s">
        <v>22</v>
      </c>
      <c r="G1368" s="21"/>
      <c r="H1368" s="58">
        <v>2</v>
      </c>
      <c r="I1368" s="14"/>
      <c r="J1368" s="14" t="s">
        <v>23</v>
      </c>
      <c r="K1368" s="14"/>
      <c r="L1368" s="14"/>
      <c r="M1368" s="14" t="s">
        <v>1534</v>
      </c>
      <c r="N1368" s="25" t="s">
        <v>37</v>
      </c>
      <c r="O1368" s="14" t="s">
        <v>2158</v>
      </c>
      <c r="P1368" s="14"/>
      <c r="Q1368" s="14"/>
      <c r="R1368" s="14" t="s">
        <v>1979</v>
      </c>
    </row>
    <row r="1369" spans="1:36" ht="15" customHeight="1">
      <c r="A1369" s="12">
        <v>2055</v>
      </c>
      <c r="B1369" s="13" t="s">
        <v>2159</v>
      </c>
      <c r="C1369" s="14"/>
      <c r="D1369" s="16">
        <v>453</v>
      </c>
      <c r="E1369" s="16" t="s">
        <v>172</v>
      </c>
      <c r="F1369" s="15" t="s">
        <v>22</v>
      </c>
      <c r="G1369" s="18"/>
      <c r="H1369" s="58">
        <v>1</v>
      </c>
      <c r="I1369" s="16"/>
      <c r="J1369" s="14" t="s">
        <v>23</v>
      </c>
      <c r="K1369" s="18"/>
      <c r="L1369" s="18"/>
      <c r="M1369" s="18"/>
      <c r="N1369" s="18"/>
      <c r="O1369" s="18"/>
      <c r="P1369" s="18"/>
      <c r="Q1369" s="18"/>
      <c r="R1369" s="18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</row>
    <row r="1370" spans="1:36" ht="15" customHeight="1">
      <c r="A1370" s="12">
        <v>484</v>
      </c>
      <c r="B1370" s="13" t="s">
        <v>2160</v>
      </c>
      <c r="C1370" s="14"/>
      <c r="D1370" s="14" t="s">
        <v>2161</v>
      </c>
      <c r="E1370" s="14" t="s">
        <v>321</v>
      </c>
      <c r="F1370" s="15" t="s">
        <v>22</v>
      </c>
      <c r="G1370" s="21"/>
      <c r="H1370" s="58"/>
      <c r="I1370" s="14"/>
      <c r="J1370" s="14" t="s">
        <v>23</v>
      </c>
      <c r="K1370" s="14"/>
      <c r="L1370" s="14"/>
      <c r="M1370" s="14" t="s">
        <v>1537</v>
      </c>
      <c r="N1370" s="14" t="s">
        <v>25</v>
      </c>
      <c r="O1370" s="14"/>
      <c r="P1370" s="14"/>
      <c r="Q1370" s="14"/>
      <c r="R1370" s="14" t="s">
        <v>1809</v>
      </c>
    </row>
    <row r="1371" spans="1:36" ht="15" customHeight="1">
      <c r="A1371" s="12">
        <v>1260</v>
      </c>
      <c r="B1371" s="13" t="s">
        <v>2162</v>
      </c>
      <c r="C1371" s="14"/>
      <c r="D1371" s="14" t="s">
        <v>2161</v>
      </c>
      <c r="E1371" s="14" t="s">
        <v>321</v>
      </c>
      <c r="F1371" s="15" t="s">
        <v>22</v>
      </c>
      <c r="G1371" s="21"/>
      <c r="H1371" s="58">
        <v>0</v>
      </c>
      <c r="I1371" s="14"/>
      <c r="J1371" s="14" t="s">
        <v>23</v>
      </c>
      <c r="K1371" s="14"/>
      <c r="L1371" s="14"/>
      <c r="M1371" s="14" t="s">
        <v>1534</v>
      </c>
      <c r="N1371" s="14" t="s">
        <v>25</v>
      </c>
      <c r="O1371" s="14"/>
      <c r="P1371" s="14"/>
      <c r="Q1371" s="14"/>
      <c r="R1371" s="14" t="s">
        <v>1979</v>
      </c>
    </row>
    <row r="1372" spans="1:36" ht="15" customHeight="1">
      <c r="A1372" s="12">
        <v>2056</v>
      </c>
      <c r="B1372" s="13" t="s">
        <v>2163</v>
      </c>
      <c r="C1372" s="14"/>
      <c r="D1372" s="16">
        <v>454</v>
      </c>
      <c r="E1372" s="16" t="s">
        <v>321</v>
      </c>
      <c r="F1372" s="15" t="s">
        <v>22</v>
      </c>
      <c r="G1372" s="18"/>
      <c r="H1372" s="58"/>
      <c r="I1372" s="16"/>
      <c r="J1372" s="14" t="s">
        <v>23</v>
      </c>
      <c r="K1372" s="18"/>
      <c r="L1372" s="18"/>
      <c r="M1372" s="18"/>
      <c r="N1372" s="18"/>
      <c r="O1372" s="18"/>
      <c r="P1372" s="18"/>
      <c r="Q1372" s="18"/>
      <c r="R1372" s="18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</row>
    <row r="1373" spans="1:36" ht="15" customHeight="1">
      <c r="A1373" s="12">
        <v>485</v>
      </c>
      <c r="B1373" s="13" t="s">
        <v>2164</v>
      </c>
      <c r="C1373" s="39"/>
      <c r="D1373" s="14" t="s">
        <v>2165</v>
      </c>
      <c r="E1373" s="14" t="s">
        <v>580</v>
      </c>
      <c r="F1373" s="15" t="s">
        <v>22</v>
      </c>
      <c r="G1373" s="21"/>
      <c r="H1373" s="58"/>
      <c r="I1373" s="14"/>
      <c r="J1373" s="14" t="s">
        <v>23</v>
      </c>
      <c r="K1373" s="14"/>
      <c r="L1373" s="14"/>
      <c r="M1373" s="14" t="s">
        <v>1537</v>
      </c>
      <c r="N1373" s="14" t="s">
        <v>25</v>
      </c>
      <c r="O1373" s="14"/>
      <c r="P1373" s="14"/>
      <c r="Q1373" s="14"/>
      <c r="R1373" s="14" t="s">
        <v>1809</v>
      </c>
    </row>
    <row r="1374" spans="1:36" ht="15" customHeight="1">
      <c r="A1374" s="12">
        <v>1261</v>
      </c>
      <c r="B1374" s="13" t="s">
        <v>2166</v>
      </c>
      <c r="C1374" s="14"/>
      <c r="D1374" s="14" t="s">
        <v>2165</v>
      </c>
      <c r="E1374" s="14" t="s">
        <v>580</v>
      </c>
      <c r="F1374" s="15" t="s">
        <v>22</v>
      </c>
      <c r="G1374" s="21"/>
      <c r="H1374" s="58">
        <v>3</v>
      </c>
      <c r="I1374" s="14"/>
      <c r="J1374" s="14" t="s">
        <v>23</v>
      </c>
      <c r="K1374" s="14"/>
      <c r="L1374" s="14"/>
      <c r="M1374" s="14" t="s">
        <v>1534</v>
      </c>
      <c r="N1374" s="14" t="s">
        <v>25</v>
      </c>
      <c r="O1374" s="14"/>
      <c r="P1374" s="14"/>
      <c r="Q1374" s="14"/>
      <c r="R1374" s="14" t="s">
        <v>1979</v>
      </c>
    </row>
    <row r="1375" spans="1:36" ht="15" customHeight="1">
      <c r="A1375" s="12">
        <v>2057</v>
      </c>
      <c r="B1375" s="13" t="s">
        <v>2167</v>
      </c>
      <c r="C1375" s="14"/>
      <c r="D1375" s="16">
        <v>455</v>
      </c>
      <c r="E1375" s="16" t="s">
        <v>580</v>
      </c>
      <c r="F1375" s="15" t="s">
        <v>22</v>
      </c>
      <c r="G1375" s="18"/>
      <c r="H1375" s="58">
        <v>3</v>
      </c>
      <c r="I1375" s="16"/>
      <c r="J1375" s="14" t="s">
        <v>23</v>
      </c>
      <c r="K1375" s="18"/>
      <c r="L1375" s="18"/>
      <c r="M1375" s="18"/>
      <c r="N1375" s="18"/>
      <c r="O1375" s="18"/>
      <c r="P1375" s="18"/>
      <c r="Q1375" s="18"/>
      <c r="R1375" s="18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</row>
    <row r="1376" spans="1:36" ht="15" customHeight="1">
      <c r="A1376" s="12">
        <v>486</v>
      </c>
      <c r="B1376" s="13" t="s">
        <v>2168</v>
      </c>
      <c r="C1376" s="14"/>
      <c r="D1376" s="14" t="s">
        <v>2169</v>
      </c>
      <c r="E1376" s="14" t="s">
        <v>172</v>
      </c>
      <c r="F1376" s="15" t="s">
        <v>22</v>
      </c>
      <c r="G1376" s="21"/>
      <c r="H1376" s="58"/>
      <c r="I1376" s="14"/>
      <c r="J1376" s="14" t="s">
        <v>23</v>
      </c>
      <c r="K1376" s="14"/>
      <c r="L1376" s="14"/>
      <c r="M1376" s="14" t="s">
        <v>1537</v>
      </c>
      <c r="N1376" s="14" t="s">
        <v>25</v>
      </c>
      <c r="O1376" s="14"/>
      <c r="P1376" s="14"/>
      <c r="Q1376" s="14"/>
      <c r="R1376" s="14" t="s">
        <v>1809</v>
      </c>
    </row>
    <row r="1377" spans="1:1027" ht="15" customHeight="1">
      <c r="A1377" s="12">
        <v>1262</v>
      </c>
      <c r="B1377" s="13" t="s">
        <v>2170</v>
      </c>
      <c r="C1377" s="14"/>
      <c r="D1377" s="14" t="s">
        <v>2169</v>
      </c>
      <c r="E1377" s="14" t="s">
        <v>172</v>
      </c>
      <c r="F1377" s="15" t="s">
        <v>22</v>
      </c>
      <c r="G1377" s="21"/>
      <c r="H1377" s="58">
        <v>2</v>
      </c>
      <c r="I1377" s="14"/>
      <c r="J1377" s="14" t="s">
        <v>23</v>
      </c>
      <c r="K1377" s="14"/>
      <c r="L1377" s="14"/>
      <c r="M1377" s="14" t="s">
        <v>1534</v>
      </c>
      <c r="N1377" s="25" t="s">
        <v>37</v>
      </c>
      <c r="O1377" s="14" t="s">
        <v>530</v>
      </c>
      <c r="P1377" s="14"/>
      <c r="Q1377" s="14"/>
      <c r="R1377" s="14" t="s">
        <v>1979</v>
      </c>
    </row>
    <row r="1378" spans="1:1027" ht="15" customHeight="1">
      <c r="A1378" s="12">
        <v>2058</v>
      </c>
      <c r="B1378" s="13" t="s">
        <v>2171</v>
      </c>
      <c r="C1378" s="14"/>
      <c r="D1378" s="16">
        <v>456</v>
      </c>
      <c r="E1378" s="16" t="s">
        <v>172</v>
      </c>
      <c r="F1378" s="15" t="s">
        <v>22</v>
      </c>
      <c r="G1378" s="18"/>
      <c r="H1378" s="58">
        <v>3</v>
      </c>
      <c r="I1378" s="16"/>
      <c r="J1378" s="14" t="s">
        <v>23</v>
      </c>
      <c r="K1378" s="18"/>
      <c r="L1378" s="18"/>
      <c r="M1378" s="18"/>
      <c r="N1378" s="18"/>
      <c r="O1378" s="18"/>
      <c r="P1378" s="18"/>
      <c r="Q1378" s="18"/>
      <c r="R1378" s="18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</row>
    <row r="1379" spans="1:1027" ht="15" customHeight="1">
      <c r="A1379" s="12">
        <v>487</v>
      </c>
      <c r="B1379" s="13" t="s">
        <v>2172</v>
      </c>
      <c r="C1379" s="14"/>
      <c r="D1379" s="14" t="s">
        <v>2173</v>
      </c>
      <c r="E1379" s="14" t="s">
        <v>36</v>
      </c>
      <c r="F1379" s="15" t="s">
        <v>22</v>
      </c>
      <c r="G1379" s="21"/>
      <c r="H1379" s="58"/>
      <c r="I1379" s="14"/>
      <c r="J1379" s="14" t="s">
        <v>23</v>
      </c>
      <c r="K1379" s="14"/>
      <c r="L1379" s="14"/>
      <c r="M1379" s="14" t="s">
        <v>1537</v>
      </c>
      <c r="N1379" s="14" t="s">
        <v>25</v>
      </c>
      <c r="O1379" s="14"/>
      <c r="P1379" s="14"/>
      <c r="Q1379" s="14"/>
      <c r="R1379" s="14" t="s">
        <v>1809</v>
      </c>
    </row>
    <row r="1380" spans="1:1027" ht="15" customHeight="1">
      <c r="A1380" s="12">
        <v>1263</v>
      </c>
      <c r="B1380" s="13" t="s">
        <v>2174</v>
      </c>
      <c r="C1380" s="14"/>
      <c r="D1380" s="14" t="s">
        <v>2173</v>
      </c>
      <c r="E1380" s="14" t="s">
        <v>36</v>
      </c>
      <c r="F1380" s="15" t="s">
        <v>22</v>
      </c>
      <c r="G1380" s="21"/>
      <c r="H1380" s="58">
        <v>0</v>
      </c>
      <c r="I1380" s="14"/>
      <c r="J1380" s="14" t="s">
        <v>23</v>
      </c>
      <c r="K1380" s="14"/>
      <c r="L1380" s="14"/>
      <c r="M1380" s="14" t="s">
        <v>1534</v>
      </c>
      <c r="N1380" s="14" t="s">
        <v>25</v>
      </c>
      <c r="O1380" s="14"/>
      <c r="P1380" s="14"/>
      <c r="Q1380" s="14"/>
      <c r="R1380" s="14" t="s">
        <v>1979</v>
      </c>
    </row>
    <row r="1381" spans="1:1027" ht="15" customHeight="1">
      <c r="A1381" s="12">
        <v>2059</v>
      </c>
      <c r="B1381" s="13" t="s">
        <v>2175</v>
      </c>
      <c r="C1381" s="14"/>
      <c r="D1381" s="16">
        <v>457</v>
      </c>
      <c r="E1381" s="14" t="s">
        <v>36</v>
      </c>
      <c r="F1381" s="15" t="s">
        <v>22</v>
      </c>
      <c r="G1381" s="18"/>
      <c r="H1381" s="58"/>
      <c r="I1381" s="16"/>
      <c r="J1381" s="14" t="s">
        <v>23</v>
      </c>
      <c r="K1381" s="18"/>
      <c r="L1381" s="18"/>
      <c r="M1381" s="18"/>
      <c r="N1381" s="18"/>
      <c r="O1381" s="18"/>
      <c r="P1381" s="18"/>
      <c r="Q1381" s="18"/>
      <c r="R1381" s="18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</row>
    <row r="1382" spans="1:1027" ht="15" customHeight="1">
      <c r="A1382" s="12">
        <v>488</v>
      </c>
      <c r="B1382" s="13" t="s">
        <v>2176</v>
      </c>
      <c r="C1382" s="14"/>
      <c r="D1382" s="14" t="s">
        <v>2177</v>
      </c>
      <c r="E1382" s="14" t="s">
        <v>497</v>
      </c>
      <c r="F1382" s="15" t="s">
        <v>22</v>
      </c>
      <c r="G1382" s="21"/>
      <c r="H1382" s="58"/>
      <c r="I1382" s="14"/>
      <c r="J1382" s="14" t="s">
        <v>23</v>
      </c>
      <c r="K1382" s="14"/>
      <c r="L1382" s="14"/>
      <c r="M1382" s="14" t="s">
        <v>1537</v>
      </c>
      <c r="N1382" s="25" t="s">
        <v>289</v>
      </c>
      <c r="O1382" s="14" t="s">
        <v>189</v>
      </c>
      <c r="P1382" s="14"/>
      <c r="Q1382" s="14"/>
      <c r="R1382" s="14" t="s">
        <v>1809</v>
      </c>
    </row>
    <row r="1383" spans="1:1027" ht="15" customHeight="1">
      <c r="A1383" s="12">
        <v>1264</v>
      </c>
      <c r="B1383" s="13" t="s">
        <v>2178</v>
      </c>
      <c r="C1383" s="14"/>
      <c r="D1383" s="14" t="s">
        <v>2177</v>
      </c>
      <c r="E1383" s="14" t="s">
        <v>497</v>
      </c>
      <c r="F1383" s="15" t="s">
        <v>22</v>
      </c>
      <c r="G1383" s="21"/>
      <c r="H1383" s="58">
        <v>0</v>
      </c>
      <c r="I1383" s="14"/>
      <c r="J1383" s="14" t="s">
        <v>23</v>
      </c>
      <c r="K1383" s="14"/>
      <c r="L1383" s="14"/>
      <c r="M1383" s="14" t="s">
        <v>1534</v>
      </c>
      <c r="N1383" s="14" t="s">
        <v>25</v>
      </c>
      <c r="O1383" s="14"/>
      <c r="P1383" s="14"/>
      <c r="Q1383" s="14"/>
      <c r="R1383" s="14" t="s">
        <v>1979</v>
      </c>
    </row>
    <row r="1384" spans="1:1027" ht="15" customHeight="1">
      <c r="A1384" s="12">
        <v>2060</v>
      </c>
      <c r="B1384" s="13" t="s">
        <v>2179</v>
      </c>
      <c r="C1384" s="14"/>
      <c r="D1384" s="16">
        <v>458</v>
      </c>
      <c r="E1384" s="16" t="s">
        <v>497</v>
      </c>
      <c r="F1384" s="15" t="s">
        <v>22</v>
      </c>
      <c r="G1384" s="18"/>
      <c r="H1384" s="58"/>
      <c r="I1384" s="16"/>
      <c r="J1384" s="14" t="s">
        <v>23</v>
      </c>
      <c r="K1384" s="18"/>
      <c r="L1384" s="18"/>
      <c r="M1384" s="18"/>
      <c r="N1384" s="18"/>
      <c r="O1384" s="18"/>
      <c r="P1384" s="18"/>
      <c r="Q1384" s="18"/>
      <c r="R1384" s="18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</row>
    <row r="1385" spans="1:1027" ht="15" customHeight="1">
      <c r="A1385" s="12">
        <v>489</v>
      </c>
      <c r="B1385" s="13" t="s">
        <v>2180</v>
      </c>
      <c r="C1385" s="14"/>
      <c r="D1385" s="14" t="s">
        <v>2181</v>
      </c>
      <c r="E1385" s="14" t="s">
        <v>36</v>
      </c>
      <c r="F1385" s="15" t="s">
        <v>22</v>
      </c>
      <c r="G1385" s="21"/>
      <c r="H1385" s="58"/>
      <c r="I1385" s="14"/>
      <c r="J1385" s="14" t="s">
        <v>23</v>
      </c>
      <c r="K1385" s="14"/>
      <c r="L1385" s="14"/>
      <c r="M1385" s="14" t="s">
        <v>1537</v>
      </c>
      <c r="N1385" s="14" t="s">
        <v>25</v>
      </c>
      <c r="O1385" s="14"/>
      <c r="P1385" s="14"/>
      <c r="Q1385" s="14"/>
      <c r="R1385" s="14" t="s">
        <v>1809</v>
      </c>
    </row>
    <row r="1386" spans="1:1027" ht="15" customHeight="1">
      <c r="A1386" s="12">
        <v>1265</v>
      </c>
      <c r="B1386" s="13" t="s">
        <v>2182</v>
      </c>
      <c r="C1386" s="14"/>
      <c r="D1386" s="14" t="s">
        <v>2181</v>
      </c>
      <c r="E1386" s="14" t="s">
        <v>36</v>
      </c>
      <c r="F1386" s="15" t="s">
        <v>22</v>
      </c>
      <c r="G1386" s="21"/>
      <c r="H1386" s="58">
        <v>2</v>
      </c>
      <c r="I1386" s="14"/>
      <c r="J1386" s="14" t="s">
        <v>23</v>
      </c>
      <c r="K1386" s="14"/>
      <c r="L1386" s="14"/>
      <c r="M1386" s="14" t="s">
        <v>1534</v>
      </c>
      <c r="N1386" s="25" t="s">
        <v>37</v>
      </c>
      <c r="O1386" s="14" t="s">
        <v>344</v>
      </c>
      <c r="P1386" s="14"/>
      <c r="Q1386" s="14"/>
      <c r="R1386" s="14" t="s">
        <v>1979</v>
      </c>
    </row>
    <row r="1387" spans="1:1027" ht="15" customHeight="1">
      <c r="A1387" s="12">
        <v>2061</v>
      </c>
      <c r="B1387" s="13" t="s">
        <v>2183</v>
      </c>
      <c r="C1387" s="14"/>
      <c r="D1387" s="16">
        <v>459</v>
      </c>
      <c r="E1387" s="14" t="s">
        <v>36</v>
      </c>
      <c r="F1387" s="15" t="s">
        <v>22</v>
      </c>
      <c r="G1387" s="18"/>
      <c r="H1387" s="58"/>
      <c r="I1387" s="16"/>
      <c r="J1387" s="14" t="s">
        <v>23</v>
      </c>
      <c r="K1387" s="18"/>
      <c r="L1387" s="18"/>
      <c r="M1387" s="18"/>
      <c r="N1387" s="18"/>
      <c r="O1387" s="18"/>
      <c r="P1387" s="18"/>
      <c r="Q1387" s="18"/>
      <c r="R1387" s="18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</row>
    <row r="1388" spans="1:1027" ht="15" customHeight="1">
      <c r="A1388" s="12">
        <v>2</v>
      </c>
      <c r="B1388" s="13" t="s">
        <v>2184</v>
      </c>
      <c r="C1388" s="14"/>
      <c r="D1388" s="14" t="s">
        <v>2185</v>
      </c>
      <c r="E1388" s="14" t="s">
        <v>44</v>
      </c>
      <c r="F1388" s="15" t="s">
        <v>22</v>
      </c>
      <c r="G1388" s="14"/>
      <c r="H1388" s="58"/>
      <c r="I1388" s="14"/>
      <c r="J1388" s="14" t="s">
        <v>23</v>
      </c>
      <c r="K1388" s="14"/>
      <c r="L1388" s="14"/>
      <c r="M1388" s="14" t="s">
        <v>24</v>
      </c>
      <c r="N1388" s="14" t="s">
        <v>25</v>
      </c>
      <c r="O1388" s="16"/>
      <c r="P1388" s="14"/>
      <c r="Q1388" s="14"/>
      <c r="R1388" s="17">
        <v>43599</v>
      </c>
      <c r="S1388" s="12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  <c r="IV1388" s="3"/>
      <c r="IW1388" s="3"/>
      <c r="IX1388" s="3"/>
      <c r="IY1388" s="3"/>
      <c r="IZ1388" s="3"/>
      <c r="JA1388" s="3"/>
      <c r="JB1388" s="3"/>
      <c r="JC1388" s="3"/>
      <c r="JD1388" s="3"/>
      <c r="JE1388" s="3"/>
      <c r="JF1388" s="3"/>
      <c r="JG1388" s="3"/>
      <c r="JH1388" s="3"/>
      <c r="JI1388" s="3"/>
      <c r="JJ1388" s="3"/>
      <c r="JK1388" s="3"/>
      <c r="JL1388" s="3"/>
      <c r="JM1388" s="3"/>
      <c r="JN1388" s="3"/>
      <c r="JO1388" s="3"/>
      <c r="JP1388" s="3"/>
      <c r="JQ1388" s="3"/>
      <c r="JR1388" s="3"/>
      <c r="JS1388" s="3"/>
      <c r="JT1388" s="3"/>
      <c r="JU1388" s="3"/>
      <c r="JV1388" s="3"/>
      <c r="JW1388" s="3"/>
      <c r="JX1388" s="3"/>
      <c r="JY1388" s="3"/>
      <c r="JZ1388" s="3"/>
      <c r="KA1388" s="3"/>
      <c r="KB1388" s="3"/>
      <c r="KC1388" s="3"/>
      <c r="KD1388" s="3"/>
      <c r="KE1388" s="3"/>
      <c r="KF1388" s="3"/>
      <c r="KG1388" s="3"/>
      <c r="KH1388" s="3"/>
      <c r="KI1388" s="3"/>
      <c r="KJ1388" s="3"/>
      <c r="KK1388" s="3"/>
      <c r="KL1388" s="3"/>
      <c r="KM1388" s="3"/>
      <c r="KN1388" s="3"/>
      <c r="KO1388" s="3"/>
      <c r="KP1388" s="3"/>
      <c r="KQ1388" s="3"/>
      <c r="KR1388" s="3"/>
      <c r="KS1388" s="3"/>
      <c r="KT1388" s="3"/>
      <c r="KU1388" s="3"/>
      <c r="KV1388" s="3"/>
      <c r="KW1388" s="3"/>
      <c r="KX1388" s="3"/>
      <c r="KY1388" s="3"/>
      <c r="KZ1388" s="3"/>
      <c r="LA1388" s="3"/>
      <c r="LB1388" s="3"/>
      <c r="LC1388" s="3"/>
      <c r="LD1388" s="3"/>
      <c r="LE1388" s="3"/>
      <c r="LF1388" s="3"/>
      <c r="LG1388" s="3"/>
      <c r="LH1388" s="3"/>
      <c r="LI1388" s="3"/>
      <c r="LJ1388" s="3"/>
      <c r="LK1388" s="3"/>
      <c r="LL1388" s="3"/>
      <c r="LM1388" s="3"/>
      <c r="LN1388" s="3"/>
      <c r="LO1388" s="3"/>
      <c r="LP1388" s="3"/>
      <c r="LQ1388" s="3"/>
      <c r="LR1388" s="3"/>
      <c r="LS1388" s="3"/>
      <c r="LT1388" s="3"/>
      <c r="LU1388" s="3"/>
      <c r="LV1388" s="3"/>
      <c r="LW1388" s="3"/>
      <c r="LX1388" s="3"/>
      <c r="LY1388" s="3"/>
      <c r="LZ1388" s="3"/>
      <c r="MA1388" s="3"/>
      <c r="MB1388" s="3"/>
      <c r="MC1388" s="3"/>
      <c r="MD1388" s="3"/>
      <c r="ME1388" s="3"/>
      <c r="MF1388" s="3"/>
      <c r="MG1388" s="3"/>
      <c r="MH1388" s="3"/>
      <c r="MI1388" s="3"/>
      <c r="MJ1388" s="3"/>
      <c r="MK1388" s="3"/>
      <c r="ML1388" s="3"/>
      <c r="MM1388" s="3"/>
      <c r="MN1388" s="3"/>
      <c r="MO1388" s="3"/>
      <c r="MP1388" s="3"/>
      <c r="MQ1388" s="3"/>
      <c r="MR1388" s="3"/>
      <c r="MS1388" s="3"/>
      <c r="MT1388" s="3"/>
      <c r="MU1388" s="3"/>
      <c r="MV1388" s="3"/>
      <c r="MW1388" s="3"/>
      <c r="MX1388" s="3"/>
      <c r="MY1388" s="3"/>
      <c r="MZ1388" s="3"/>
      <c r="NA1388" s="3"/>
      <c r="NB1388" s="3"/>
      <c r="NC1388" s="3"/>
      <c r="ND1388" s="3"/>
      <c r="NE1388" s="3"/>
      <c r="NF1388" s="3"/>
      <c r="NG1388" s="3"/>
      <c r="NH1388" s="3"/>
      <c r="NI1388" s="3"/>
      <c r="NJ1388" s="3"/>
      <c r="NK1388" s="3"/>
      <c r="NL1388" s="3"/>
      <c r="NM1388" s="3"/>
      <c r="NN1388" s="3"/>
      <c r="NO1388" s="3"/>
      <c r="NP1388" s="3"/>
      <c r="NQ1388" s="3"/>
      <c r="NR1388" s="3"/>
      <c r="NS1388" s="3"/>
      <c r="NT1388" s="3"/>
      <c r="NU1388" s="3"/>
      <c r="NV1388" s="3"/>
      <c r="NW1388" s="3"/>
      <c r="NX1388" s="3"/>
      <c r="NY1388" s="3"/>
      <c r="NZ1388" s="3"/>
      <c r="OA1388" s="3"/>
      <c r="OB1388" s="3"/>
      <c r="OC1388" s="3"/>
      <c r="OD1388" s="3"/>
      <c r="OE1388" s="3"/>
      <c r="OF1388" s="3"/>
      <c r="OG1388" s="3"/>
      <c r="OH1388" s="3"/>
      <c r="OI1388" s="3"/>
      <c r="OJ1388" s="3"/>
      <c r="OK1388" s="3"/>
      <c r="OL1388" s="3"/>
      <c r="OM1388" s="3"/>
      <c r="ON1388" s="3"/>
      <c r="OO1388" s="3"/>
      <c r="OP1388" s="3"/>
      <c r="OQ1388" s="3"/>
      <c r="OR1388" s="3"/>
      <c r="OS1388" s="3"/>
      <c r="OT1388" s="3"/>
      <c r="OU1388" s="3"/>
      <c r="OV1388" s="3"/>
      <c r="OW1388" s="3"/>
      <c r="OX1388" s="3"/>
      <c r="OY1388" s="3"/>
      <c r="OZ1388" s="3"/>
      <c r="PA1388" s="3"/>
      <c r="PB1388" s="3"/>
      <c r="PC1388" s="3"/>
      <c r="PD1388" s="3"/>
      <c r="PE1388" s="3"/>
      <c r="PF1388" s="3"/>
      <c r="PG1388" s="3"/>
      <c r="PH1388" s="3"/>
      <c r="PI1388" s="3"/>
      <c r="PJ1388" s="3"/>
      <c r="PK1388" s="3"/>
      <c r="PL1388" s="3"/>
      <c r="PM1388" s="3"/>
      <c r="PN1388" s="3"/>
      <c r="PO1388" s="3"/>
      <c r="PP1388" s="3"/>
      <c r="PQ1388" s="3"/>
      <c r="PR1388" s="3"/>
      <c r="PS1388" s="3"/>
      <c r="PT1388" s="3"/>
      <c r="PU1388" s="3"/>
      <c r="PV1388" s="3"/>
      <c r="PW1388" s="3"/>
      <c r="PX1388" s="3"/>
      <c r="PY1388" s="3"/>
      <c r="PZ1388" s="3"/>
      <c r="QA1388" s="3"/>
      <c r="QB1388" s="3"/>
      <c r="QC1388" s="3"/>
      <c r="QD1388" s="3"/>
      <c r="QE1388" s="3"/>
      <c r="QF1388" s="3"/>
      <c r="QG1388" s="3"/>
      <c r="QH1388" s="3"/>
      <c r="QI1388" s="3"/>
      <c r="QJ1388" s="3"/>
      <c r="QK1388" s="3"/>
      <c r="QL1388" s="3"/>
      <c r="QM1388" s="3"/>
      <c r="QN1388" s="3"/>
      <c r="QO1388" s="3"/>
      <c r="QP1388" s="3"/>
      <c r="QQ1388" s="3"/>
      <c r="QR1388" s="3"/>
      <c r="QS1388" s="3"/>
      <c r="QT1388" s="3"/>
      <c r="QU1388" s="3"/>
      <c r="QV1388" s="3"/>
      <c r="QW1388" s="3"/>
      <c r="QX1388" s="3"/>
      <c r="QY1388" s="3"/>
      <c r="QZ1388" s="3"/>
      <c r="RA1388" s="3"/>
      <c r="RB1388" s="3"/>
      <c r="RC1388" s="3"/>
      <c r="RD1388" s="3"/>
      <c r="RE1388" s="3"/>
      <c r="RF1388" s="3"/>
      <c r="RG1388" s="3"/>
      <c r="RH1388" s="3"/>
      <c r="RI1388" s="3"/>
      <c r="RJ1388" s="3"/>
      <c r="RK1388" s="3"/>
      <c r="RL1388" s="3"/>
      <c r="RM1388" s="3"/>
      <c r="RN1388" s="3"/>
      <c r="RO1388" s="3"/>
      <c r="RP1388" s="3"/>
      <c r="RQ1388" s="3"/>
      <c r="RR1388" s="3"/>
      <c r="RS1388" s="3"/>
      <c r="RT1388" s="3"/>
      <c r="RU1388" s="3"/>
      <c r="RV1388" s="3"/>
      <c r="RW1388" s="3"/>
      <c r="RX1388" s="3"/>
      <c r="RY1388" s="3"/>
      <c r="RZ1388" s="3"/>
      <c r="SA1388" s="3"/>
      <c r="SB1388" s="3"/>
      <c r="SC1388" s="3"/>
      <c r="SD1388" s="3"/>
      <c r="SE1388" s="3"/>
      <c r="SF1388" s="3"/>
      <c r="SG1388" s="3"/>
      <c r="SH1388" s="3"/>
      <c r="SI1388" s="3"/>
      <c r="SJ1388" s="3"/>
      <c r="SK1388" s="3"/>
      <c r="SL1388" s="3"/>
      <c r="SM1388" s="3"/>
      <c r="SN1388" s="3"/>
      <c r="SO1388" s="3"/>
      <c r="SP1388" s="3"/>
      <c r="SQ1388" s="3"/>
      <c r="SR1388" s="3"/>
      <c r="SS1388" s="3"/>
      <c r="ST1388" s="3"/>
      <c r="SU1388" s="3"/>
      <c r="SV1388" s="3"/>
      <c r="SW1388" s="3"/>
      <c r="SX1388" s="3"/>
      <c r="SY1388" s="3"/>
      <c r="SZ1388" s="3"/>
      <c r="TA1388" s="3"/>
      <c r="TB1388" s="3"/>
      <c r="TC1388" s="3"/>
      <c r="TD1388" s="3"/>
      <c r="TE1388" s="3"/>
      <c r="TF1388" s="3"/>
      <c r="TG1388" s="3"/>
      <c r="TH1388" s="3"/>
      <c r="TI1388" s="3"/>
      <c r="TJ1388" s="3"/>
      <c r="TK1388" s="3"/>
      <c r="TL1388" s="3"/>
      <c r="TM1388" s="3"/>
      <c r="TN1388" s="3"/>
      <c r="TO1388" s="3"/>
      <c r="TP1388" s="3"/>
      <c r="TQ1388" s="3"/>
      <c r="TR1388" s="3"/>
      <c r="TS1388" s="3"/>
      <c r="TT1388" s="3"/>
      <c r="TU1388" s="3"/>
      <c r="TV1388" s="3"/>
      <c r="TW1388" s="3"/>
      <c r="TX1388" s="3"/>
      <c r="TY1388" s="3"/>
      <c r="TZ1388" s="3"/>
      <c r="UA1388" s="3"/>
      <c r="UB1388" s="3"/>
      <c r="UC1388" s="3"/>
      <c r="UD1388" s="3"/>
      <c r="UE1388" s="3"/>
      <c r="UF1388" s="3"/>
      <c r="UG1388" s="3"/>
      <c r="UH1388" s="3"/>
      <c r="UI1388" s="3"/>
      <c r="UJ1388" s="3"/>
      <c r="UK1388" s="3"/>
      <c r="UL1388" s="3"/>
      <c r="UM1388" s="3"/>
      <c r="UN1388" s="3"/>
      <c r="UO1388" s="3"/>
      <c r="UP1388" s="3"/>
      <c r="UQ1388" s="3"/>
      <c r="UR1388" s="3"/>
      <c r="US1388" s="3"/>
      <c r="UT1388" s="3"/>
      <c r="UU1388" s="3"/>
      <c r="UV1388" s="3"/>
      <c r="UW1388" s="3"/>
      <c r="UX1388" s="3"/>
      <c r="UY1388" s="3"/>
      <c r="UZ1388" s="3"/>
      <c r="VA1388" s="3"/>
      <c r="VB1388" s="3"/>
      <c r="VC1388" s="3"/>
      <c r="VD1388" s="3"/>
      <c r="VE1388" s="3"/>
      <c r="VF1388" s="3"/>
      <c r="VG1388" s="3"/>
      <c r="VH1388" s="3"/>
      <c r="VI1388" s="3"/>
      <c r="VJ1388" s="3"/>
      <c r="VK1388" s="3"/>
      <c r="VL1388" s="3"/>
      <c r="VM1388" s="3"/>
      <c r="VN1388" s="3"/>
      <c r="VO1388" s="3"/>
      <c r="VP1388" s="3"/>
      <c r="VQ1388" s="3"/>
      <c r="VR1388" s="3"/>
      <c r="VS1388" s="3"/>
      <c r="VT1388" s="3"/>
      <c r="VU1388" s="3"/>
      <c r="VV1388" s="3"/>
      <c r="VW1388" s="3"/>
      <c r="VX1388" s="3"/>
      <c r="VY1388" s="3"/>
      <c r="VZ1388" s="3"/>
      <c r="WA1388" s="3"/>
      <c r="WB1388" s="3"/>
      <c r="WC1388" s="3"/>
      <c r="WD1388" s="3"/>
      <c r="WE1388" s="3"/>
      <c r="WF1388" s="3"/>
      <c r="WG1388" s="3"/>
      <c r="WH1388" s="3"/>
      <c r="WI1388" s="3"/>
      <c r="WJ1388" s="3"/>
      <c r="WK1388" s="3"/>
      <c r="WL1388" s="3"/>
      <c r="WM1388" s="3"/>
      <c r="WN1388" s="3"/>
      <c r="WO1388" s="3"/>
      <c r="WP1388" s="3"/>
      <c r="WQ1388" s="3"/>
      <c r="WR1388" s="3"/>
      <c r="WS1388" s="3"/>
      <c r="WT1388" s="3"/>
      <c r="WU1388" s="3"/>
      <c r="WV1388" s="3"/>
      <c r="WW1388" s="3"/>
      <c r="WX1388" s="3"/>
      <c r="WY1388" s="3"/>
      <c r="WZ1388" s="3"/>
      <c r="XA1388" s="3"/>
      <c r="XB1388" s="3"/>
      <c r="XC1388" s="3"/>
      <c r="XD1388" s="3"/>
      <c r="XE1388" s="3"/>
      <c r="XF1388" s="3"/>
      <c r="XG1388" s="3"/>
      <c r="XH1388" s="3"/>
      <c r="XI1388" s="3"/>
      <c r="XJ1388" s="3"/>
      <c r="XK1388" s="3"/>
      <c r="XL1388" s="3"/>
      <c r="XM1388" s="3"/>
      <c r="XN1388" s="3"/>
      <c r="XO1388" s="3"/>
      <c r="XP1388" s="3"/>
      <c r="XQ1388" s="3"/>
      <c r="XR1388" s="3"/>
      <c r="XS1388" s="3"/>
      <c r="XT1388" s="3"/>
      <c r="XU1388" s="3"/>
      <c r="XV1388" s="3"/>
      <c r="XW1388" s="3"/>
      <c r="XX1388" s="3"/>
      <c r="XY1388" s="3"/>
      <c r="XZ1388" s="3"/>
      <c r="YA1388" s="3"/>
      <c r="YB1388" s="3"/>
      <c r="YC1388" s="3"/>
      <c r="YD1388" s="3"/>
      <c r="YE1388" s="3"/>
      <c r="YF1388" s="3"/>
      <c r="YG1388" s="3"/>
      <c r="YH1388" s="3"/>
      <c r="YI1388" s="3"/>
      <c r="YJ1388" s="3"/>
      <c r="YK1388" s="3"/>
      <c r="YL1388" s="3"/>
      <c r="YM1388" s="3"/>
      <c r="YN1388" s="3"/>
      <c r="YO1388" s="3"/>
      <c r="YP1388" s="3"/>
      <c r="YQ1388" s="3"/>
      <c r="YR1388" s="3"/>
      <c r="YS1388" s="3"/>
      <c r="YT1388" s="3"/>
      <c r="YU1388" s="3"/>
      <c r="YV1388" s="3"/>
      <c r="YW1388" s="3"/>
      <c r="YX1388" s="3"/>
      <c r="YY1388" s="3"/>
      <c r="YZ1388" s="3"/>
      <c r="ZA1388" s="3"/>
      <c r="ZB1388" s="3"/>
      <c r="ZC1388" s="3"/>
      <c r="ZD1388" s="3"/>
      <c r="ZE1388" s="3"/>
      <c r="ZF1388" s="3"/>
      <c r="ZG1388" s="3"/>
      <c r="ZH1388" s="3"/>
      <c r="ZI1388" s="3"/>
      <c r="ZJ1388" s="3"/>
      <c r="ZK1388" s="3"/>
      <c r="ZL1388" s="3"/>
      <c r="ZM1388" s="3"/>
      <c r="ZN1388" s="3"/>
      <c r="ZO1388" s="3"/>
      <c r="ZP1388" s="3"/>
      <c r="ZQ1388" s="3"/>
      <c r="ZR1388" s="3"/>
      <c r="ZS1388" s="3"/>
      <c r="ZT1388" s="3"/>
      <c r="ZU1388" s="3"/>
      <c r="ZV1388" s="3"/>
      <c r="ZW1388" s="3"/>
      <c r="ZX1388" s="3"/>
      <c r="ZY1388" s="3"/>
      <c r="ZZ1388" s="3"/>
      <c r="AAA1388" s="3"/>
      <c r="AAB1388" s="3"/>
      <c r="AAC1388" s="3"/>
      <c r="AAD1388" s="3"/>
      <c r="AAE1388" s="3"/>
      <c r="AAF1388" s="3"/>
      <c r="AAG1388" s="3"/>
      <c r="AAH1388" s="3"/>
      <c r="AAI1388" s="3"/>
      <c r="AAJ1388" s="3"/>
      <c r="AAK1388" s="3"/>
      <c r="AAL1388" s="3"/>
      <c r="AAM1388" s="3"/>
      <c r="AAN1388" s="3"/>
      <c r="AAO1388" s="3"/>
      <c r="AAP1388" s="3"/>
      <c r="AAQ1388" s="3"/>
      <c r="AAR1388" s="3"/>
      <c r="AAS1388" s="3"/>
      <c r="AAT1388" s="3"/>
      <c r="AAU1388" s="3"/>
      <c r="AAV1388" s="3"/>
      <c r="AAW1388" s="3"/>
      <c r="AAX1388" s="3"/>
      <c r="AAY1388" s="3"/>
      <c r="AAZ1388" s="3"/>
      <c r="ABA1388" s="3"/>
      <c r="ABB1388" s="3"/>
      <c r="ABC1388" s="3"/>
      <c r="ABD1388" s="3"/>
      <c r="ABE1388" s="3"/>
      <c r="ABF1388" s="3"/>
      <c r="ABG1388" s="3"/>
      <c r="ABH1388" s="3"/>
      <c r="ABI1388" s="3"/>
      <c r="ABJ1388" s="3"/>
      <c r="ABK1388" s="3"/>
      <c r="ABL1388" s="3"/>
      <c r="ABM1388" s="3"/>
      <c r="ABN1388" s="3"/>
      <c r="ABO1388" s="3"/>
      <c r="ABP1388" s="3"/>
      <c r="ABQ1388" s="3"/>
      <c r="ABR1388" s="3"/>
      <c r="ABS1388" s="3"/>
      <c r="ABT1388" s="3"/>
      <c r="ABU1388" s="3"/>
      <c r="ABV1388" s="3"/>
      <c r="ABW1388" s="3"/>
      <c r="ABX1388" s="3"/>
      <c r="ABY1388" s="3"/>
      <c r="ABZ1388" s="3"/>
      <c r="ACA1388" s="3"/>
      <c r="ACB1388" s="3"/>
      <c r="ACC1388" s="3"/>
      <c r="ACD1388" s="3"/>
      <c r="ACE1388" s="3"/>
      <c r="ACF1388" s="3"/>
      <c r="ACG1388" s="3"/>
      <c r="ACH1388" s="3"/>
      <c r="ACI1388" s="3"/>
      <c r="ACJ1388" s="3"/>
      <c r="ACK1388" s="3"/>
      <c r="ACL1388" s="3"/>
      <c r="ACM1388" s="3"/>
      <c r="ACN1388" s="3"/>
      <c r="ACO1388" s="3"/>
      <c r="ACP1388" s="3"/>
      <c r="ACQ1388" s="3"/>
      <c r="ACR1388" s="3"/>
      <c r="ACS1388" s="3"/>
      <c r="ACT1388" s="3"/>
      <c r="ACU1388" s="3"/>
      <c r="ACV1388" s="3"/>
      <c r="ACW1388" s="3"/>
      <c r="ACX1388" s="3"/>
      <c r="ACY1388" s="3"/>
      <c r="ACZ1388" s="3"/>
      <c r="ADA1388" s="3"/>
      <c r="ADB1388" s="3"/>
      <c r="ADC1388" s="3"/>
      <c r="ADD1388" s="3"/>
      <c r="ADE1388" s="3"/>
      <c r="ADF1388" s="3"/>
      <c r="ADG1388" s="3"/>
      <c r="ADH1388" s="3"/>
      <c r="ADI1388" s="3"/>
      <c r="ADJ1388" s="3"/>
      <c r="ADK1388" s="3"/>
      <c r="ADL1388" s="3"/>
      <c r="ADM1388" s="3"/>
      <c r="ADN1388" s="3"/>
      <c r="ADO1388" s="3"/>
      <c r="ADP1388" s="3"/>
      <c r="ADQ1388" s="3"/>
      <c r="ADR1388" s="3"/>
      <c r="ADS1388" s="3"/>
      <c r="ADT1388" s="3"/>
      <c r="ADU1388" s="3"/>
      <c r="ADV1388" s="3"/>
      <c r="ADW1388" s="3"/>
      <c r="ADX1388" s="3"/>
      <c r="ADY1388" s="3"/>
      <c r="ADZ1388" s="3"/>
      <c r="AEA1388" s="3"/>
      <c r="AEB1388" s="3"/>
      <c r="AEC1388" s="3"/>
      <c r="AED1388" s="3"/>
      <c r="AEE1388" s="3"/>
      <c r="AEF1388" s="3"/>
      <c r="AEG1388" s="3"/>
      <c r="AEH1388" s="3"/>
      <c r="AEI1388" s="3"/>
      <c r="AEJ1388" s="3"/>
      <c r="AEK1388" s="3"/>
      <c r="AEL1388" s="3"/>
      <c r="AEM1388" s="3"/>
      <c r="AEN1388" s="3"/>
      <c r="AEO1388" s="3"/>
      <c r="AEP1388" s="3"/>
      <c r="AEQ1388" s="3"/>
      <c r="AER1388" s="3"/>
      <c r="AES1388" s="3"/>
      <c r="AET1388" s="3"/>
      <c r="AEU1388" s="3"/>
      <c r="AEV1388" s="3"/>
      <c r="AEW1388" s="3"/>
      <c r="AEX1388" s="3"/>
      <c r="AEY1388" s="3"/>
      <c r="AEZ1388" s="3"/>
      <c r="AFA1388" s="3"/>
      <c r="AFB1388" s="3"/>
      <c r="AFC1388" s="3"/>
      <c r="AFD1388" s="3"/>
      <c r="AFE1388" s="3"/>
      <c r="AFF1388" s="3"/>
      <c r="AFG1388" s="3"/>
      <c r="AFH1388" s="3"/>
      <c r="AFI1388" s="3"/>
      <c r="AFJ1388" s="3"/>
      <c r="AFK1388" s="3"/>
      <c r="AFL1388" s="3"/>
      <c r="AFM1388" s="3"/>
      <c r="AFN1388" s="3"/>
      <c r="AFO1388" s="3"/>
      <c r="AFP1388" s="3"/>
      <c r="AFQ1388" s="3"/>
      <c r="AFR1388" s="3"/>
      <c r="AFS1388" s="3"/>
      <c r="AFT1388" s="3"/>
      <c r="AFU1388" s="3"/>
      <c r="AFV1388" s="3"/>
      <c r="AFW1388" s="3"/>
      <c r="AFX1388" s="3"/>
      <c r="AFY1388" s="3"/>
      <c r="AFZ1388" s="3"/>
      <c r="AGA1388" s="3"/>
      <c r="AGB1388" s="3"/>
      <c r="AGC1388" s="3"/>
      <c r="AGD1388" s="3"/>
      <c r="AGE1388" s="3"/>
      <c r="AGF1388" s="3"/>
      <c r="AGG1388" s="3"/>
      <c r="AGH1388" s="3"/>
      <c r="AGI1388" s="3"/>
      <c r="AGJ1388" s="3"/>
      <c r="AGK1388" s="3"/>
      <c r="AGL1388" s="3"/>
      <c r="AGM1388" s="3"/>
      <c r="AGN1388" s="3"/>
      <c r="AGO1388" s="3"/>
      <c r="AGP1388" s="3"/>
      <c r="AGQ1388" s="3"/>
      <c r="AGR1388" s="3"/>
      <c r="AGS1388" s="3"/>
      <c r="AGT1388" s="3"/>
      <c r="AGU1388" s="3"/>
      <c r="AGV1388" s="3"/>
      <c r="AGW1388" s="3"/>
      <c r="AGX1388" s="3"/>
      <c r="AGY1388" s="3"/>
      <c r="AGZ1388" s="3"/>
      <c r="AHA1388" s="3"/>
      <c r="AHB1388" s="3"/>
      <c r="AHC1388" s="3"/>
      <c r="AHD1388" s="3"/>
      <c r="AHE1388" s="3"/>
      <c r="AHF1388" s="3"/>
      <c r="AHG1388" s="3"/>
      <c r="AHH1388" s="3"/>
      <c r="AHI1388" s="3"/>
      <c r="AHJ1388" s="3"/>
      <c r="AHK1388" s="3"/>
      <c r="AHL1388" s="3"/>
      <c r="AHM1388" s="3"/>
      <c r="AHN1388" s="3"/>
      <c r="AHO1388" s="3"/>
      <c r="AHP1388" s="3"/>
      <c r="AHQ1388" s="3"/>
      <c r="AHR1388" s="3"/>
      <c r="AHS1388" s="3"/>
      <c r="AHT1388" s="3"/>
      <c r="AHU1388" s="3"/>
      <c r="AHV1388" s="3"/>
      <c r="AHW1388" s="3"/>
      <c r="AHX1388" s="3"/>
      <c r="AHY1388" s="3"/>
      <c r="AHZ1388" s="3"/>
      <c r="AIA1388" s="3"/>
      <c r="AIB1388" s="3"/>
      <c r="AIC1388" s="3"/>
      <c r="AID1388" s="3"/>
      <c r="AIE1388" s="3"/>
      <c r="AIF1388" s="3"/>
      <c r="AIG1388" s="3"/>
      <c r="AIH1388" s="3"/>
      <c r="AII1388" s="3"/>
      <c r="AIJ1388" s="3"/>
      <c r="AIK1388" s="3"/>
      <c r="AIL1388" s="3"/>
      <c r="AIM1388" s="3"/>
      <c r="AIN1388" s="3"/>
      <c r="AIO1388" s="3"/>
      <c r="AIP1388" s="3"/>
      <c r="AIQ1388" s="3"/>
      <c r="AIR1388" s="3"/>
      <c r="AIS1388" s="3"/>
      <c r="AIT1388" s="3"/>
      <c r="AIU1388" s="3"/>
      <c r="AIV1388" s="3"/>
      <c r="AIW1388" s="3"/>
      <c r="AIX1388" s="3"/>
      <c r="AIY1388" s="3"/>
      <c r="AIZ1388" s="3"/>
      <c r="AJA1388" s="3"/>
      <c r="AJB1388" s="3"/>
      <c r="AJC1388" s="3"/>
      <c r="AJD1388" s="3"/>
      <c r="AJE1388" s="3"/>
      <c r="AJF1388" s="3"/>
      <c r="AJG1388" s="3"/>
      <c r="AJH1388" s="3"/>
      <c r="AJI1388" s="3"/>
      <c r="AJJ1388" s="3"/>
      <c r="AJK1388" s="3"/>
      <c r="AJL1388" s="3"/>
      <c r="AJM1388" s="3"/>
      <c r="AJN1388" s="3"/>
      <c r="AJO1388" s="3"/>
      <c r="AJP1388" s="3"/>
      <c r="AJQ1388" s="3"/>
      <c r="AJR1388" s="3"/>
      <c r="AJS1388" s="3"/>
      <c r="AJT1388" s="3"/>
      <c r="AJU1388" s="3"/>
      <c r="AJV1388" s="3"/>
      <c r="AJW1388" s="3"/>
      <c r="AJX1388" s="3"/>
      <c r="AJY1388" s="3"/>
      <c r="AJZ1388" s="3"/>
      <c r="AKA1388" s="3"/>
      <c r="AKB1388" s="3"/>
      <c r="AKC1388" s="3"/>
      <c r="AKD1388" s="3"/>
      <c r="AKE1388" s="3"/>
      <c r="AKF1388" s="3"/>
      <c r="AKG1388" s="3"/>
      <c r="AKH1388" s="3"/>
      <c r="AKI1388" s="3"/>
      <c r="AKJ1388" s="3"/>
      <c r="AKK1388" s="3"/>
      <c r="AKL1388" s="3"/>
      <c r="AKM1388" s="3"/>
      <c r="AKN1388" s="3"/>
      <c r="AKO1388" s="3"/>
      <c r="AKP1388" s="3"/>
      <c r="AKQ1388" s="3"/>
      <c r="AKR1388" s="3"/>
      <c r="AKS1388" s="3"/>
      <c r="AKT1388" s="3"/>
      <c r="AKU1388" s="3"/>
      <c r="AKV1388" s="3"/>
      <c r="AKW1388" s="3"/>
      <c r="AKX1388" s="3"/>
      <c r="AKY1388" s="3"/>
      <c r="AKZ1388" s="3"/>
      <c r="ALA1388" s="3"/>
      <c r="ALB1388" s="3"/>
      <c r="ALC1388" s="3"/>
      <c r="ALD1388" s="3"/>
      <c r="ALE1388" s="3"/>
      <c r="ALF1388" s="3"/>
      <c r="ALG1388" s="3"/>
      <c r="ALH1388" s="3"/>
      <c r="ALI1388" s="3"/>
      <c r="ALJ1388" s="3"/>
      <c r="ALK1388" s="3"/>
      <c r="ALL1388" s="3"/>
      <c r="ALM1388" s="3"/>
      <c r="ALN1388" s="3"/>
      <c r="ALO1388" s="3"/>
      <c r="ALP1388" s="3"/>
      <c r="ALQ1388" s="3"/>
      <c r="ALR1388" s="3"/>
      <c r="ALS1388" s="3"/>
      <c r="ALT1388" s="3"/>
      <c r="ALU1388" s="3"/>
      <c r="ALV1388" s="3"/>
      <c r="ALW1388" s="3"/>
      <c r="ALX1388" s="3"/>
      <c r="ALY1388" s="3"/>
      <c r="ALZ1388" s="3"/>
      <c r="AMA1388" s="3"/>
      <c r="AMB1388" s="3"/>
      <c r="AMC1388" s="3"/>
      <c r="AMD1388" s="3"/>
      <c r="AME1388" s="3"/>
      <c r="AMF1388" s="3"/>
      <c r="AMG1388" s="3"/>
      <c r="AMH1388" s="3"/>
      <c r="AMI1388" s="3"/>
      <c r="AMJ1388" s="3"/>
      <c r="AMK1388" s="3"/>
      <c r="AML1388" s="3"/>
      <c r="AMM1388" s="3"/>
    </row>
    <row r="1389" spans="1:1027" ht="15" customHeight="1">
      <c r="A1389" s="12">
        <v>490</v>
      </c>
      <c r="B1389" s="13" t="s">
        <v>2186</v>
      </c>
      <c r="C1389" s="14"/>
      <c r="D1389" s="14" t="s">
        <v>2185</v>
      </c>
      <c r="E1389" s="14" t="s">
        <v>44</v>
      </c>
      <c r="F1389" s="15" t="s">
        <v>22</v>
      </c>
      <c r="G1389" s="21"/>
      <c r="H1389" s="58"/>
      <c r="I1389" s="14"/>
      <c r="J1389" s="14" t="s">
        <v>23</v>
      </c>
      <c r="K1389" s="14"/>
      <c r="L1389" s="14"/>
      <c r="M1389" s="14" t="s">
        <v>1537</v>
      </c>
      <c r="N1389" s="14" t="s">
        <v>25</v>
      </c>
      <c r="O1389" s="14"/>
      <c r="P1389" s="14"/>
      <c r="Q1389" s="14"/>
      <c r="R1389" s="14" t="s">
        <v>1809</v>
      </c>
    </row>
    <row r="1390" spans="1:1027" ht="15" customHeight="1">
      <c r="A1390" s="12">
        <v>1266</v>
      </c>
      <c r="B1390" s="13" t="s">
        <v>2187</v>
      </c>
      <c r="C1390" s="14"/>
      <c r="D1390" s="14" t="s">
        <v>2185</v>
      </c>
      <c r="E1390" s="14" t="s">
        <v>44</v>
      </c>
      <c r="F1390" s="15" t="s">
        <v>22</v>
      </c>
      <c r="G1390" s="21"/>
      <c r="H1390" s="58">
        <v>1</v>
      </c>
      <c r="I1390" s="14"/>
      <c r="J1390" s="14" t="s">
        <v>23</v>
      </c>
      <c r="K1390" s="14"/>
      <c r="L1390" s="14"/>
      <c r="M1390" s="14" t="s">
        <v>1534</v>
      </c>
      <c r="N1390" s="14" t="s">
        <v>25</v>
      </c>
      <c r="O1390" s="14"/>
      <c r="P1390" s="14"/>
      <c r="Q1390" s="14"/>
      <c r="R1390" s="14" t="s">
        <v>1979</v>
      </c>
    </row>
    <row r="1391" spans="1:1027" ht="15" customHeight="1">
      <c r="A1391" s="12">
        <v>2062</v>
      </c>
      <c r="B1391" s="13" t="s">
        <v>2188</v>
      </c>
      <c r="C1391" s="14"/>
      <c r="D1391" s="16">
        <v>460</v>
      </c>
      <c r="E1391" s="14" t="s">
        <v>44</v>
      </c>
      <c r="F1391" s="15" t="s">
        <v>22</v>
      </c>
      <c r="G1391" s="18"/>
      <c r="H1391" s="58"/>
      <c r="I1391" s="16"/>
      <c r="J1391" s="14" t="s">
        <v>23</v>
      </c>
      <c r="K1391" s="18"/>
      <c r="L1391" s="18"/>
      <c r="M1391" s="18"/>
      <c r="N1391" s="18"/>
      <c r="O1391" s="18"/>
      <c r="P1391" s="18"/>
      <c r="Q1391" s="18"/>
      <c r="R1391" s="18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</row>
    <row r="1392" spans="1:1027" ht="15" customHeight="1">
      <c r="A1392" s="12">
        <v>491</v>
      </c>
      <c r="B1392" s="13" t="s">
        <v>2189</v>
      </c>
      <c r="C1392" s="14"/>
      <c r="D1392" s="14" t="s">
        <v>2190</v>
      </c>
      <c r="E1392" s="14" t="s">
        <v>36</v>
      </c>
      <c r="F1392" s="15" t="s">
        <v>22</v>
      </c>
      <c r="G1392" s="21"/>
      <c r="H1392" s="58"/>
      <c r="I1392" s="14"/>
      <c r="J1392" s="14" t="s">
        <v>23</v>
      </c>
      <c r="K1392" s="14"/>
      <c r="L1392" s="14"/>
      <c r="M1392" s="14" t="s">
        <v>1537</v>
      </c>
      <c r="N1392" s="25" t="s">
        <v>37</v>
      </c>
      <c r="O1392" s="14" t="s">
        <v>38</v>
      </c>
      <c r="P1392" s="14"/>
      <c r="Q1392" s="14"/>
      <c r="R1392" s="14" t="s">
        <v>1809</v>
      </c>
    </row>
    <row r="1393" spans="1:36" ht="15" customHeight="1">
      <c r="A1393" s="12">
        <v>1267</v>
      </c>
      <c r="B1393" s="13" t="s">
        <v>2191</v>
      </c>
      <c r="C1393" s="14"/>
      <c r="D1393" s="14" t="s">
        <v>2190</v>
      </c>
      <c r="E1393" s="14" t="s">
        <v>36</v>
      </c>
      <c r="F1393" s="15" t="s">
        <v>22</v>
      </c>
      <c r="G1393" s="21"/>
      <c r="H1393" s="58">
        <v>3</v>
      </c>
      <c r="I1393" s="14"/>
      <c r="J1393" s="14" t="s">
        <v>23</v>
      </c>
      <c r="K1393" s="14"/>
      <c r="L1393" s="14"/>
      <c r="M1393" s="14" t="s">
        <v>1534</v>
      </c>
      <c r="N1393" s="25" t="s">
        <v>37</v>
      </c>
      <c r="O1393" s="14" t="s">
        <v>2192</v>
      </c>
      <c r="P1393" s="14"/>
      <c r="Q1393" s="14"/>
      <c r="R1393" s="14" t="s">
        <v>1979</v>
      </c>
    </row>
    <row r="1394" spans="1:36" ht="15" customHeight="1">
      <c r="A1394" s="12">
        <v>2063</v>
      </c>
      <c r="B1394" s="13" t="s">
        <v>2193</v>
      </c>
      <c r="C1394" s="14"/>
      <c r="D1394" s="16">
        <v>461</v>
      </c>
      <c r="E1394" s="14" t="s">
        <v>36</v>
      </c>
      <c r="F1394" s="15" t="s">
        <v>22</v>
      </c>
      <c r="G1394" s="18"/>
      <c r="H1394" s="58"/>
      <c r="I1394" s="16"/>
      <c r="J1394" s="14" t="s">
        <v>23</v>
      </c>
      <c r="K1394" s="18"/>
      <c r="L1394" s="18"/>
      <c r="M1394" s="18"/>
      <c r="N1394" s="18"/>
      <c r="O1394" s="18"/>
      <c r="P1394" s="18"/>
      <c r="Q1394" s="18"/>
      <c r="R1394" s="18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</row>
    <row r="1395" spans="1:36" ht="15" customHeight="1">
      <c r="A1395" s="12">
        <v>492</v>
      </c>
      <c r="B1395" s="13" t="s">
        <v>2194</v>
      </c>
      <c r="C1395" s="14"/>
      <c r="D1395" s="14" t="s">
        <v>2195</v>
      </c>
      <c r="E1395" s="14" t="s">
        <v>92</v>
      </c>
      <c r="F1395" s="15" t="s">
        <v>22</v>
      </c>
      <c r="G1395" s="21"/>
      <c r="H1395" s="58"/>
      <c r="I1395" s="14"/>
      <c r="J1395" s="14" t="s">
        <v>23</v>
      </c>
      <c r="K1395" s="14"/>
      <c r="L1395" s="14"/>
      <c r="M1395" s="14" t="s">
        <v>1537</v>
      </c>
      <c r="N1395" s="14" t="s">
        <v>25</v>
      </c>
      <c r="O1395" s="14"/>
      <c r="P1395" s="14"/>
      <c r="Q1395" s="14"/>
      <c r="R1395" s="14" t="s">
        <v>1809</v>
      </c>
    </row>
    <row r="1396" spans="1:36" ht="15" customHeight="1">
      <c r="A1396" s="12">
        <v>1268</v>
      </c>
      <c r="B1396" s="13" t="s">
        <v>2196</v>
      </c>
      <c r="C1396" s="14"/>
      <c r="D1396" s="14" t="s">
        <v>2195</v>
      </c>
      <c r="E1396" s="14" t="s">
        <v>92</v>
      </c>
      <c r="F1396" s="15" t="s">
        <v>22</v>
      </c>
      <c r="G1396" s="21"/>
      <c r="H1396" s="58">
        <v>0</v>
      </c>
      <c r="I1396" s="14"/>
      <c r="J1396" s="14" t="s">
        <v>23</v>
      </c>
      <c r="K1396" s="14"/>
      <c r="L1396" s="14"/>
      <c r="M1396" s="14" t="s">
        <v>1534</v>
      </c>
      <c r="N1396" s="14" t="s">
        <v>25</v>
      </c>
      <c r="O1396" s="14"/>
      <c r="P1396" s="14"/>
      <c r="Q1396" s="14"/>
      <c r="R1396" s="14" t="s">
        <v>1979</v>
      </c>
    </row>
    <row r="1397" spans="1:36" ht="15" customHeight="1">
      <c r="A1397" s="12">
        <v>2064</v>
      </c>
      <c r="B1397" s="13" t="s">
        <v>2197</v>
      </c>
      <c r="C1397" s="14"/>
      <c r="D1397" s="16">
        <v>462</v>
      </c>
      <c r="E1397" s="14" t="s">
        <v>92</v>
      </c>
      <c r="F1397" s="15" t="s">
        <v>22</v>
      </c>
      <c r="G1397" s="18"/>
      <c r="H1397" s="58"/>
      <c r="I1397" s="16"/>
      <c r="J1397" s="14" t="s">
        <v>23</v>
      </c>
      <c r="K1397" s="18"/>
      <c r="L1397" s="18"/>
      <c r="M1397" s="18"/>
      <c r="N1397" s="18"/>
      <c r="O1397" s="18"/>
      <c r="P1397" s="18"/>
      <c r="Q1397" s="18"/>
      <c r="R1397" s="18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</row>
    <row r="1398" spans="1:36" ht="15" customHeight="1">
      <c r="A1398" s="12">
        <v>493</v>
      </c>
      <c r="B1398" s="13" t="s">
        <v>2198</v>
      </c>
      <c r="C1398" s="14"/>
      <c r="D1398" s="14" t="s">
        <v>2199</v>
      </c>
      <c r="E1398" s="14" t="s">
        <v>44</v>
      </c>
      <c r="F1398" s="15" t="s">
        <v>22</v>
      </c>
      <c r="G1398" s="21"/>
      <c r="H1398" s="58"/>
      <c r="I1398" s="14"/>
      <c r="J1398" s="14" t="s">
        <v>23</v>
      </c>
      <c r="K1398" s="14"/>
      <c r="L1398" s="14"/>
      <c r="M1398" s="14" t="s">
        <v>1537</v>
      </c>
      <c r="N1398" s="14" t="s">
        <v>25</v>
      </c>
      <c r="O1398" s="14"/>
      <c r="P1398" s="14"/>
      <c r="Q1398" s="14"/>
      <c r="R1398" s="14" t="s">
        <v>1809</v>
      </c>
    </row>
    <row r="1399" spans="1:36" ht="15" customHeight="1">
      <c r="A1399" s="12">
        <v>1269</v>
      </c>
      <c r="B1399" s="13" t="s">
        <v>2200</v>
      </c>
      <c r="C1399" s="14"/>
      <c r="D1399" s="14" t="s">
        <v>2199</v>
      </c>
      <c r="E1399" s="14" t="s">
        <v>44</v>
      </c>
      <c r="F1399" s="15" t="s">
        <v>22</v>
      </c>
      <c r="G1399" s="21"/>
      <c r="H1399" s="58">
        <v>2</v>
      </c>
      <c r="I1399" s="14"/>
      <c r="J1399" s="14" t="s">
        <v>23</v>
      </c>
      <c r="K1399" s="14"/>
      <c r="L1399" s="14"/>
      <c r="M1399" s="14" t="s">
        <v>1534</v>
      </c>
      <c r="N1399" s="14" t="s">
        <v>25</v>
      </c>
      <c r="O1399" s="14"/>
      <c r="P1399" s="14"/>
      <c r="Q1399" s="14"/>
      <c r="R1399" s="14" t="s">
        <v>1979</v>
      </c>
    </row>
    <row r="1400" spans="1:36" ht="15" customHeight="1">
      <c r="A1400" s="12">
        <v>2065</v>
      </c>
      <c r="B1400" s="13" t="s">
        <v>2201</v>
      </c>
      <c r="C1400" s="14"/>
      <c r="D1400" s="16">
        <v>463</v>
      </c>
      <c r="E1400" s="14" t="s">
        <v>44</v>
      </c>
      <c r="F1400" s="15" t="s">
        <v>22</v>
      </c>
      <c r="G1400" s="18"/>
      <c r="H1400" s="58"/>
      <c r="I1400" s="16"/>
      <c r="J1400" s="14" t="s">
        <v>23</v>
      </c>
      <c r="K1400" s="18"/>
      <c r="L1400" s="18"/>
      <c r="M1400" s="18"/>
      <c r="N1400" s="18"/>
      <c r="O1400" s="18"/>
      <c r="P1400" s="18"/>
      <c r="Q1400" s="18"/>
      <c r="R1400" s="18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</row>
    <row r="1401" spans="1:36" ht="15" customHeight="1">
      <c r="A1401" s="12">
        <v>494</v>
      </c>
      <c r="B1401" s="13" t="s">
        <v>2202</v>
      </c>
      <c r="C1401" s="14"/>
      <c r="D1401" s="14" t="s">
        <v>2203</v>
      </c>
      <c r="E1401" s="14" t="s">
        <v>1961</v>
      </c>
      <c r="F1401" s="15" t="s">
        <v>22</v>
      </c>
      <c r="G1401" s="21"/>
      <c r="H1401" s="58"/>
      <c r="I1401" s="14"/>
      <c r="J1401" s="14" t="s">
        <v>23</v>
      </c>
      <c r="K1401" s="14"/>
      <c r="L1401" s="14"/>
      <c r="M1401" s="14" t="s">
        <v>1537</v>
      </c>
      <c r="N1401" s="14" t="s">
        <v>25</v>
      </c>
      <c r="O1401" s="14"/>
      <c r="P1401" s="14"/>
      <c r="Q1401" s="14"/>
      <c r="R1401" s="14" t="s">
        <v>1809</v>
      </c>
    </row>
    <row r="1402" spans="1:36" ht="15" customHeight="1">
      <c r="A1402" s="12">
        <v>1270</v>
      </c>
      <c r="B1402" s="13" t="s">
        <v>2204</v>
      </c>
      <c r="C1402" s="14"/>
      <c r="D1402" s="14" t="s">
        <v>2203</v>
      </c>
      <c r="E1402" s="14" t="s">
        <v>1961</v>
      </c>
      <c r="F1402" s="15" t="s">
        <v>22</v>
      </c>
      <c r="G1402" s="21"/>
      <c r="H1402" s="58">
        <v>1</v>
      </c>
      <c r="I1402" s="14"/>
      <c r="J1402" s="14" t="s">
        <v>23</v>
      </c>
      <c r="K1402" s="14"/>
      <c r="L1402" s="14"/>
      <c r="M1402" s="14" t="s">
        <v>1534</v>
      </c>
      <c r="N1402" s="25" t="s">
        <v>37</v>
      </c>
      <c r="O1402" s="14" t="s">
        <v>2205</v>
      </c>
      <c r="P1402" s="14"/>
      <c r="Q1402" s="14"/>
      <c r="R1402" s="14" t="s">
        <v>1979</v>
      </c>
    </row>
    <row r="1403" spans="1:36" ht="15" customHeight="1">
      <c r="A1403" s="12">
        <v>2066</v>
      </c>
      <c r="B1403" s="13" t="s">
        <v>2206</v>
      </c>
      <c r="C1403" s="14"/>
      <c r="D1403" s="16">
        <v>464</v>
      </c>
      <c r="E1403" s="14" t="s">
        <v>1961</v>
      </c>
      <c r="F1403" s="15" t="s">
        <v>22</v>
      </c>
      <c r="G1403" s="18"/>
      <c r="H1403" s="58"/>
      <c r="I1403" s="16"/>
      <c r="J1403" s="14" t="s">
        <v>23</v>
      </c>
      <c r="K1403" s="18"/>
      <c r="L1403" s="18"/>
      <c r="M1403" s="18"/>
      <c r="N1403" s="18"/>
      <c r="O1403" s="18"/>
      <c r="P1403" s="18"/>
      <c r="Q1403" s="18"/>
      <c r="R1403" s="18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</row>
    <row r="1404" spans="1:36" ht="15" customHeight="1">
      <c r="A1404" s="12">
        <v>495</v>
      </c>
      <c r="B1404" s="13" t="s">
        <v>2207</v>
      </c>
      <c r="C1404" s="14"/>
      <c r="D1404" s="14" t="s">
        <v>2208</v>
      </c>
      <c r="E1404" s="14" t="s">
        <v>36</v>
      </c>
      <c r="F1404" s="15" t="s">
        <v>22</v>
      </c>
      <c r="G1404" s="21"/>
      <c r="H1404" s="58"/>
      <c r="I1404" s="14"/>
      <c r="J1404" s="14" t="s">
        <v>23</v>
      </c>
      <c r="K1404" s="14"/>
      <c r="L1404" s="14"/>
      <c r="M1404" s="14" t="s">
        <v>1537</v>
      </c>
      <c r="N1404" s="14" t="s">
        <v>25</v>
      </c>
      <c r="O1404" s="14"/>
      <c r="P1404" s="14"/>
      <c r="Q1404" s="14"/>
      <c r="R1404" s="14" t="s">
        <v>1809</v>
      </c>
    </row>
    <row r="1405" spans="1:36" ht="15" customHeight="1">
      <c r="A1405" s="12">
        <v>1271</v>
      </c>
      <c r="B1405" s="13" t="s">
        <v>2209</v>
      </c>
      <c r="C1405" s="14"/>
      <c r="D1405" s="14" t="s">
        <v>2208</v>
      </c>
      <c r="E1405" s="14" t="s">
        <v>36</v>
      </c>
      <c r="F1405" s="15" t="s">
        <v>22</v>
      </c>
      <c r="G1405" s="21"/>
      <c r="H1405" s="58">
        <v>1</v>
      </c>
      <c r="I1405" s="14"/>
      <c r="J1405" s="14" t="s">
        <v>23</v>
      </c>
      <c r="K1405" s="14"/>
      <c r="L1405" s="14"/>
      <c r="M1405" s="14" t="s">
        <v>1534</v>
      </c>
      <c r="N1405" s="14" t="s">
        <v>25</v>
      </c>
      <c r="O1405" s="14"/>
      <c r="P1405" s="14"/>
      <c r="Q1405" s="14"/>
      <c r="R1405" s="14" t="s">
        <v>1979</v>
      </c>
    </row>
    <row r="1406" spans="1:36" ht="15" customHeight="1">
      <c r="A1406" s="12">
        <v>2067</v>
      </c>
      <c r="B1406" s="13" t="s">
        <v>2210</v>
      </c>
      <c r="C1406" s="14"/>
      <c r="D1406" s="16">
        <v>465</v>
      </c>
      <c r="E1406" s="16" t="s">
        <v>36</v>
      </c>
      <c r="F1406" s="15" t="s">
        <v>22</v>
      </c>
      <c r="G1406" s="18"/>
      <c r="H1406" s="58">
        <v>1</v>
      </c>
      <c r="I1406" s="16"/>
      <c r="J1406" s="14" t="s">
        <v>23</v>
      </c>
      <c r="K1406" s="18"/>
      <c r="L1406" s="18"/>
      <c r="M1406" s="18"/>
      <c r="N1406" s="18"/>
      <c r="O1406" s="18"/>
      <c r="P1406" s="18"/>
      <c r="Q1406" s="18"/>
      <c r="R1406" s="18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</row>
    <row r="1407" spans="1:36" ht="15" customHeight="1">
      <c r="A1407" s="12">
        <v>1272</v>
      </c>
      <c r="B1407" s="13" t="s">
        <v>2211</v>
      </c>
      <c r="C1407" s="14"/>
      <c r="D1407" s="14" t="s">
        <v>2212</v>
      </c>
      <c r="E1407" s="14" t="s">
        <v>44</v>
      </c>
      <c r="F1407" s="15" t="s">
        <v>22</v>
      </c>
      <c r="G1407" s="21"/>
      <c r="H1407" s="58">
        <v>0</v>
      </c>
      <c r="I1407" s="14"/>
      <c r="J1407" s="14" t="s">
        <v>23</v>
      </c>
      <c r="K1407" s="14"/>
      <c r="L1407" s="14"/>
      <c r="M1407" s="14" t="s">
        <v>1534</v>
      </c>
      <c r="N1407" s="14" t="s">
        <v>25</v>
      </c>
      <c r="O1407" s="14"/>
      <c r="P1407" s="14"/>
      <c r="Q1407" s="14"/>
      <c r="R1407" s="14" t="s">
        <v>1979</v>
      </c>
    </row>
    <row r="1408" spans="1:36" ht="15" customHeight="1">
      <c r="A1408" s="12">
        <v>2068</v>
      </c>
      <c r="B1408" s="13" t="s">
        <v>2213</v>
      </c>
      <c r="C1408" s="14"/>
      <c r="D1408" s="16">
        <v>466</v>
      </c>
      <c r="E1408" s="14" t="s">
        <v>44</v>
      </c>
      <c r="F1408" s="15" t="s">
        <v>22</v>
      </c>
      <c r="G1408" s="18"/>
      <c r="H1408" s="58"/>
      <c r="I1408" s="16"/>
      <c r="J1408" s="14" t="s">
        <v>23</v>
      </c>
      <c r="K1408" s="18"/>
      <c r="L1408" s="18"/>
      <c r="M1408" s="18"/>
      <c r="N1408" s="18"/>
      <c r="O1408" s="18"/>
      <c r="P1408" s="18"/>
      <c r="Q1408" s="18"/>
      <c r="R1408" s="18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</row>
    <row r="1409" spans="1:36" ht="15" customHeight="1">
      <c r="A1409" s="12">
        <v>496</v>
      </c>
      <c r="B1409" s="13" t="s">
        <v>2214</v>
      </c>
      <c r="C1409" s="14"/>
      <c r="D1409" s="14" t="s">
        <v>2215</v>
      </c>
      <c r="E1409" s="14" t="s">
        <v>44</v>
      </c>
      <c r="F1409" s="15" t="s">
        <v>22</v>
      </c>
      <c r="G1409" s="21"/>
      <c r="H1409" s="58"/>
      <c r="I1409" s="14"/>
      <c r="J1409" s="14" t="s">
        <v>23</v>
      </c>
      <c r="K1409" s="14"/>
      <c r="L1409" s="14"/>
      <c r="M1409" s="14" t="s">
        <v>1537</v>
      </c>
      <c r="N1409" s="25" t="s">
        <v>37</v>
      </c>
      <c r="O1409" s="14" t="s">
        <v>179</v>
      </c>
      <c r="P1409" s="14"/>
      <c r="Q1409" s="14"/>
      <c r="R1409" s="14" t="s">
        <v>1809</v>
      </c>
    </row>
    <row r="1410" spans="1:36" ht="15" customHeight="1">
      <c r="A1410" s="12">
        <v>1273</v>
      </c>
      <c r="B1410" s="13" t="s">
        <v>2216</v>
      </c>
      <c r="C1410" s="14"/>
      <c r="D1410" s="14" t="s">
        <v>2215</v>
      </c>
      <c r="E1410" s="14" t="s">
        <v>44</v>
      </c>
      <c r="F1410" s="15" t="s">
        <v>22</v>
      </c>
      <c r="G1410" s="21"/>
      <c r="H1410" s="58">
        <v>1</v>
      </c>
      <c r="I1410" s="14"/>
      <c r="J1410" s="14" t="s">
        <v>23</v>
      </c>
      <c r="K1410" s="14"/>
      <c r="L1410" s="14"/>
      <c r="M1410" s="14" t="s">
        <v>1534</v>
      </c>
      <c r="N1410" s="25" t="s">
        <v>37</v>
      </c>
      <c r="O1410" s="14" t="s">
        <v>2217</v>
      </c>
      <c r="P1410" s="14"/>
      <c r="Q1410" s="14"/>
      <c r="R1410" s="14" t="s">
        <v>1979</v>
      </c>
    </row>
    <row r="1411" spans="1:36" ht="15" customHeight="1">
      <c r="A1411" s="12">
        <v>2069</v>
      </c>
      <c r="B1411" s="13" t="s">
        <v>2218</v>
      </c>
      <c r="C1411" s="14"/>
      <c r="D1411" s="16">
        <v>467</v>
      </c>
      <c r="E1411" s="16" t="s">
        <v>44</v>
      </c>
      <c r="F1411" s="15" t="s">
        <v>22</v>
      </c>
      <c r="G1411" s="18"/>
      <c r="H1411" s="58">
        <v>2</v>
      </c>
      <c r="I1411" s="16"/>
      <c r="J1411" s="14" t="s">
        <v>23</v>
      </c>
      <c r="K1411" s="18"/>
      <c r="L1411" s="18"/>
      <c r="M1411" s="18"/>
      <c r="N1411" s="18"/>
      <c r="O1411" s="18"/>
      <c r="P1411" s="18"/>
      <c r="Q1411" s="18"/>
      <c r="R1411" s="18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</row>
    <row r="1412" spans="1:36" ht="15" customHeight="1">
      <c r="A1412" s="12">
        <v>497</v>
      </c>
      <c r="B1412" s="13" t="s">
        <v>2219</v>
      </c>
      <c r="C1412" s="14"/>
      <c r="D1412" s="14" t="s">
        <v>2220</v>
      </c>
      <c r="E1412" s="14" t="s">
        <v>44</v>
      </c>
      <c r="F1412" s="15" t="s">
        <v>22</v>
      </c>
      <c r="G1412" s="21"/>
      <c r="H1412" s="58"/>
      <c r="I1412" s="14"/>
      <c r="J1412" s="14" t="s">
        <v>23</v>
      </c>
      <c r="K1412" s="14"/>
      <c r="L1412" s="14"/>
      <c r="M1412" s="14" t="s">
        <v>1537</v>
      </c>
      <c r="N1412" s="14" t="s">
        <v>25</v>
      </c>
      <c r="O1412" s="14"/>
      <c r="P1412" s="14"/>
      <c r="Q1412" s="14"/>
      <c r="R1412" s="14" t="s">
        <v>1809</v>
      </c>
    </row>
    <row r="1413" spans="1:36" ht="15" customHeight="1">
      <c r="A1413" s="12">
        <v>1274</v>
      </c>
      <c r="B1413" s="13" t="s">
        <v>2221</v>
      </c>
      <c r="C1413" s="14"/>
      <c r="D1413" s="14" t="s">
        <v>2220</v>
      </c>
      <c r="E1413" s="14" t="s">
        <v>44</v>
      </c>
      <c r="F1413" s="15" t="s">
        <v>22</v>
      </c>
      <c r="G1413" s="21"/>
      <c r="H1413" s="58">
        <v>0</v>
      </c>
      <c r="I1413" s="14"/>
      <c r="J1413" s="14" t="s">
        <v>23</v>
      </c>
      <c r="K1413" s="14"/>
      <c r="L1413" s="14"/>
      <c r="M1413" s="14" t="s">
        <v>1534</v>
      </c>
      <c r="N1413" s="25" t="s">
        <v>289</v>
      </c>
      <c r="O1413" s="14" t="s">
        <v>2222</v>
      </c>
      <c r="P1413" s="14"/>
      <c r="Q1413" s="14"/>
      <c r="R1413" s="14" t="s">
        <v>1979</v>
      </c>
    </row>
    <row r="1414" spans="1:36" ht="15" customHeight="1">
      <c r="A1414" s="12">
        <v>2070</v>
      </c>
      <c r="B1414" s="13" t="s">
        <v>2223</v>
      </c>
      <c r="C1414" s="14"/>
      <c r="D1414" s="16">
        <v>468</v>
      </c>
      <c r="E1414" s="16" t="s">
        <v>44</v>
      </c>
      <c r="F1414" s="15" t="s">
        <v>22</v>
      </c>
      <c r="G1414" s="18"/>
      <c r="H1414" s="58"/>
      <c r="I1414" s="16"/>
      <c r="J1414" s="14" t="s">
        <v>23</v>
      </c>
      <c r="K1414" s="18"/>
      <c r="L1414" s="18"/>
      <c r="M1414" s="18"/>
      <c r="N1414" s="18"/>
      <c r="O1414" s="18"/>
      <c r="P1414" s="18"/>
      <c r="Q1414" s="18"/>
      <c r="R1414" s="18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</row>
    <row r="1415" spans="1:36" ht="15" customHeight="1">
      <c r="A1415" s="12">
        <v>498</v>
      </c>
      <c r="B1415" s="13" t="s">
        <v>2224</v>
      </c>
      <c r="C1415" s="14"/>
      <c r="D1415" s="14" t="s">
        <v>2225</v>
      </c>
      <c r="E1415" s="14" t="s">
        <v>44</v>
      </c>
      <c r="F1415" s="15" t="s">
        <v>22</v>
      </c>
      <c r="G1415" s="21"/>
      <c r="H1415" s="58"/>
      <c r="I1415" s="14"/>
      <c r="J1415" s="14" t="s">
        <v>23</v>
      </c>
      <c r="K1415" s="14"/>
      <c r="L1415" s="14"/>
      <c r="M1415" s="14" t="s">
        <v>1537</v>
      </c>
      <c r="N1415" s="14" t="s">
        <v>25</v>
      </c>
      <c r="O1415" s="14"/>
      <c r="P1415" s="14"/>
      <c r="Q1415" s="14"/>
      <c r="R1415" s="14" t="s">
        <v>1809</v>
      </c>
    </row>
    <row r="1416" spans="1:36" ht="15" customHeight="1">
      <c r="A1416" s="12">
        <v>1275</v>
      </c>
      <c r="B1416" s="13" t="s">
        <v>2226</v>
      </c>
      <c r="C1416" s="14"/>
      <c r="D1416" s="14" t="s">
        <v>2225</v>
      </c>
      <c r="E1416" s="14" t="s">
        <v>44</v>
      </c>
      <c r="F1416" s="15" t="s">
        <v>22</v>
      </c>
      <c r="G1416" s="21"/>
      <c r="H1416" s="58">
        <v>0</v>
      </c>
      <c r="I1416" s="14"/>
      <c r="J1416" s="14" t="s">
        <v>23</v>
      </c>
      <c r="K1416" s="14"/>
      <c r="L1416" s="14"/>
      <c r="M1416" s="14" t="s">
        <v>1534</v>
      </c>
      <c r="N1416" s="14" t="s">
        <v>25</v>
      </c>
      <c r="O1416" s="14"/>
      <c r="P1416" s="14"/>
      <c r="Q1416" s="14"/>
      <c r="R1416" s="14" t="s">
        <v>1979</v>
      </c>
    </row>
    <row r="1417" spans="1:36" ht="15" customHeight="1">
      <c r="A1417" s="12">
        <v>2071</v>
      </c>
      <c r="B1417" s="13" t="s">
        <v>2227</v>
      </c>
      <c r="C1417" s="14"/>
      <c r="D1417" s="16">
        <v>469</v>
      </c>
      <c r="E1417" s="16" t="s">
        <v>44</v>
      </c>
      <c r="F1417" s="15" t="s">
        <v>22</v>
      </c>
      <c r="G1417" s="18"/>
      <c r="H1417" s="58"/>
      <c r="I1417" s="16"/>
      <c r="J1417" s="14" t="s">
        <v>23</v>
      </c>
      <c r="K1417" s="18"/>
      <c r="L1417" s="18"/>
      <c r="M1417" s="18"/>
      <c r="N1417" s="18"/>
      <c r="O1417" s="18"/>
      <c r="P1417" s="18"/>
      <c r="Q1417" s="18"/>
      <c r="R1417" s="18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</row>
    <row r="1418" spans="1:36" ht="15" customHeight="1">
      <c r="A1418" s="12">
        <v>499</v>
      </c>
      <c r="B1418" s="13" t="s">
        <v>2228</v>
      </c>
      <c r="C1418" s="14"/>
      <c r="D1418" s="14" t="s">
        <v>2229</v>
      </c>
      <c r="E1418" s="14" t="s">
        <v>36</v>
      </c>
      <c r="F1418" s="15" t="s">
        <v>22</v>
      </c>
      <c r="G1418" s="21"/>
      <c r="H1418" s="58"/>
      <c r="I1418" s="14"/>
      <c r="J1418" s="14" t="s">
        <v>23</v>
      </c>
      <c r="K1418" s="14"/>
      <c r="L1418" s="14"/>
      <c r="M1418" s="14" t="s">
        <v>1537</v>
      </c>
      <c r="N1418" s="14" t="s">
        <v>25</v>
      </c>
      <c r="O1418" s="14"/>
      <c r="P1418" s="14"/>
      <c r="Q1418" s="14"/>
      <c r="R1418" s="14" t="s">
        <v>1809</v>
      </c>
    </row>
    <row r="1419" spans="1:36" ht="15" customHeight="1">
      <c r="A1419" s="12">
        <v>1276</v>
      </c>
      <c r="B1419" s="13" t="s">
        <v>2230</v>
      </c>
      <c r="C1419" s="14"/>
      <c r="D1419" s="14" t="s">
        <v>2229</v>
      </c>
      <c r="E1419" s="14" t="s">
        <v>36</v>
      </c>
      <c r="F1419" s="15" t="s">
        <v>22</v>
      </c>
      <c r="G1419" s="21"/>
      <c r="H1419" s="58">
        <v>1</v>
      </c>
      <c r="I1419" s="14"/>
      <c r="J1419" s="14" t="s">
        <v>23</v>
      </c>
      <c r="K1419" s="14"/>
      <c r="L1419" s="14"/>
      <c r="M1419" s="14" t="s">
        <v>1534</v>
      </c>
      <c r="N1419" s="14" t="s">
        <v>25</v>
      </c>
      <c r="O1419" s="14"/>
      <c r="P1419" s="14"/>
      <c r="Q1419" s="14"/>
      <c r="R1419" s="14" t="s">
        <v>1979</v>
      </c>
    </row>
    <row r="1420" spans="1:36" ht="15" customHeight="1">
      <c r="A1420" s="12">
        <v>2072</v>
      </c>
      <c r="B1420" s="13" t="s">
        <v>2231</v>
      </c>
      <c r="C1420" s="14"/>
      <c r="D1420" s="16">
        <v>470</v>
      </c>
      <c r="E1420" s="16" t="s">
        <v>36</v>
      </c>
      <c r="F1420" s="15" t="s">
        <v>22</v>
      </c>
      <c r="G1420" s="18"/>
      <c r="H1420" s="58"/>
      <c r="I1420" s="16"/>
      <c r="J1420" s="14" t="s">
        <v>23</v>
      </c>
      <c r="K1420" s="18"/>
      <c r="L1420" s="18"/>
      <c r="M1420" s="18"/>
      <c r="N1420" s="18"/>
      <c r="O1420" s="18"/>
      <c r="P1420" s="18"/>
      <c r="Q1420" s="18"/>
      <c r="R1420" s="18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</row>
    <row r="1421" spans="1:36" ht="15" customHeight="1">
      <c r="A1421" s="12">
        <v>500</v>
      </c>
      <c r="B1421" s="13" t="s">
        <v>2232</v>
      </c>
      <c r="C1421" s="14"/>
      <c r="D1421" s="14" t="s">
        <v>2233</v>
      </c>
      <c r="E1421" s="14" t="s">
        <v>44</v>
      </c>
      <c r="F1421" s="15" t="s">
        <v>22</v>
      </c>
      <c r="G1421" s="21"/>
      <c r="H1421" s="58"/>
      <c r="I1421" s="14"/>
      <c r="J1421" s="14" t="s">
        <v>23</v>
      </c>
      <c r="K1421" s="14"/>
      <c r="L1421" s="14"/>
      <c r="M1421" s="14" t="s">
        <v>1537</v>
      </c>
      <c r="N1421" s="14" t="s">
        <v>25</v>
      </c>
      <c r="O1421" s="14"/>
      <c r="P1421" s="14"/>
      <c r="Q1421" s="14"/>
      <c r="R1421" s="14" t="s">
        <v>1809</v>
      </c>
    </row>
    <row r="1422" spans="1:36" ht="15" customHeight="1">
      <c r="A1422" s="12">
        <v>1277</v>
      </c>
      <c r="B1422" s="13" t="s">
        <v>2234</v>
      </c>
      <c r="C1422" s="14"/>
      <c r="D1422" s="14" t="s">
        <v>2233</v>
      </c>
      <c r="E1422" s="14" t="s">
        <v>44</v>
      </c>
      <c r="F1422" s="15" t="s">
        <v>22</v>
      </c>
      <c r="G1422" s="21"/>
      <c r="H1422" s="58">
        <v>0</v>
      </c>
      <c r="I1422" s="14"/>
      <c r="J1422" s="14" t="s">
        <v>23</v>
      </c>
      <c r="K1422" s="14"/>
      <c r="L1422" s="14"/>
      <c r="M1422" s="14" t="s">
        <v>1534</v>
      </c>
      <c r="N1422" s="14" t="s">
        <v>25</v>
      </c>
      <c r="O1422" s="14"/>
      <c r="P1422" s="14"/>
      <c r="Q1422" s="14"/>
      <c r="R1422" s="14" t="s">
        <v>1979</v>
      </c>
    </row>
    <row r="1423" spans="1:36" ht="15" customHeight="1">
      <c r="A1423" s="12">
        <v>2073</v>
      </c>
      <c r="B1423" s="13" t="s">
        <v>2235</v>
      </c>
      <c r="C1423" s="14"/>
      <c r="D1423" s="16">
        <v>471</v>
      </c>
      <c r="E1423" s="16" t="s">
        <v>44</v>
      </c>
      <c r="F1423" s="15" t="s">
        <v>22</v>
      </c>
      <c r="G1423" s="18"/>
      <c r="H1423" s="58"/>
      <c r="I1423" s="16"/>
      <c r="J1423" s="14" t="s">
        <v>23</v>
      </c>
      <c r="K1423" s="18"/>
      <c r="L1423" s="18"/>
      <c r="M1423" s="18"/>
      <c r="N1423" s="18"/>
      <c r="O1423" s="18"/>
      <c r="P1423" s="18"/>
      <c r="Q1423" s="18"/>
      <c r="R1423" s="18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</row>
    <row r="1424" spans="1:36" ht="15" customHeight="1">
      <c r="A1424" s="12">
        <v>501</v>
      </c>
      <c r="B1424" s="13" t="s">
        <v>2236</v>
      </c>
      <c r="C1424" s="14"/>
      <c r="D1424" s="14" t="s">
        <v>2237</v>
      </c>
      <c r="E1424" s="14" t="s">
        <v>21</v>
      </c>
      <c r="F1424" s="15" t="s">
        <v>22</v>
      </c>
      <c r="G1424" s="21"/>
      <c r="H1424" s="58"/>
      <c r="I1424" s="14"/>
      <c r="J1424" s="14" t="s">
        <v>23</v>
      </c>
      <c r="K1424" s="14"/>
      <c r="L1424" s="14"/>
      <c r="M1424" s="14" t="s">
        <v>1537</v>
      </c>
      <c r="N1424" s="14" t="s">
        <v>25</v>
      </c>
      <c r="O1424" s="14"/>
      <c r="P1424" s="14"/>
      <c r="Q1424" s="14"/>
      <c r="R1424" s="14" t="s">
        <v>1809</v>
      </c>
    </row>
    <row r="1425" spans="1:36" ht="15" customHeight="1">
      <c r="A1425" s="12">
        <v>2074</v>
      </c>
      <c r="B1425" s="13" t="s">
        <v>2238</v>
      </c>
      <c r="C1425" s="14"/>
      <c r="D1425" s="16">
        <v>472</v>
      </c>
      <c r="E1425" s="14" t="s">
        <v>21</v>
      </c>
      <c r="F1425" s="15" t="s">
        <v>22</v>
      </c>
      <c r="G1425" s="18"/>
      <c r="H1425" s="58">
        <v>1</v>
      </c>
      <c r="I1425" s="18"/>
      <c r="J1425" s="14" t="s">
        <v>23</v>
      </c>
      <c r="K1425" s="18"/>
      <c r="L1425" s="18"/>
      <c r="M1425" s="18"/>
      <c r="N1425" s="18"/>
      <c r="O1425" s="18"/>
      <c r="P1425" s="18"/>
      <c r="Q1425" s="18"/>
      <c r="R1425" s="18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</row>
    <row r="1426" spans="1:36" ht="15" customHeight="1">
      <c r="A1426" s="12">
        <v>502</v>
      </c>
      <c r="B1426" s="13" t="s">
        <v>2239</v>
      </c>
      <c r="C1426" s="14"/>
      <c r="D1426" s="14" t="s">
        <v>2240</v>
      </c>
      <c r="E1426" s="14" t="s">
        <v>44</v>
      </c>
      <c r="F1426" s="15" t="s">
        <v>22</v>
      </c>
      <c r="G1426" s="21"/>
      <c r="H1426" s="58"/>
      <c r="I1426" s="14"/>
      <c r="J1426" s="14" t="s">
        <v>23</v>
      </c>
      <c r="K1426" s="14"/>
      <c r="L1426" s="14"/>
      <c r="M1426" s="14" t="s">
        <v>1537</v>
      </c>
      <c r="N1426" s="14" t="s">
        <v>25</v>
      </c>
      <c r="O1426" s="14"/>
      <c r="P1426" s="14"/>
      <c r="Q1426" s="14"/>
      <c r="R1426" s="14" t="s">
        <v>1809</v>
      </c>
    </row>
    <row r="1427" spans="1:36" ht="15" customHeight="1">
      <c r="A1427" s="12">
        <v>1278</v>
      </c>
      <c r="B1427" s="13" t="s">
        <v>2241</v>
      </c>
      <c r="C1427" s="14"/>
      <c r="D1427" s="14" t="s">
        <v>2240</v>
      </c>
      <c r="E1427" s="14" t="s">
        <v>44</v>
      </c>
      <c r="F1427" s="15" t="s">
        <v>22</v>
      </c>
      <c r="G1427" s="21"/>
      <c r="H1427" s="58">
        <v>2</v>
      </c>
      <c r="I1427" s="14"/>
      <c r="J1427" s="14" t="s">
        <v>23</v>
      </c>
      <c r="K1427" s="14"/>
      <c r="L1427" s="14"/>
      <c r="M1427" s="14" t="s">
        <v>1534</v>
      </c>
      <c r="N1427" s="25" t="s">
        <v>37</v>
      </c>
      <c r="O1427" s="14" t="s">
        <v>2242</v>
      </c>
      <c r="P1427" s="14"/>
      <c r="Q1427" s="14"/>
      <c r="R1427" s="14" t="s">
        <v>1979</v>
      </c>
    </row>
    <row r="1428" spans="1:36" ht="15" customHeight="1">
      <c r="A1428" s="12">
        <v>2075</v>
      </c>
      <c r="B1428" s="13" t="s">
        <v>2243</v>
      </c>
      <c r="C1428" s="14"/>
      <c r="D1428" s="16">
        <v>473</v>
      </c>
      <c r="E1428" s="16" t="s">
        <v>44</v>
      </c>
      <c r="F1428" s="15" t="s">
        <v>22</v>
      </c>
      <c r="G1428" s="18"/>
      <c r="H1428" s="58"/>
      <c r="I1428" s="18"/>
      <c r="J1428" s="14" t="s">
        <v>23</v>
      </c>
      <c r="K1428" s="18"/>
      <c r="L1428" s="18"/>
      <c r="M1428" s="18"/>
      <c r="N1428" s="18"/>
      <c r="O1428" s="18"/>
      <c r="P1428" s="18"/>
      <c r="Q1428" s="18"/>
      <c r="R1428" s="18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</row>
    <row r="1429" spans="1:36" ht="15" customHeight="1">
      <c r="A1429" s="12">
        <v>503</v>
      </c>
      <c r="B1429" s="27" t="s">
        <v>2244</v>
      </c>
      <c r="C1429" s="14"/>
      <c r="D1429" s="14" t="s">
        <v>2245</v>
      </c>
      <c r="E1429" s="14" t="s">
        <v>36</v>
      </c>
      <c r="F1429" s="15" t="s">
        <v>22</v>
      </c>
      <c r="G1429" s="21"/>
      <c r="H1429" s="58"/>
      <c r="I1429" s="14"/>
      <c r="J1429" s="14" t="s">
        <v>23</v>
      </c>
      <c r="K1429" s="14"/>
      <c r="L1429" s="14"/>
      <c r="M1429" s="14" t="s">
        <v>1537</v>
      </c>
      <c r="N1429" s="14" t="s">
        <v>25</v>
      </c>
      <c r="O1429" s="14"/>
      <c r="P1429" s="14"/>
      <c r="Q1429" s="14"/>
      <c r="R1429" s="14" t="s">
        <v>1809</v>
      </c>
    </row>
    <row r="1430" spans="1:36" ht="15" customHeight="1">
      <c r="A1430" s="12">
        <v>1279</v>
      </c>
      <c r="B1430" s="13" t="s">
        <v>2246</v>
      </c>
      <c r="C1430" s="14"/>
      <c r="D1430" s="14" t="s">
        <v>2245</v>
      </c>
      <c r="E1430" s="14" t="s">
        <v>36</v>
      </c>
      <c r="F1430" s="15" t="s">
        <v>22</v>
      </c>
      <c r="G1430" s="21"/>
      <c r="H1430" s="58">
        <v>2</v>
      </c>
      <c r="I1430" s="14"/>
      <c r="J1430" s="14" t="s">
        <v>23</v>
      </c>
      <c r="K1430" s="14"/>
      <c r="L1430" s="14"/>
      <c r="M1430" s="14" t="s">
        <v>1534</v>
      </c>
      <c r="N1430" s="14" t="s">
        <v>25</v>
      </c>
      <c r="O1430" s="14"/>
      <c r="P1430" s="14"/>
      <c r="Q1430" s="14"/>
      <c r="R1430" s="14" t="s">
        <v>1979</v>
      </c>
    </row>
    <row r="1431" spans="1:36" ht="15" customHeight="1">
      <c r="A1431" s="12">
        <v>2076</v>
      </c>
      <c r="B1431" s="13" t="s">
        <v>2247</v>
      </c>
      <c r="C1431" s="14"/>
      <c r="D1431" s="16">
        <v>474</v>
      </c>
      <c r="E1431" s="16" t="s">
        <v>36</v>
      </c>
      <c r="F1431" s="15" t="s">
        <v>22</v>
      </c>
      <c r="G1431" s="18"/>
      <c r="H1431" s="58"/>
      <c r="I1431" s="18"/>
      <c r="J1431" s="14" t="s">
        <v>23</v>
      </c>
      <c r="K1431" s="18"/>
      <c r="L1431" s="18"/>
      <c r="M1431" s="18"/>
      <c r="N1431" s="18"/>
      <c r="O1431" s="18"/>
      <c r="P1431" s="18"/>
      <c r="Q1431" s="18"/>
      <c r="R1431" s="18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</row>
    <row r="1432" spans="1:36" ht="15" customHeight="1">
      <c r="A1432" s="12">
        <v>504</v>
      </c>
      <c r="B1432" s="13" t="s">
        <v>2248</v>
      </c>
      <c r="C1432" s="14"/>
      <c r="D1432" s="14" t="s">
        <v>2249</v>
      </c>
      <c r="E1432" s="14" t="s">
        <v>21</v>
      </c>
      <c r="F1432" s="15" t="s">
        <v>22</v>
      </c>
      <c r="G1432" s="21"/>
      <c r="H1432" s="58"/>
      <c r="I1432" s="14"/>
      <c r="J1432" s="14" t="s">
        <v>23</v>
      </c>
      <c r="K1432" s="14"/>
      <c r="L1432" s="14"/>
      <c r="M1432" s="14" t="s">
        <v>1537</v>
      </c>
      <c r="N1432" s="14" t="s">
        <v>25</v>
      </c>
      <c r="O1432" s="14"/>
      <c r="P1432" s="14"/>
      <c r="Q1432" s="14"/>
      <c r="R1432" s="14" t="s">
        <v>1809</v>
      </c>
    </row>
    <row r="1433" spans="1:36" ht="15" customHeight="1">
      <c r="A1433" s="12">
        <v>1280</v>
      </c>
      <c r="B1433" s="13" t="s">
        <v>2250</v>
      </c>
      <c r="C1433" s="14"/>
      <c r="D1433" s="14" t="s">
        <v>2249</v>
      </c>
      <c r="E1433" s="14" t="s">
        <v>21</v>
      </c>
      <c r="F1433" s="15" t="s">
        <v>22</v>
      </c>
      <c r="G1433" s="21"/>
      <c r="H1433" s="58">
        <v>1</v>
      </c>
      <c r="I1433" s="14"/>
      <c r="J1433" s="14" t="s">
        <v>23</v>
      </c>
      <c r="K1433" s="14"/>
      <c r="L1433" s="14"/>
      <c r="M1433" s="14" t="s">
        <v>1534</v>
      </c>
      <c r="N1433" s="14" t="s">
        <v>25</v>
      </c>
      <c r="O1433" s="14"/>
      <c r="P1433" s="14"/>
      <c r="Q1433" s="14"/>
      <c r="R1433" s="14" t="s">
        <v>1979</v>
      </c>
    </row>
    <row r="1434" spans="1:36" ht="15" customHeight="1">
      <c r="A1434" s="12">
        <v>2077</v>
      </c>
      <c r="B1434" s="13" t="s">
        <v>2251</v>
      </c>
      <c r="C1434" s="14"/>
      <c r="D1434" s="16">
        <v>475</v>
      </c>
      <c r="E1434" s="14" t="s">
        <v>21</v>
      </c>
      <c r="F1434" s="15" t="s">
        <v>22</v>
      </c>
      <c r="G1434" s="18"/>
      <c r="H1434" s="58"/>
      <c r="I1434" s="18"/>
      <c r="J1434" s="14" t="s">
        <v>23</v>
      </c>
      <c r="K1434" s="18"/>
      <c r="L1434" s="18"/>
      <c r="M1434" s="18"/>
      <c r="N1434" s="18"/>
      <c r="O1434" s="18"/>
      <c r="P1434" s="18"/>
      <c r="Q1434" s="18"/>
      <c r="R1434" s="18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</row>
    <row r="1435" spans="1:36" ht="15.75" customHeight="1">
      <c r="A1435" s="12">
        <v>505</v>
      </c>
      <c r="B1435" s="13" t="s">
        <v>2252</v>
      </c>
      <c r="C1435" s="14"/>
      <c r="D1435" s="14" t="s">
        <v>2253</v>
      </c>
      <c r="E1435" s="14" t="s">
        <v>44</v>
      </c>
      <c r="F1435" s="15" t="s">
        <v>22</v>
      </c>
      <c r="G1435" s="21"/>
      <c r="H1435" s="58"/>
      <c r="I1435" s="14"/>
      <c r="J1435" s="14" t="s">
        <v>23</v>
      </c>
      <c r="K1435" s="14"/>
      <c r="L1435" s="14"/>
      <c r="M1435" s="14" t="s">
        <v>1537</v>
      </c>
      <c r="N1435" s="14" t="s">
        <v>25</v>
      </c>
      <c r="O1435" s="14"/>
      <c r="P1435" s="14"/>
      <c r="Q1435" s="14"/>
      <c r="R1435" s="14" t="s">
        <v>1809</v>
      </c>
    </row>
    <row r="1436" spans="1:36" ht="15" customHeight="1">
      <c r="A1436" s="12">
        <v>1281</v>
      </c>
      <c r="B1436" s="13" t="s">
        <v>2254</v>
      </c>
      <c r="C1436" s="14"/>
      <c r="D1436" s="14" t="s">
        <v>2253</v>
      </c>
      <c r="E1436" s="14" t="s">
        <v>44</v>
      </c>
      <c r="F1436" s="15" t="s">
        <v>22</v>
      </c>
      <c r="G1436" s="21"/>
      <c r="H1436" s="58">
        <v>3</v>
      </c>
      <c r="I1436" s="14"/>
      <c r="J1436" s="14" t="s">
        <v>23</v>
      </c>
      <c r="K1436" s="14"/>
      <c r="L1436" s="14"/>
      <c r="M1436" s="14" t="s">
        <v>1534</v>
      </c>
      <c r="N1436" s="14" t="s">
        <v>25</v>
      </c>
      <c r="O1436" s="14"/>
      <c r="P1436" s="14"/>
      <c r="Q1436" s="14"/>
      <c r="R1436" s="14" t="s">
        <v>1979</v>
      </c>
    </row>
    <row r="1437" spans="1:36" ht="15" customHeight="1">
      <c r="A1437" s="12">
        <v>2078</v>
      </c>
      <c r="B1437" s="13" t="s">
        <v>2255</v>
      </c>
      <c r="C1437" s="14"/>
      <c r="D1437" s="16">
        <v>476</v>
      </c>
      <c r="E1437" s="16" t="s">
        <v>44</v>
      </c>
      <c r="F1437" s="15" t="s">
        <v>22</v>
      </c>
      <c r="G1437" s="18"/>
      <c r="H1437" s="58"/>
      <c r="I1437" s="18"/>
      <c r="J1437" s="14" t="s">
        <v>23</v>
      </c>
      <c r="K1437" s="18"/>
      <c r="L1437" s="18"/>
      <c r="M1437" s="18"/>
      <c r="N1437" s="18"/>
      <c r="O1437" s="18"/>
      <c r="P1437" s="18"/>
      <c r="Q1437" s="18"/>
      <c r="R1437" s="18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</row>
    <row r="1438" spans="1:36" ht="15" customHeight="1">
      <c r="A1438" s="12">
        <v>506</v>
      </c>
      <c r="B1438" s="13" t="s">
        <v>2256</v>
      </c>
      <c r="C1438" s="14"/>
      <c r="D1438" s="14" t="s">
        <v>2257</v>
      </c>
      <c r="E1438" s="14" t="s">
        <v>36</v>
      </c>
      <c r="F1438" s="15" t="s">
        <v>22</v>
      </c>
      <c r="G1438" s="21"/>
      <c r="H1438" s="58"/>
      <c r="I1438" s="14"/>
      <c r="J1438" s="14" t="s">
        <v>23</v>
      </c>
      <c r="K1438" s="14"/>
      <c r="L1438" s="14"/>
      <c r="M1438" s="14" t="s">
        <v>1537</v>
      </c>
      <c r="N1438" s="14" t="s">
        <v>25</v>
      </c>
      <c r="O1438" s="14"/>
      <c r="P1438" s="14"/>
      <c r="Q1438" s="14"/>
      <c r="R1438" s="14" t="s">
        <v>1809</v>
      </c>
    </row>
    <row r="1439" spans="1:36" ht="15" customHeight="1">
      <c r="A1439" s="12">
        <v>1282</v>
      </c>
      <c r="B1439" s="13" t="s">
        <v>2258</v>
      </c>
      <c r="C1439" s="14"/>
      <c r="D1439" s="14" t="s">
        <v>2257</v>
      </c>
      <c r="E1439" s="14" t="s">
        <v>36</v>
      </c>
      <c r="F1439" s="15" t="s">
        <v>22</v>
      </c>
      <c r="G1439" s="21"/>
      <c r="H1439" s="58">
        <v>0</v>
      </c>
      <c r="I1439" s="14"/>
      <c r="J1439" s="14" t="s">
        <v>23</v>
      </c>
      <c r="K1439" s="14"/>
      <c r="L1439" s="14"/>
      <c r="M1439" s="14" t="s">
        <v>1534</v>
      </c>
      <c r="N1439" s="25" t="s">
        <v>37</v>
      </c>
      <c r="O1439" s="14" t="s">
        <v>846</v>
      </c>
      <c r="P1439" s="14"/>
      <c r="Q1439" s="14"/>
      <c r="R1439" s="14" t="s">
        <v>1979</v>
      </c>
    </row>
    <row r="1440" spans="1:36" ht="15" customHeight="1">
      <c r="A1440" s="12">
        <v>2079</v>
      </c>
      <c r="B1440" s="13" t="s">
        <v>2259</v>
      </c>
      <c r="C1440" s="14"/>
      <c r="D1440" s="16">
        <v>477</v>
      </c>
      <c r="E1440" s="16" t="s">
        <v>36</v>
      </c>
      <c r="F1440" s="15" t="s">
        <v>22</v>
      </c>
      <c r="G1440" s="18"/>
      <c r="H1440" s="58">
        <v>2</v>
      </c>
      <c r="I1440" s="16"/>
      <c r="J1440" s="14" t="s">
        <v>23</v>
      </c>
      <c r="K1440" s="18"/>
      <c r="L1440" s="18"/>
      <c r="M1440" s="18"/>
      <c r="N1440" s="18"/>
      <c r="O1440" s="18"/>
      <c r="P1440" s="18"/>
      <c r="Q1440" s="18"/>
      <c r="R1440" s="18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</row>
    <row r="1441" spans="1:36" ht="15" customHeight="1">
      <c r="A1441" s="12">
        <v>507</v>
      </c>
      <c r="B1441" s="13" t="s">
        <v>2260</v>
      </c>
      <c r="C1441" s="14"/>
      <c r="D1441" s="14" t="s">
        <v>2261</v>
      </c>
      <c r="E1441" s="14" t="s">
        <v>1961</v>
      </c>
      <c r="F1441" s="15" t="s">
        <v>22</v>
      </c>
      <c r="G1441" s="21"/>
      <c r="H1441" s="58"/>
      <c r="I1441" s="14"/>
      <c r="J1441" s="14" t="s">
        <v>23</v>
      </c>
      <c r="K1441" s="14"/>
      <c r="L1441" s="14"/>
      <c r="M1441" s="14" t="s">
        <v>1537</v>
      </c>
      <c r="N1441" s="14" t="s">
        <v>25</v>
      </c>
      <c r="O1441" s="14"/>
      <c r="P1441" s="14"/>
      <c r="Q1441" s="14"/>
      <c r="R1441" s="14" t="s">
        <v>1809</v>
      </c>
    </row>
    <row r="1442" spans="1:36" ht="15" customHeight="1">
      <c r="A1442" s="12">
        <v>1283</v>
      </c>
      <c r="B1442" s="13" t="s">
        <v>2262</v>
      </c>
      <c r="C1442" s="14"/>
      <c r="D1442" s="14" t="s">
        <v>2261</v>
      </c>
      <c r="E1442" s="14" t="s">
        <v>1961</v>
      </c>
      <c r="F1442" s="15" t="s">
        <v>22</v>
      </c>
      <c r="G1442" s="21"/>
      <c r="H1442" s="58">
        <v>1</v>
      </c>
      <c r="I1442" s="14"/>
      <c r="J1442" s="14" t="s">
        <v>23</v>
      </c>
      <c r="K1442" s="14"/>
      <c r="L1442" s="14"/>
      <c r="M1442" s="14" t="s">
        <v>1534</v>
      </c>
      <c r="N1442" s="14" t="s">
        <v>25</v>
      </c>
      <c r="O1442" s="14"/>
      <c r="P1442" s="14"/>
      <c r="Q1442" s="14"/>
      <c r="R1442" s="14" t="s">
        <v>1979</v>
      </c>
    </row>
    <row r="1443" spans="1:36" ht="15" customHeight="1">
      <c r="A1443" s="12">
        <v>508</v>
      </c>
      <c r="B1443" s="13" t="s">
        <v>2263</v>
      </c>
      <c r="C1443" s="14"/>
      <c r="D1443" s="14" t="s">
        <v>2264</v>
      </c>
      <c r="E1443" s="14" t="s">
        <v>44</v>
      </c>
      <c r="F1443" s="15" t="s">
        <v>22</v>
      </c>
      <c r="G1443" s="21"/>
      <c r="H1443" s="58"/>
      <c r="I1443" s="14"/>
      <c r="J1443" s="14" t="s">
        <v>23</v>
      </c>
      <c r="K1443" s="14"/>
      <c r="L1443" s="14"/>
      <c r="M1443" s="14" t="s">
        <v>1537</v>
      </c>
      <c r="N1443" s="14" t="s">
        <v>25</v>
      </c>
      <c r="O1443" s="14"/>
      <c r="P1443" s="14"/>
      <c r="Q1443" s="14"/>
      <c r="R1443" s="14" t="s">
        <v>1809</v>
      </c>
    </row>
    <row r="1444" spans="1:36" ht="15" customHeight="1">
      <c r="A1444" s="12">
        <v>1284</v>
      </c>
      <c r="B1444" s="13" t="s">
        <v>2265</v>
      </c>
      <c r="C1444" s="14"/>
      <c r="D1444" s="14" t="s">
        <v>2264</v>
      </c>
      <c r="E1444" s="14" t="s">
        <v>44</v>
      </c>
      <c r="F1444" s="15" t="s">
        <v>22</v>
      </c>
      <c r="G1444" s="21"/>
      <c r="H1444" s="58">
        <v>1</v>
      </c>
      <c r="I1444" s="14"/>
      <c r="J1444" s="14" t="s">
        <v>23</v>
      </c>
      <c r="K1444" s="14"/>
      <c r="L1444" s="14"/>
      <c r="M1444" s="14" t="s">
        <v>1534</v>
      </c>
      <c r="N1444" s="14" t="s">
        <v>25</v>
      </c>
      <c r="O1444" s="14"/>
      <c r="P1444" s="14"/>
      <c r="Q1444" s="14"/>
      <c r="R1444" s="14" t="s">
        <v>1979</v>
      </c>
    </row>
    <row r="1445" spans="1:36" ht="15" customHeight="1">
      <c r="A1445" s="12">
        <v>2080</v>
      </c>
      <c r="B1445" s="13" t="s">
        <v>2266</v>
      </c>
      <c r="C1445" s="14"/>
      <c r="D1445" s="16">
        <v>479</v>
      </c>
      <c r="E1445" s="16" t="s">
        <v>44</v>
      </c>
      <c r="F1445" s="15" t="s">
        <v>22</v>
      </c>
      <c r="G1445" s="18"/>
      <c r="H1445" s="58"/>
      <c r="I1445" s="16"/>
      <c r="J1445" s="14" t="s">
        <v>23</v>
      </c>
      <c r="K1445" s="18"/>
      <c r="L1445" s="18"/>
      <c r="M1445" s="18"/>
      <c r="N1445" s="18"/>
      <c r="O1445" s="18"/>
      <c r="P1445" s="18"/>
      <c r="Q1445" s="18"/>
      <c r="R1445" s="18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</row>
    <row r="1446" spans="1:36" ht="15" customHeight="1">
      <c r="A1446" s="12">
        <v>509</v>
      </c>
      <c r="B1446" s="13" t="s">
        <v>2267</v>
      </c>
      <c r="C1446" s="14"/>
      <c r="D1446" s="14" t="s">
        <v>2268</v>
      </c>
      <c r="E1446" s="14" t="s">
        <v>44</v>
      </c>
      <c r="F1446" s="15" t="s">
        <v>22</v>
      </c>
      <c r="G1446" s="21"/>
      <c r="H1446" s="58"/>
      <c r="I1446" s="14"/>
      <c r="J1446" s="14" t="s">
        <v>23</v>
      </c>
      <c r="K1446" s="14"/>
      <c r="L1446" s="14"/>
      <c r="M1446" s="14" t="s">
        <v>1537</v>
      </c>
      <c r="N1446" s="14" t="s">
        <v>25</v>
      </c>
      <c r="O1446" s="14"/>
      <c r="P1446" s="14"/>
      <c r="Q1446" s="14"/>
      <c r="R1446" s="14" t="s">
        <v>1809</v>
      </c>
    </row>
    <row r="1447" spans="1:36" ht="15" customHeight="1">
      <c r="A1447" s="12">
        <v>1285</v>
      </c>
      <c r="B1447" s="13" t="s">
        <v>2269</v>
      </c>
      <c r="C1447" s="14"/>
      <c r="D1447" s="14" t="s">
        <v>2268</v>
      </c>
      <c r="E1447" s="14" t="s">
        <v>44</v>
      </c>
      <c r="F1447" s="15" t="s">
        <v>22</v>
      </c>
      <c r="G1447" s="21"/>
      <c r="H1447" s="58">
        <v>2</v>
      </c>
      <c r="I1447" s="14"/>
      <c r="J1447" s="14" t="s">
        <v>23</v>
      </c>
      <c r="K1447" s="14"/>
      <c r="L1447" s="14"/>
      <c r="M1447" s="14" t="s">
        <v>1534</v>
      </c>
      <c r="N1447" s="14" t="s">
        <v>25</v>
      </c>
      <c r="O1447" s="14"/>
      <c r="P1447" s="14"/>
      <c r="Q1447" s="14"/>
      <c r="R1447" s="14" t="s">
        <v>1979</v>
      </c>
    </row>
    <row r="1448" spans="1:36" ht="15" customHeight="1">
      <c r="A1448" s="12">
        <v>2081</v>
      </c>
      <c r="B1448" s="13" t="s">
        <v>2270</v>
      </c>
      <c r="C1448" s="14"/>
      <c r="D1448" s="16">
        <v>480</v>
      </c>
      <c r="E1448" s="16" t="s">
        <v>44</v>
      </c>
      <c r="F1448" s="15" t="s">
        <v>22</v>
      </c>
      <c r="G1448" s="18"/>
      <c r="H1448" s="58"/>
      <c r="I1448" s="16"/>
      <c r="J1448" s="14" t="s">
        <v>23</v>
      </c>
      <c r="K1448" s="18"/>
      <c r="L1448" s="18"/>
      <c r="M1448" s="18"/>
      <c r="N1448" s="18"/>
      <c r="O1448" s="18"/>
      <c r="P1448" s="18"/>
      <c r="Q1448" s="18"/>
      <c r="R1448" s="18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</row>
    <row r="1449" spans="1:36" ht="15" customHeight="1">
      <c r="A1449" s="12">
        <v>510</v>
      </c>
      <c r="B1449" s="13" t="s">
        <v>2271</v>
      </c>
      <c r="C1449" s="14"/>
      <c r="D1449" s="14" t="s">
        <v>2272</v>
      </c>
      <c r="E1449" s="14" t="s">
        <v>21</v>
      </c>
      <c r="F1449" s="15" t="s">
        <v>22</v>
      </c>
      <c r="G1449" s="21"/>
      <c r="H1449" s="58"/>
      <c r="I1449" s="14"/>
      <c r="J1449" s="14" t="s">
        <v>23</v>
      </c>
      <c r="K1449" s="14"/>
      <c r="L1449" s="14"/>
      <c r="M1449" s="14" t="s">
        <v>1537</v>
      </c>
      <c r="N1449" s="14" t="s">
        <v>25</v>
      </c>
      <c r="O1449" s="14"/>
      <c r="P1449" s="14"/>
      <c r="Q1449" s="14"/>
      <c r="R1449" s="14" t="s">
        <v>1809</v>
      </c>
    </row>
    <row r="1450" spans="1:36" ht="15" customHeight="1">
      <c r="A1450" s="12">
        <v>1286</v>
      </c>
      <c r="B1450" s="13" t="s">
        <v>2273</v>
      </c>
      <c r="C1450" s="14"/>
      <c r="D1450" s="14" t="s">
        <v>2272</v>
      </c>
      <c r="E1450" s="14" t="s">
        <v>21</v>
      </c>
      <c r="F1450" s="15" t="s">
        <v>22</v>
      </c>
      <c r="G1450" s="21"/>
      <c r="H1450" s="58">
        <v>1</v>
      </c>
      <c r="I1450" s="14"/>
      <c r="J1450" s="14" t="s">
        <v>23</v>
      </c>
      <c r="K1450" s="14"/>
      <c r="L1450" s="14"/>
      <c r="M1450" s="14" t="s">
        <v>1534</v>
      </c>
      <c r="N1450" s="18" t="s">
        <v>25</v>
      </c>
      <c r="O1450" s="18"/>
      <c r="P1450" s="14"/>
      <c r="Q1450" s="14"/>
      <c r="R1450" s="14" t="s">
        <v>1979</v>
      </c>
    </row>
    <row r="1451" spans="1:36" ht="15" customHeight="1">
      <c r="A1451" s="12">
        <v>2082</v>
      </c>
      <c r="B1451" s="13" t="s">
        <v>2274</v>
      </c>
      <c r="C1451" s="14"/>
      <c r="D1451" s="16">
        <v>481</v>
      </c>
      <c r="E1451" s="14" t="s">
        <v>21</v>
      </c>
      <c r="F1451" s="15" t="s">
        <v>22</v>
      </c>
      <c r="G1451" s="18"/>
      <c r="H1451" s="58"/>
      <c r="I1451" s="16"/>
      <c r="J1451" s="14" t="s">
        <v>23</v>
      </c>
      <c r="K1451" s="18"/>
      <c r="L1451" s="18"/>
      <c r="M1451" s="18"/>
      <c r="N1451" s="18"/>
      <c r="O1451" s="18"/>
      <c r="P1451" s="18"/>
      <c r="Q1451" s="18"/>
      <c r="R1451" s="18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</row>
    <row r="1452" spans="1:36" ht="15" customHeight="1">
      <c r="A1452" s="12">
        <v>511</v>
      </c>
      <c r="B1452" s="13" t="s">
        <v>2275</v>
      </c>
      <c r="C1452" s="14"/>
      <c r="D1452" s="14" t="s">
        <v>2276</v>
      </c>
      <c r="E1452" s="14" t="s">
        <v>172</v>
      </c>
      <c r="F1452" s="15" t="s">
        <v>22</v>
      </c>
      <c r="G1452" s="21"/>
      <c r="H1452" s="58"/>
      <c r="I1452" s="14"/>
      <c r="J1452" s="14" t="s">
        <v>23</v>
      </c>
      <c r="K1452" s="14"/>
      <c r="L1452" s="14"/>
      <c r="M1452" s="14" t="s">
        <v>1537</v>
      </c>
      <c r="N1452" s="14" t="s">
        <v>25</v>
      </c>
      <c r="O1452" s="14"/>
      <c r="P1452" s="14"/>
      <c r="Q1452" s="14"/>
      <c r="R1452" s="14" t="s">
        <v>1809</v>
      </c>
    </row>
    <row r="1453" spans="1:36" ht="15" customHeight="1">
      <c r="A1453" s="12">
        <v>1287</v>
      </c>
      <c r="B1453" s="13" t="s">
        <v>2277</v>
      </c>
      <c r="C1453" s="14"/>
      <c r="D1453" s="14" t="s">
        <v>2276</v>
      </c>
      <c r="E1453" s="14" t="s">
        <v>172</v>
      </c>
      <c r="F1453" s="15" t="s">
        <v>22</v>
      </c>
      <c r="G1453" s="21"/>
      <c r="H1453" s="58">
        <v>1</v>
      </c>
      <c r="I1453" s="14"/>
      <c r="J1453" s="14" t="s">
        <v>23</v>
      </c>
      <c r="K1453" s="14"/>
      <c r="L1453" s="14"/>
      <c r="M1453" s="14" t="s">
        <v>1534</v>
      </c>
      <c r="N1453" s="25" t="s">
        <v>37</v>
      </c>
      <c r="O1453" s="14" t="s">
        <v>2278</v>
      </c>
      <c r="P1453" s="14"/>
      <c r="Q1453" s="14"/>
      <c r="R1453" s="14" t="s">
        <v>1979</v>
      </c>
    </row>
    <row r="1454" spans="1:36" ht="15" customHeight="1">
      <c r="A1454" s="12">
        <v>2083</v>
      </c>
      <c r="B1454" s="13" t="s">
        <v>2279</v>
      </c>
      <c r="C1454" s="14"/>
      <c r="D1454" s="16">
        <v>482</v>
      </c>
      <c r="E1454" s="16" t="s">
        <v>172</v>
      </c>
      <c r="F1454" s="15" t="s">
        <v>22</v>
      </c>
      <c r="G1454" s="18"/>
      <c r="H1454" s="58">
        <v>2</v>
      </c>
      <c r="I1454" s="16"/>
      <c r="J1454" s="14" t="s">
        <v>23</v>
      </c>
      <c r="K1454" s="18"/>
      <c r="L1454" s="18"/>
      <c r="M1454" s="18"/>
      <c r="N1454" s="18"/>
      <c r="O1454" s="18"/>
      <c r="P1454" s="18"/>
      <c r="Q1454" s="18"/>
      <c r="R1454" s="18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</row>
    <row r="1455" spans="1:36" ht="15" customHeight="1">
      <c r="A1455" s="12">
        <v>512</v>
      </c>
      <c r="B1455" s="13" t="s">
        <v>2280</v>
      </c>
      <c r="C1455" s="14"/>
      <c r="D1455" s="14" t="s">
        <v>2281</v>
      </c>
      <c r="E1455" s="14" t="s">
        <v>21</v>
      </c>
      <c r="F1455" s="15" t="s">
        <v>22</v>
      </c>
      <c r="G1455" s="21"/>
      <c r="H1455" s="58"/>
      <c r="I1455" s="14"/>
      <c r="J1455" s="14" t="s">
        <v>23</v>
      </c>
      <c r="K1455" s="14"/>
      <c r="L1455" s="14"/>
      <c r="M1455" s="14" t="s">
        <v>1537</v>
      </c>
      <c r="N1455" s="14" t="s">
        <v>25</v>
      </c>
      <c r="O1455" s="14"/>
      <c r="P1455" s="14"/>
      <c r="Q1455" s="14"/>
      <c r="R1455" s="14" t="s">
        <v>1809</v>
      </c>
    </row>
    <row r="1456" spans="1:36" ht="15" customHeight="1">
      <c r="A1456" s="12">
        <v>2084</v>
      </c>
      <c r="B1456" s="13" t="s">
        <v>2282</v>
      </c>
      <c r="C1456" s="14"/>
      <c r="D1456" s="16">
        <v>483</v>
      </c>
      <c r="E1456" s="14" t="s">
        <v>21</v>
      </c>
      <c r="F1456" s="15" t="s">
        <v>22</v>
      </c>
      <c r="G1456" s="18"/>
      <c r="H1456" s="58"/>
      <c r="I1456" s="16"/>
      <c r="J1456" s="14" t="s">
        <v>23</v>
      </c>
      <c r="K1456" s="18"/>
      <c r="L1456" s="18"/>
      <c r="M1456" s="18"/>
      <c r="N1456" s="18"/>
      <c r="O1456" s="18"/>
      <c r="P1456" s="18"/>
      <c r="Q1456" s="18"/>
      <c r="R1456" s="18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</row>
    <row r="1457" spans="1:1027" ht="15" customHeight="1">
      <c r="A1457" s="12">
        <v>6</v>
      </c>
      <c r="B1457" s="13" t="s">
        <v>2283</v>
      </c>
      <c r="C1457" s="14"/>
      <c r="D1457" s="14" t="s">
        <v>2284</v>
      </c>
      <c r="E1457" s="14"/>
      <c r="F1457" s="15" t="s">
        <v>22</v>
      </c>
      <c r="G1457" s="14"/>
      <c r="H1457" s="58"/>
      <c r="I1457" s="14"/>
      <c r="J1457" s="14" t="s">
        <v>23</v>
      </c>
      <c r="K1457" s="15"/>
      <c r="L1457" s="15"/>
      <c r="M1457" s="14" t="s">
        <v>24</v>
      </c>
      <c r="N1457" s="14" t="s">
        <v>25</v>
      </c>
      <c r="O1457" s="14"/>
      <c r="P1457" s="14"/>
      <c r="Q1457" s="14"/>
      <c r="R1457" s="17">
        <v>43599</v>
      </c>
      <c r="S1457" s="12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  <c r="IV1457" s="3"/>
      <c r="IW1457" s="3"/>
      <c r="IX1457" s="3"/>
      <c r="IY1457" s="3"/>
      <c r="IZ1457" s="3"/>
      <c r="JA1457" s="3"/>
      <c r="JB1457" s="3"/>
      <c r="JC1457" s="3"/>
      <c r="JD1457" s="3"/>
      <c r="JE1457" s="3"/>
      <c r="JF1457" s="3"/>
      <c r="JG1457" s="3"/>
      <c r="JH1457" s="3"/>
      <c r="JI1457" s="3"/>
      <c r="JJ1457" s="3"/>
      <c r="JK1457" s="3"/>
      <c r="JL1457" s="3"/>
      <c r="JM1457" s="3"/>
      <c r="JN1457" s="3"/>
      <c r="JO1457" s="3"/>
      <c r="JP1457" s="3"/>
      <c r="JQ1457" s="3"/>
      <c r="JR1457" s="3"/>
      <c r="JS1457" s="3"/>
      <c r="JT1457" s="3"/>
      <c r="JU1457" s="3"/>
      <c r="JV1457" s="3"/>
      <c r="JW1457" s="3"/>
      <c r="JX1457" s="3"/>
      <c r="JY1457" s="3"/>
      <c r="JZ1457" s="3"/>
      <c r="KA1457" s="3"/>
      <c r="KB1457" s="3"/>
      <c r="KC1457" s="3"/>
      <c r="KD1457" s="3"/>
      <c r="KE1457" s="3"/>
      <c r="KF1457" s="3"/>
      <c r="KG1457" s="3"/>
      <c r="KH1457" s="3"/>
      <c r="KI1457" s="3"/>
      <c r="KJ1457" s="3"/>
      <c r="KK1457" s="3"/>
      <c r="KL1457" s="3"/>
      <c r="KM1457" s="3"/>
      <c r="KN1457" s="3"/>
      <c r="KO1457" s="3"/>
      <c r="KP1457" s="3"/>
      <c r="KQ1457" s="3"/>
      <c r="KR1457" s="3"/>
      <c r="KS1457" s="3"/>
      <c r="KT1457" s="3"/>
      <c r="KU1457" s="3"/>
      <c r="KV1457" s="3"/>
      <c r="KW1457" s="3"/>
      <c r="KX1457" s="3"/>
      <c r="KY1457" s="3"/>
      <c r="KZ1457" s="3"/>
      <c r="LA1457" s="3"/>
      <c r="LB1457" s="3"/>
      <c r="LC1457" s="3"/>
      <c r="LD1457" s="3"/>
      <c r="LE1457" s="3"/>
      <c r="LF1457" s="3"/>
      <c r="LG1457" s="3"/>
      <c r="LH1457" s="3"/>
      <c r="LI1457" s="3"/>
      <c r="LJ1457" s="3"/>
      <c r="LK1457" s="3"/>
      <c r="LL1457" s="3"/>
      <c r="LM1457" s="3"/>
      <c r="LN1457" s="3"/>
      <c r="LO1457" s="3"/>
      <c r="LP1457" s="3"/>
      <c r="LQ1457" s="3"/>
      <c r="LR1457" s="3"/>
      <c r="LS1457" s="3"/>
      <c r="LT1457" s="3"/>
      <c r="LU1457" s="3"/>
      <c r="LV1457" s="3"/>
      <c r="LW1457" s="3"/>
      <c r="LX1457" s="3"/>
      <c r="LY1457" s="3"/>
      <c r="LZ1457" s="3"/>
      <c r="MA1457" s="3"/>
      <c r="MB1457" s="3"/>
      <c r="MC1457" s="3"/>
      <c r="MD1457" s="3"/>
      <c r="ME1457" s="3"/>
      <c r="MF1457" s="3"/>
      <c r="MG1457" s="3"/>
      <c r="MH1457" s="3"/>
      <c r="MI1457" s="3"/>
      <c r="MJ1457" s="3"/>
      <c r="MK1457" s="3"/>
      <c r="ML1457" s="3"/>
      <c r="MM1457" s="3"/>
      <c r="MN1457" s="3"/>
      <c r="MO1457" s="3"/>
      <c r="MP1457" s="3"/>
      <c r="MQ1457" s="3"/>
      <c r="MR1457" s="3"/>
      <c r="MS1457" s="3"/>
      <c r="MT1457" s="3"/>
      <c r="MU1457" s="3"/>
      <c r="MV1457" s="3"/>
      <c r="MW1457" s="3"/>
      <c r="MX1457" s="3"/>
      <c r="MY1457" s="3"/>
      <c r="MZ1457" s="3"/>
      <c r="NA1457" s="3"/>
      <c r="NB1457" s="3"/>
      <c r="NC1457" s="3"/>
      <c r="ND1457" s="3"/>
      <c r="NE1457" s="3"/>
      <c r="NF1457" s="3"/>
      <c r="NG1457" s="3"/>
      <c r="NH1457" s="3"/>
      <c r="NI1457" s="3"/>
      <c r="NJ1457" s="3"/>
      <c r="NK1457" s="3"/>
      <c r="NL1457" s="3"/>
      <c r="NM1457" s="3"/>
      <c r="NN1457" s="3"/>
      <c r="NO1457" s="3"/>
      <c r="NP1457" s="3"/>
      <c r="NQ1457" s="3"/>
      <c r="NR1457" s="3"/>
      <c r="NS1457" s="3"/>
      <c r="NT1457" s="3"/>
      <c r="NU1457" s="3"/>
      <c r="NV1457" s="3"/>
      <c r="NW1457" s="3"/>
      <c r="NX1457" s="3"/>
      <c r="NY1457" s="3"/>
      <c r="NZ1457" s="3"/>
      <c r="OA1457" s="3"/>
      <c r="OB1457" s="3"/>
      <c r="OC1457" s="3"/>
      <c r="OD1457" s="3"/>
      <c r="OE1457" s="3"/>
      <c r="OF1457" s="3"/>
      <c r="OG1457" s="3"/>
      <c r="OH1457" s="3"/>
      <c r="OI1457" s="3"/>
      <c r="OJ1457" s="3"/>
      <c r="OK1457" s="3"/>
      <c r="OL1457" s="3"/>
      <c r="OM1457" s="3"/>
      <c r="ON1457" s="3"/>
      <c r="OO1457" s="3"/>
      <c r="OP1457" s="3"/>
      <c r="OQ1457" s="3"/>
      <c r="OR1457" s="3"/>
      <c r="OS1457" s="3"/>
      <c r="OT1457" s="3"/>
      <c r="OU1457" s="3"/>
      <c r="OV1457" s="3"/>
      <c r="OW1457" s="3"/>
      <c r="OX1457" s="3"/>
      <c r="OY1457" s="3"/>
      <c r="OZ1457" s="3"/>
      <c r="PA1457" s="3"/>
      <c r="PB1457" s="3"/>
      <c r="PC1457" s="3"/>
      <c r="PD1457" s="3"/>
      <c r="PE1457" s="3"/>
      <c r="PF1457" s="3"/>
      <c r="PG1457" s="3"/>
      <c r="PH1457" s="3"/>
      <c r="PI1457" s="3"/>
      <c r="PJ1457" s="3"/>
      <c r="PK1457" s="3"/>
      <c r="PL1457" s="3"/>
      <c r="PM1457" s="3"/>
      <c r="PN1457" s="3"/>
      <c r="PO1457" s="3"/>
      <c r="PP1457" s="3"/>
      <c r="PQ1457" s="3"/>
      <c r="PR1457" s="3"/>
      <c r="PS1457" s="3"/>
      <c r="PT1457" s="3"/>
      <c r="PU1457" s="3"/>
      <c r="PV1457" s="3"/>
      <c r="PW1457" s="3"/>
      <c r="PX1457" s="3"/>
      <c r="PY1457" s="3"/>
      <c r="PZ1457" s="3"/>
      <c r="QA1457" s="3"/>
      <c r="QB1457" s="3"/>
      <c r="QC1457" s="3"/>
      <c r="QD1457" s="3"/>
      <c r="QE1457" s="3"/>
      <c r="QF1457" s="3"/>
      <c r="QG1457" s="3"/>
      <c r="QH1457" s="3"/>
      <c r="QI1457" s="3"/>
      <c r="QJ1457" s="3"/>
      <c r="QK1457" s="3"/>
      <c r="QL1457" s="3"/>
      <c r="QM1457" s="3"/>
      <c r="QN1457" s="3"/>
      <c r="QO1457" s="3"/>
      <c r="QP1457" s="3"/>
      <c r="QQ1457" s="3"/>
      <c r="QR1457" s="3"/>
      <c r="QS1457" s="3"/>
      <c r="QT1457" s="3"/>
      <c r="QU1457" s="3"/>
      <c r="QV1457" s="3"/>
      <c r="QW1457" s="3"/>
      <c r="QX1457" s="3"/>
      <c r="QY1457" s="3"/>
      <c r="QZ1457" s="3"/>
      <c r="RA1457" s="3"/>
      <c r="RB1457" s="3"/>
      <c r="RC1457" s="3"/>
      <c r="RD1457" s="3"/>
      <c r="RE1457" s="3"/>
      <c r="RF1457" s="3"/>
      <c r="RG1457" s="3"/>
      <c r="RH1457" s="3"/>
      <c r="RI1457" s="3"/>
      <c r="RJ1457" s="3"/>
      <c r="RK1457" s="3"/>
      <c r="RL1457" s="3"/>
      <c r="RM1457" s="3"/>
      <c r="RN1457" s="3"/>
      <c r="RO1457" s="3"/>
      <c r="RP1457" s="3"/>
      <c r="RQ1457" s="3"/>
      <c r="RR1457" s="3"/>
      <c r="RS1457" s="3"/>
      <c r="RT1457" s="3"/>
      <c r="RU1457" s="3"/>
      <c r="RV1457" s="3"/>
      <c r="RW1457" s="3"/>
      <c r="RX1457" s="3"/>
      <c r="RY1457" s="3"/>
      <c r="RZ1457" s="3"/>
      <c r="SA1457" s="3"/>
      <c r="SB1457" s="3"/>
      <c r="SC1457" s="3"/>
      <c r="SD1457" s="3"/>
      <c r="SE1457" s="3"/>
      <c r="SF1457" s="3"/>
      <c r="SG1457" s="3"/>
      <c r="SH1457" s="3"/>
      <c r="SI1457" s="3"/>
      <c r="SJ1457" s="3"/>
      <c r="SK1457" s="3"/>
      <c r="SL1457" s="3"/>
      <c r="SM1457" s="3"/>
      <c r="SN1457" s="3"/>
      <c r="SO1457" s="3"/>
      <c r="SP1457" s="3"/>
      <c r="SQ1457" s="3"/>
      <c r="SR1457" s="3"/>
      <c r="SS1457" s="3"/>
      <c r="ST1457" s="3"/>
      <c r="SU1457" s="3"/>
      <c r="SV1457" s="3"/>
      <c r="SW1457" s="3"/>
      <c r="SX1457" s="3"/>
      <c r="SY1457" s="3"/>
      <c r="SZ1457" s="3"/>
      <c r="TA1457" s="3"/>
      <c r="TB1457" s="3"/>
      <c r="TC1457" s="3"/>
      <c r="TD1457" s="3"/>
      <c r="TE1457" s="3"/>
      <c r="TF1457" s="3"/>
      <c r="TG1457" s="3"/>
      <c r="TH1457" s="3"/>
      <c r="TI1457" s="3"/>
      <c r="TJ1457" s="3"/>
      <c r="TK1457" s="3"/>
      <c r="TL1457" s="3"/>
      <c r="TM1457" s="3"/>
      <c r="TN1457" s="3"/>
      <c r="TO1457" s="3"/>
      <c r="TP1457" s="3"/>
      <c r="TQ1457" s="3"/>
      <c r="TR1457" s="3"/>
      <c r="TS1457" s="3"/>
      <c r="TT1457" s="3"/>
      <c r="TU1457" s="3"/>
      <c r="TV1457" s="3"/>
      <c r="TW1457" s="3"/>
      <c r="TX1457" s="3"/>
      <c r="TY1457" s="3"/>
      <c r="TZ1457" s="3"/>
      <c r="UA1457" s="3"/>
      <c r="UB1457" s="3"/>
      <c r="UC1457" s="3"/>
      <c r="UD1457" s="3"/>
      <c r="UE1457" s="3"/>
      <c r="UF1457" s="3"/>
      <c r="UG1457" s="3"/>
      <c r="UH1457" s="3"/>
      <c r="UI1457" s="3"/>
      <c r="UJ1457" s="3"/>
      <c r="UK1457" s="3"/>
      <c r="UL1457" s="3"/>
      <c r="UM1457" s="3"/>
      <c r="UN1457" s="3"/>
      <c r="UO1457" s="3"/>
      <c r="UP1457" s="3"/>
      <c r="UQ1457" s="3"/>
      <c r="UR1457" s="3"/>
      <c r="US1457" s="3"/>
      <c r="UT1457" s="3"/>
      <c r="UU1457" s="3"/>
      <c r="UV1457" s="3"/>
      <c r="UW1457" s="3"/>
      <c r="UX1457" s="3"/>
      <c r="UY1457" s="3"/>
      <c r="UZ1457" s="3"/>
      <c r="VA1457" s="3"/>
      <c r="VB1457" s="3"/>
      <c r="VC1457" s="3"/>
      <c r="VD1457" s="3"/>
      <c r="VE1457" s="3"/>
      <c r="VF1457" s="3"/>
      <c r="VG1457" s="3"/>
      <c r="VH1457" s="3"/>
      <c r="VI1457" s="3"/>
      <c r="VJ1457" s="3"/>
      <c r="VK1457" s="3"/>
      <c r="VL1457" s="3"/>
      <c r="VM1457" s="3"/>
      <c r="VN1457" s="3"/>
      <c r="VO1457" s="3"/>
      <c r="VP1457" s="3"/>
      <c r="VQ1457" s="3"/>
      <c r="VR1457" s="3"/>
      <c r="VS1457" s="3"/>
      <c r="VT1457" s="3"/>
      <c r="VU1457" s="3"/>
      <c r="VV1457" s="3"/>
      <c r="VW1457" s="3"/>
      <c r="VX1457" s="3"/>
      <c r="VY1457" s="3"/>
      <c r="VZ1457" s="3"/>
      <c r="WA1457" s="3"/>
      <c r="WB1457" s="3"/>
      <c r="WC1457" s="3"/>
      <c r="WD1457" s="3"/>
      <c r="WE1457" s="3"/>
      <c r="WF1457" s="3"/>
      <c r="WG1457" s="3"/>
      <c r="WH1457" s="3"/>
      <c r="WI1457" s="3"/>
      <c r="WJ1457" s="3"/>
      <c r="WK1457" s="3"/>
      <c r="WL1457" s="3"/>
      <c r="WM1457" s="3"/>
      <c r="WN1457" s="3"/>
      <c r="WO1457" s="3"/>
      <c r="WP1457" s="3"/>
      <c r="WQ1457" s="3"/>
      <c r="WR1457" s="3"/>
      <c r="WS1457" s="3"/>
      <c r="WT1457" s="3"/>
      <c r="WU1457" s="3"/>
      <c r="WV1457" s="3"/>
      <c r="WW1457" s="3"/>
      <c r="WX1457" s="3"/>
      <c r="WY1457" s="3"/>
      <c r="WZ1457" s="3"/>
      <c r="XA1457" s="3"/>
      <c r="XB1457" s="3"/>
      <c r="XC1457" s="3"/>
      <c r="XD1457" s="3"/>
      <c r="XE1457" s="3"/>
      <c r="XF1457" s="3"/>
      <c r="XG1457" s="3"/>
      <c r="XH1457" s="3"/>
      <c r="XI1457" s="3"/>
      <c r="XJ1457" s="3"/>
      <c r="XK1457" s="3"/>
      <c r="XL1457" s="3"/>
      <c r="XM1457" s="3"/>
      <c r="XN1457" s="3"/>
      <c r="XO1457" s="3"/>
      <c r="XP1457" s="3"/>
      <c r="XQ1457" s="3"/>
      <c r="XR1457" s="3"/>
      <c r="XS1457" s="3"/>
      <c r="XT1457" s="3"/>
      <c r="XU1457" s="3"/>
      <c r="XV1457" s="3"/>
      <c r="XW1457" s="3"/>
      <c r="XX1457" s="3"/>
      <c r="XY1457" s="3"/>
      <c r="XZ1457" s="3"/>
      <c r="YA1457" s="3"/>
      <c r="YB1457" s="3"/>
      <c r="YC1457" s="3"/>
      <c r="YD1457" s="3"/>
      <c r="YE1457" s="3"/>
      <c r="YF1457" s="3"/>
      <c r="YG1457" s="3"/>
      <c r="YH1457" s="3"/>
      <c r="YI1457" s="3"/>
      <c r="YJ1457" s="3"/>
      <c r="YK1457" s="3"/>
      <c r="YL1457" s="3"/>
      <c r="YM1457" s="3"/>
      <c r="YN1457" s="3"/>
      <c r="YO1457" s="3"/>
      <c r="YP1457" s="3"/>
      <c r="YQ1457" s="3"/>
      <c r="YR1457" s="3"/>
      <c r="YS1457" s="3"/>
      <c r="YT1457" s="3"/>
      <c r="YU1457" s="3"/>
      <c r="YV1457" s="3"/>
      <c r="YW1457" s="3"/>
      <c r="YX1457" s="3"/>
      <c r="YY1457" s="3"/>
      <c r="YZ1457" s="3"/>
      <c r="ZA1457" s="3"/>
      <c r="ZB1457" s="3"/>
      <c r="ZC1457" s="3"/>
      <c r="ZD1457" s="3"/>
      <c r="ZE1457" s="3"/>
      <c r="ZF1457" s="3"/>
      <c r="ZG1457" s="3"/>
      <c r="ZH1457" s="3"/>
      <c r="ZI1457" s="3"/>
      <c r="ZJ1457" s="3"/>
      <c r="ZK1457" s="3"/>
      <c r="ZL1457" s="3"/>
      <c r="ZM1457" s="3"/>
      <c r="ZN1457" s="3"/>
      <c r="ZO1457" s="3"/>
      <c r="ZP1457" s="3"/>
      <c r="ZQ1457" s="3"/>
      <c r="ZR1457" s="3"/>
      <c r="ZS1457" s="3"/>
      <c r="ZT1457" s="3"/>
      <c r="ZU1457" s="3"/>
      <c r="ZV1457" s="3"/>
      <c r="ZW1457" s="3"/>
      <c r="ZX1457" s="3"/>
      <c r="ZY1457" s="3"/>
      <c r="ZZ1457" s="3"/>
      <c r="AAA1457" s="3"/>
      <c r="AAB1457" s="3"/>
      <c r="AAC1457" s="3"/>
      <c r="AAD1457" s="3"/>
      <c r="AAE1457" s="3"/>
      <c r="AAF1457" s="3"/>
      <c r="AAG1457" s="3"/>
      <c r="AAH1457" s="3"/>
      <c r="AAI1457" s="3"/>
      <c r="AAJ1457" s="3"/>
      <c r="AAK1457" s="3"/>
      <c r="AAL1457" s="3"/>
      <c r="AAM1457" s="3"/>
      <c r="AAN1457" s="3"/>
      <c r="AAO1457" s="3"/>
      <c r="AAP1457" s="3"/>
      <c r="AAQ1457" s="3"/>
      <c r="AAR1457" s="3"/>
      <c r="AAS1457" s="3"/>
      <c r="AAT1457" s="3"/>
      <c r="AAU1457" s="3"/>
      <c r="AAV1457" s="3"/>
      <c r="AAW1457" s="3"/>
      <c r="AAX1457" s="3"/>
      <c r="AAY1457" s="3"/>
      <c r="AAZ1457" s="3"/>
      <c r="ABA1457" s="3"/>
      <c r="ABB1457" s="3"/>
      <c r="ABC1457" s="3"/>
      <c r="ABD1457" s="3"/>
      <c r="ABE1457" s="3"/>
      <c r="ABF1457" s="3"/>
      <c r="ABG1457" s="3"/>
      <c r="ABH1457" s="3"/>
      <c r="ABI1457" s="3"/>
      <c r="ABJ1457" s="3"/>
      <c r="ABK1457" s="3"/>
      <c r="ABL1457" s="3"/>
      <c r="ABM1457" s="3"/>
      <c r="ABN1457" s="3"/>
      <c r="ABO1457" s="3"/>
      <c r="ABP1457" s="3"/>
      <c r="ABQ1457" s="3"/>
      <c r="ABR1457" s="3"/>
      <c r="ABS1457" s="3"/>
      <c r="ABT1457" s="3"/>
      <c r="ABU1457" s="3"/>
      <c r="ABV1457" s="3"/>
      <c r="ABW1457" s="3"/>
      <c r="ABX1457" s="3"/>
      <c r="ABY1457" s="3"/>
      <c r="ABZ1457" s="3"/>
      <c r="ACA1457" s="3"/>
      <c r="ACB1457" s="3"/>
      <c r="ACC1457" s="3"/>
      <c r="ACD1457" s="3"/>
      <c r="ACE1457" s="3"/>
      <c r="ACF1457" s="3"/>
      <c r="ACG1457" s="3"/>
      <c r="ACH1457" s="3"/>
      <c r="ACI1457" s="3"/>
      <c r="ACJ1457" s="3"/>
      <c r="ACK1457" s="3"/>
      <c r="ACL1457" s="3"/>
      <c r="ACM1457" s="3"/>
      <c r="ACN1457" s="3"/>
      <c r="ACO1457" s="3"/>
      <c r="ACP1457" s="3"/>
      <c r="ACQ1457" s="3"/>
      <c r="ACR1457" s="3"/>
      <c r="ACS1457" s="3"/>
      <c r="ACT1457" s="3"/>
      <c r="ACU1457" s="3"/>
      <c r="ACV1457" s="3"/>
      <c r="ACW1457" s="3"/>
      <c r="ACX1457" s="3"/>
      <c r="ACY1457" s="3"/>
      <c r="ACZ1457" s="3"/>
      <c r="ADA1457" s="3"/>
      <c r="ADB1457" s="3"/>
      <c r="ADC1457" s="3"/>
      <c r="ADD1457" s="3"/>
      <c r="ADE1457" s="3"/>
      <c r="ADF1457" s="3"/>
      <c r="ADG1457" s="3"/>
      <c r="ADH1457" s="3"/>
      <c r="ADI1457" s="3"/>
      <c r="ADJ1457" s="3"/>
      <c r="ADK1457" s="3"/>
      <c r="ADL1457" s="3"/>
      <c r="ADM1457" s="3"/>
      <c r="ADN1457" s="3"/>
      <c r="ADO1457" s="3"/>
      <c r="ADP1457" s="3"/>
      <c r="ADQ1457" s="3"/>
      <c r="ADR1457" s="3"/>
      <c r="ADS1457" s="3"/>
      <c r="ADT1457" s="3"/>
      <c r="ADU1457" s="3"/>
      <c r="ADV1457" s="3"/>
      <c r="ADW1457" s="3"/>
      <c r="ADX1457" s="3"/>
      <c r="ADY1457" s="3"/>
      <c r="ADZ1457" s="3"/>
      <c r="AEA1457" s="3"/>
      <c r="AEB1457" s="3"/>
      <c r="AEC1457" s="3"/>
      <c r="AED1457" s="3"/>
      <c r="AEE1457" s="3"/>
      <c r="AEF1457" s="3"/>
      <c r="AEG1457" s="3"/>
      <c r="AEH1457" s="3"/>
      <c r="AEI1457" s="3"/>
      <c r="AEJ1457" s="3"/>
      <c r="AEK1457" s="3"/>
      <c r="AEL1457" s="3"/>
      <c r="AEM1457" s="3"/>
      <c r="AEN1457" s="3"/>
      <c r="AEO1457" s="3"/>
      <c r="AEP1457" s="3"/>
      <c r="AEQ1457" s="3"/>
      <c r="AER1457" s="3"/>
      <c r="AES1457" s="3"/>
      <c r="AET1457" s="3"/>
      <c r="AEU1457" s="3"/>
      <c r="AEV1457" s="3"/>
      <c r="AEW1457" s="3"/>
      <c r="AEX1457" s="3"/>
      <c r="AEY1457" s="3"/>
      <c r="AEZ1457" s="3"/>
      <c r="AFA1457" s="3"/>
      <c r="AFB1457" s="3"/>
      <c r="AFC1457" s="3"/>
      <c r="AFD1457" s="3"/>
      <c r="AFE1457" s="3"/>
      <c r="AFF1457" s="3"/>
      <c r="AFG1457" s="3"/>
      <c r="AFH1457" s="3"/>
      <c r="AFI1457" s="3"/>
      <c r="AFJ1457" s="3"/>
      <c r="AFK1457" s="3"/>
      <c r="AFL1457" s="3"/>
      <c r="AFM1457" s="3"/>
      <c r="AFN1457" s="3"/>
      <c r="AFO1457" s="3"/>
      <c r="AFP1457" s="3"/>
      <c r="AFQ1457" s="3"/>
      <c r="AFR1457" s="3"/>
      <c r="AFS1457" s="3"/>
      <c r="AFT1457" s="3"/>
      <c r="AFU1457" s="3"/>
      <c r="AFV1457" s="3"/>
      <c r="AFW1457" s="3"/>
      <c r="AFX1457" s="3"/>
      <c r="AFY1457" s="3"/>
      <c r="AFZ1457" s="3"/>
      <c r="AGA1457" s="3"/>
      <c r="AGB1457" s="3"/>
      <c r="AGC1457" s="3"/>
      <c r="AGD1457" s="3"/>
      <c r="AGE1457" s="3"/>
      <c r="AGF1457" s="3"/>
      <c r="AGG1457" s="3"/>
      <c r="AGH1457" s="3"/>
      <c r="AGI1457" s="3"/>
      <c r="AGJ1457" s="3"/>
      <c r="AGK1457" s="3"/>
      <c r="AGL1457" s="3"/>
      <c r="AGM1457" s="3"/>
      <c r="AGN1457" s="3"/>
      <c r="AGO1457" s="3"/>
      <c r="AGP1457" s="3"/>
      <c r="AGQ1457" s="3"/>
      <c r="AGR1457" s="3"/>
      <c r="AGS1457" s="3"/>
      <c r="AGT1457" s="3"/>
      <c r="AGU1457" s="3"/>
      <c r="AGV1457" s="3"/>
      <c r="AGW1457" s="3"/>
      <c r="AGX1457" s="3"/>
      <c r="AGY1457" s="3"/>
      <c r="AGZ1457" s="3"/>
      <c r="AHA1457" s="3"/>
      <c r="AHB1457" s="3"/>
      <c r="AHC1457" s="3"/>
      <c r="AHD1457" s="3"/>
      <c r="AHE1457" s="3"/>
      <c r="AHF1457" s="3"/>
      <c r="AHG1457" s="3"/>
      <c r="AHH1457" s="3"/>
      <c r="AHI1457" s="3"/>
      <c r="AHJ1457" s="3"/>
      <c r="AHK1457" s="3"/>
      <c r="AHL1457" s="3"/>
      <c r="AHM1457" s="3"/>
      <c r="AHN1457" s="3"/>
      <c r="AHO1457" s="3"/>
      <c r="AHP1457" s="3"/>
      <c r="AHQ1457" s="3"/>
      <c r="AHR1457" s="3"/>
      <c r="AHS1457" s="3"/>
      <c r="AHT1457" s="3"/>
      <c r="AHU1457" s="3"/>
      <c r="AHV1457" s="3"/>
      <c r="AHW1457" s="3"/>
      <c r="AHX1457" s="3"/>
      <c r="AHY1457" s="3"/>
      <c r="AHZ1457" s="3"/>
      <c r="AIA1457" s="3"/>
      <c r="AIB1457" s="3"/>
      <c r="AIC1457" s="3"/>
      <c r="AID1457" s="3"/>
      <c r="AIE1457" s="3"/>
      <c r="AIF1457" s="3"/>
      <c r="AIG1457" s="3"/>
      <c r="AIH1457" s="3"/>
      <c r="AII1457" s="3"/>
      <c r="AIJ1457" s="3"/>
      <c r="AIK1457" s="3"/>
      <c r="AIL1457" s="3"/>
      <c r="AIM1457" s="3"/>
      <c r="AIN1457" s="3"/>
      <c r="AIO1457" s="3"/>
      <c r="AIP1457" s="3"/>
      <c r="AIQ1457" s="3"/>
      <c r="AIR1457" s="3"/>
      <c r="AIS1457" s="3"/>
      <c r="AIT1457" s="3"/>
      <c r="AIU1457" s="3"/>
      <c r="AIV1457" s="3"/>
      <c r="AIW1457" s="3"/>
      <c r="AIX1457" s="3"/>
      <c r="AIY1457" s="3"/>
      <c r="AIZ1457" s="3"/>
      <c r="AJA1457" s="3"/>
      <c r="AJB1457" s="3"/>
      <c r="AJC1457" s="3"/>
      <c r="AJD1457" s="3"/>
      <c r="AJE1457" s="3"/>
      <c r="AJF1457" s="3"/>
      <c r="AJG1457" s="3"/>
      <c r="AJH1457" s="3"/>
      <c r="AJI1457" s="3"/>
      <c r="AJJ1457" s="3"/>
      <c r="AJK1457" s="3"/>
      <c r="AJL1457" s="3"/>
      <c r="AJM1457" s="3"/>
      <c r="AJN1457" s="3"/>
      <c r="AJO1457" s="3"/>
      <c r="AJP1457" s="3"/>
      <c r="AJQ1457" s="3"/>
      <c r="AJR1457" s="3"/>
      <c r="AJS1457" s="3"/>
      <c r="AJT1457" s="3"/>
      <c r="AJU1457" s="3"/>
      <c r="AJV1457" s="3"/>
      <c r="AJW1457" s="3"/>
      <c r="AJX1457" s="3"/>
      <c r="AJY1457" s="3"/>
      <c r="AJZ1457" s="3"/>
      <c r="AKA1457" s="3"/>
      <c r="AKB1457" s="3"/>
      <c r="AKC1457" s="3"/>
      <c r="AKD1457" s="3"/>
      <c r="AKE1457" s="3"/>
      <c r="AKF1457" s="3"/>
      <c r="AKG1457" s="3"/>
      <c r="AKH1457" s="3"/>
      <c r="AKI1457" s="3"/>
      <c r="AKJ1457" s="3"/>
      <c r="AKK1457" s="3"/>
      <c r="AKL1457" s="3"/>
      <c r="AKM1457" s="3"/>
      <c r="AKN1457" s="3"/>
      <c r="AKO1457" s="3"/>
      <c r="AKP1457" s="3"/>
      <c r="AKQ1457" s="3"/>
      <c r="AKR1457" s="3"/>
      <c r="AKS1457" s="3"/>
      <c r="AKT1457" s="3"/>
      <c r="AKU1457" s="3"/>
      <c r="AKV1457" s="3"/>
      <c r="AKW1457" s="3"/>
      <c r="AKX1457" s="3"/>
      <c r="AKY1457" s="3"/>
      <c r="AKZ1457" s="3"/>
      <c r="ALA1457" s="3"/>
      <c r="ALB1457" s="3"/>
      <c r="ALC1457" s="3"/>
      <c r="ALD1457" s="3"/>
      <c r="ALE1457" s="3"/>
      <c r="ALF1457" s="3"/>
      <c r="ALG1457" s="3"/>
      <c r="ALH1457" s="3"/>
      <c r="ALI1457" s="3"/>
      <c r="ALJ1457" s="3"/>
      <c r="ALK1457" s="3"/>
      <c r="ALL1457" s="3"/>
      <c r="ALM1457" s="3"/>
      <c r="ALN1457" s="3"/>
      <c r="ALO1457" s="3"/>
      <c r="ALP1457" s="3"/>
      <c r="ALQ1457" s="3"/>
      <c r="ALR1457" s="3"/>
      <c r="ALS1457" s="3"/>
      <c r="ALT1457" s="3"/>
      <c r="ALU1457" s="3"/>
      <c r="ALV1457" s="3"/>
      <c r="ALW1457" s="3"/>
      <c r="ALX1457" s="3"/>
      <c r="ALY1457" s="3"/>
      <c r="ALZ1457" s="3"/>
      <c r="AMA1457" s="3"/>
      <c r="AMB1457" s="3"/>
      <c r="AMC1457" s="3"/>
      <c r="AMD1457" s="3"/>
      <c r="AME1457" s="3"/>
      <c r="AMF1457" s="3"/>
      <c r="AMG1457" s="3"/>
      <c r="AMH1457" s="3"/>
      <c r="AMI1457" s="3"/>
      <c r="AMJ1457" s="3"/>
      <c r="AMK1457" s="3"/>
      <c r="AML1457" s="3"/>
      <c r="AMM1457" s="3"/>
    </row>
    <row r="1458" spans="1:1027" ht="15" customHeight="1">
      <c r="A1458" s="12">
        <v>513</v>
      </c>
      <c r="B1458" s="13" t="s">
        <v>2285</v>
      </c>
      <c r="C1458" s="14"/>
      <c r="D1458" s="14" t="s">
        <v>2284</v>
      </c>
      <c r="E1458" s="14"/>
      <c r="F1458" s="15" t="s">
        <v>22</v>
      </c>
      <c r="G1458" s="21"/>
      <c r="H1458" s="58"/>
      <c r="I1458" s="14"/>
      <c r="J1458" s="14" t="s">
        <v>23</v>
      </c>
      <c r="K1458" s="14"/>
      <c r="L1458" s="14"/>
      <c r="M1458" s="14" t="s">
        <v>1537</v>
      </c>
      <c r="N1458" s="14" t="s">
        <v>25</v>
      </c>
      <c r="O1458" s="14"/>
      <c r="P1458" s="14"/>
      <c r="Q1458" s="14"/>
      <c r="R1458" s="14" t="s">
        <v>1809</v>
      </c>
    </row>
    <row r="1459" spans="1:1027" ht="15" customHeight="1">
      <c r="A1459" s="12">
        <v>1288</v>
      </c>
      <c r="B1459" s="13" t="s">
        <v>2286</v>
      </c>
      <c r="C1459" s="14"/>
      <c r="D1459" s="14" t="s">
        <v>2284</v>
      </c>
      <c r="E1459" s="14"/>
      <c r="F1459" s="15" t="s">
        <v>22</v>
      </c>
      <c r="G1459" s="21"/>
      <c r="H1459" s="58">
        <v>1</v>
      </c>
      <c r="I1459" s="14"/>
      <c r="J1459" s="14" t="s">
        <v>23</v>
      </c>
      <c r="K1459" s="14"/>
      <c r="L1459" s="14"/>
      <c r="M1459" s="14" t="s">
        <v>1534</v>
      </c>
      <c r="N1459" s="25" t="s">
        <v>289</v>
      </c>
      <c r="O1459" s="14" t="s">
        <v>548</v>
      </c>
      <c r="P1459" s="14"/>
      <c r="Q1459" s="14"/>
      <c r="R1459" s="14" t="s">
        <v>1979</v>
      </c>
    </row>
    <row r="1460" spans="1:1027" ht="15" customHeight="1">
      <c r="A1460" s="12">
        <v>2085</v>
      </c>
      <c r="B1460" s="13" t="s">
        <v>2287</v>
      </c>
      <c r="C1460" s="14"/>
      <c r="D1460" s="16">
        <v>484</v>
      </c>
      <c r="E1460" s="16"/>
      <c r="F1460" s="15" t="s">
        <v>22</v>
      </c>
      <c r="G1460" s="18"/>
      <c r="H1460" s="58"/>
      <c r="I1460" s="16"/>
      <c r="J1460" s="14" t="s">
        <v>23</v>
      </c>
      <c r="K1460" s="18"/>
      <c r="L1460" s="18"/>
      <c r="M1460" s="18"/>
      <c r="N1460" s="18"/>
      <c r="O1460" s="18"/>
      <c r="P1460" s="18"/>
      <c r="Q1460" s="18"/>
      <c r="R1460" s="18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</row>
    <row r="1461" spans="1:1027" ht="15" customHeight="1">
      <c r="A1461" s="12">
        <v>514</v>
      </c>
      <c r="B1461" s="13" t="s">
        <v>2288</v>
      </c>
      <c r="C1461" s="14"/>
      <c r="D1461" s="14" t="s">
        <v>2289</v>
      </c>
      <c r="E1461" s="14" t="s">
        <v>92</v>
      </c>
      <c r="F1461" s="15" t="s">
        <v>22</v>
      </c>
      <c r="G1461" s="21"/>
      <c r="H1461" s="58"/>
      <c r="I1461" s="14"/>
      <c r="J1461" s="14" t="s">
        <v>23</v>
      </c>
      <c r="K1461" s="14"/>
      <c r="L1461" s="14"/>
      <c r="M1461" s="14" t="s">
        <v>1537</v>
      </c>
      <c r="N1461" s="25" t="s">
        <v>37</v>
      </c>
      <c r="O1461" s="14" t="s">
        <v>189</v>
      </c>
      <c r="P1461" s="14"/>
      <c r="Q1461" s="14"/>
      <c r="R1461" s="14" t="s">
        <v>1809</v>
      </c>
    </row>
    <row r="1462" spans="1:1027" ht="15" customHeight="1">
      <c r="A1462" s="12">
        <v>1289</v>
      </c>
      <c r="B1462" s="13" t="s">
        <v>2290</v>
      </c>
      <c r="C1462" s="14"/>
      <c r="D1462" s="14" t="s">
        <v>2289</v>
      </c>
      <c r="E1462" s="14" t="s">
        <v>92</v>
      </c>
      <c r="F1462" s="15" t="s">
        <v>22</v>
      </c>
      <c r="G1462" s="21"/>
      <c r="H1462" s="58">
        <v>2</v>
      </c>
      <c r="I1462" s="14"/>
      <c r="J1462" s="14" t="s">
        <v>23</v>
      </c>
      <c r="K1462" s="14"/>
      <c r="L1462" s="14"/>
      <c r="M1462" s="14" t="s">
        <v>1534</v>
      </c>
      <c r="N1462" s="25" t="s">
        <v>37</v>
      </c>
      <c r="O1462" s="14" t="s">
        <v>2291</v>
      </c>
      <c r="P1462" s="14"/>
      <c r="Q1462" s="14"/>
      <c r="R1462" s="14" t="s">
        <v>1979</v>
      </c>
    </row>
    <row r="1463" spans="1:1027" ht="15" customHeight="1">
      <c r="A1463" s="12">
        <v>2086</v>
      </c>
      <c r="B1463" s="13" t="s">
        <v>2292</v>
      </c>
      <c r="C1463" s="14"/>
      <c r="D1463" s="16">
        <v>485</v>
      </c>
      <c r="E1463" s="16" t="s">
        <v>92</v>
      </c>
      <c r="F1463" s="15" t="s">
        <v>22</v>
      </c>
      <c r="G1463" s="18"/>
      <c r="H1463" s="58">
        <v>3</v>
      </c>
      <c r="I1463" s="16"/>
      <c r="J1463" s="14" t="s">
        <v>23</v>
      </c>
      <c r="K1463" s="18"/>
      <c r="L1463" s="18"/>
      <c r="M1463" s="18"/>
      <c r="N1463" s="18"/>
      <c r="O1463" s="18"/>
      <c r="P1463" s="18"/>
      <c r="Q1463" s="18"/>
      <c r="R1463" s="18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</row>
    <row r="1464" spans="1:1027" ht="15" customHeight="1">
      <c r="A1464" s="12">
        <v>515</v>
      </c>
      <c r="B1464" s="13" t="s">
        <v>2293</v>
      </c>
      <c r="C1464" s="14"/>
      <c r="D1464" s="14" t="s">
        <v>2294</v>
      </c>
      <c r="E1464" s="14" t="s">
        <v>172</v>
      </c>
      <c r="F1464" s="15" t="s">
        <v>22</v>
      </c>
      <c r="G1464" s="21"/>
      <c r="H1464" s="58"/>
      <c r="I1464" s="14"/>
      <c r="J1464" s="14" t="s">
        <v>23</v>
      </c>
      <c r="K1464" s="14"/>
      <c r="L1464" s="14"/>
      <c r="M1464" s="14" t="s">
        <v>1537</v>
      </c>
      <c r="N1464" s="14" t="s">
        <v>25</v>
      </c>
      <c r="O1464" s="14"/>
      <c r="P1464" s="14"/>
      <c r="Q1464" s="14"/>
      <c r="R1464" s="14" t="s">
        <v>1809</v>
      </c>
    </row>
    <row r="1465" spans="1:1027" ht="15" customHeight="1">
      <c r="A1465" s="12">
        <v>1290</v>
      </c>
      <c r="B1465" s="13" t="s">
        <v>2295</v>
      </c>
      <c r="C1465" s="14"/>
      <c r="D1465" s="14" t="s">
        <v>2294</v>
      </c>
      <c r="E1465" s="14" t="s">
        <v>172</v>
      </c>
      <c r="F1465" s="15" t="s">
        <v>22</v>
      </c>
      <c r="G1465" s="21"/>
      <c r="H1465" s="58">
        <v>2</v>
      </c>
      <c r="I1465" s="14"/>
      <c r="J1465" s="14" t="s">
        <v>23</v>
      </c>
      <c r="K1465" s="14"/>
      <c r="L1465" s="14"/>
      <c r="M1465" s="14" t="s">
        <v>1534</v>
      </c>
      <c r="N1465" s="14" t="s">
        <v>25</v>
      </c>
      <c r="O1465" s="14"/>
      <c r="P1465" s="14"/>
      <c r="Q1465" s="14"/>
      <c r="R1465" s="14" t="s">
        <v>1979</v>
      </c>
    </row>
    <row r="1466" spans="1:1027" ht="15" customHeight="1">
      <c r="A1466" s="12">
        <v>2087</v>
      </c>
      <c r="B1466" s="13" t="s">
        <v>2296</v>
      </c>
      <c r="C1466" s="14"/>
      <c r="D1466" s="16">
        <v>486</v>
      </c>
      <c r="E1466" s="16" t="s">
        <v>172</v>
      </c>
      <c r="F1466" s="15" t="s">
        <v>22</v>
      </c>
      <c r="G1466" s="18"/>
      <c r="H1466" s="58"/>
      <c r="I1466" s="16"/>
      <c r="J1466" s="14" t="s">
        <v>23</v>
      </c>
      <c r="K1466" s="18"/>
      <c r="L1466" s="18"/>
      <c r="M1466" s="18"/>
      <c r="N1466" s="18"/>
      <c r="O1466" s="18"/>
      <c r="P1466" s="18"/>
      <c r="Q1466" s="18"/>
      <c r="R1466" s="18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</row>
    <row r="1467" spans="1:1027" ht="15" customHeight="1">
      <c r="A1467" s="12">
        <v>516</v>
      </c>
      <c r="B1467" s="13" t="s">
        <v>2297</v>
      </c>
      <c r="C1467" s="14"/>
      <c r="D1467" s="14" t="s">
        <v>2298</v>
      </c>
      <c r="E1467" s="14" t="s">
        <v>172</v>
      </c>
      <c r="F1467" s="15" t="s">
        <v>22</v>
      </c>
      <c r="G1467" s="21"/>
      <c r="H1467" s="58"/>
      <c r="I1467" s="14"/>
      <c r="J1467" s="14" t="s">
        <v>23</v>
      </c>
      <c r="K1467" s="14"/>
      <c r="L1467" s="14"/>
      <c r="M1467" s="14" t="s">
        <v>1537</v>
      </c>
      <c r="N1467" s="25" t="s">
        <v>289</v>
      </c>
      <c r="O1467" s="14" t="s">
        <v>189</v>
      </c>
      <c r="P1467" s="14"/>
      <c r="Q1467" s="14"/>
      <c r="R1467" s="14" t="s">
        <v>1809</v>
      </c>
    </row>
    <row r="1468" spans="1:1027" ht="15" customHeight="1">
      <c r="A1468" s="12">
        <v>1291</v>
      </c>
      <c r="B1468" s="13" t="s">
        <v>2299</v>
      </c>
      <c r="C1468" s="14"/>
      <c r="D1468" s="14" t="s">
        <v>2298</v>
      </c>
      <c r="E1468" s="14" t="s">
        <v>172</v>
      </c>
      <c r="F1468" s="15" t="s">
        <v>22</v>
      </c>
      <c r="G1468" s="21"/>
      <c r="H1468" s="58">
        <v>3</v>
      </c>
      <c r="I1468" s="14"/>
      <c r="J1468" s="14" t="s">
        <v>23</v>
      </c>
      <c r="K1468" s="14"/>
      <c r="L1468" s="14"/>
      <c r="M1468" s="14" t="s">
        <v>1534</v>
      </c>
      <c r="N1468" s="25" t="s">
        <v>37</v>
      </c>
      <c r="O1468" s="14" t="s">
        <v>846</v>
      </c>
      <c r="P1468" s="14"/>
      <c r="Q1468" s="14"/>
      <c r="R1468" s="14" t="s">
        <v>1979</v>
      </c>
    </row>
    <row r="1469" spans="1:1027" ht="15" customHeight="1">
      <c r="A1469" s="12">
        <v>2088</v>
      </c>
      <c r="B1469" s="13" t="s">
        <v>2300</v>
      </c>
      <c r="C1469" s="14"/>
      <c r="D1469" s="16">
        <v>487</v>
      </c>
      <c r="E1469" s="16" t="s">
        <v>172</v>
      </c>
      <c r="F1469" s="15" t="s">
        <v>22</v>
      </c>
      <c r="G1469" s="18"/>
      <c r="H1469" s="58">
        <v>3</v>
      </c>
      <c r="I1469" s="16"/>
      <c r="J1469" s="14" t="s">
        <v>23</v>
      </c>
      <c r="K1469" s="18"/>
      <c r="L1469" s="18"/>
      <c r="M1469" s="18"/>
      <c r="N1469" s="18"/>
      <c r="O1469" s="18"/>
      <c r="P1469" s="18"/>
      <c r="Q1469" s="18"/>
      <c r="R1469" s="18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</row>
    <row r="1470" spans="1:1027" ht="15" customHeight="1">
      <c r="A1470" s="12">
        <v>517</v>
      </c>
      <c r="B1470" s="13" t="s">
        <v>2301</v>
      </c>
      <c r="C1470" s="14"/>
      <c r="D1470" s="14" t="s">
        <v>2302</v>
      </c>
      <c r="E1470" s="14" t="s">
        <v>36</v>
      </c>
      <c r="F1470" s="15" t="s">
        <v>22</v>
      </c>
      <c r="G1470" s="21"/>
      <c r="H1470" s="58">
        <v>1</v>
      </c>
      <c r="I1470" s="14"/>
      <c r="J1470" s="14" t="s">
        <v>23</v>
      </c>
      <c r="K1470" s="14"/>
      <c r="L1470" s="14"/>
      <c r="M1470" s="14" t="s">
        <v>1537</v>
      </c>
      <c r="N1470" s="14" t="s">
        <v>25</v>
      </c>
      <c r="O1470" s="14"/>
      <c r="P1470" s="14"/>
      <c r="Q1470" s="14"/>
      <c r="R1470" s="14" t="s">
        <v>1809</v>
      </c>
    </row>
    <row r="1471" spans="1:1027" ht="15" customHeight="1">
      <c r="A1471" s="12">
        <v>1292</v>
      </c>
      <c r="B1471" s="13" t="s">
        <v>2303</v>
      </c>
      <c r="C1471" s="14"/>
      <c r="D1471" s="14" t="s">
        <v>2302</v>
      </c>
      <c r="E1471" s="14" t="s">
        <v>36</v>
      </c>
      <c r="F1471" s="15" t="s">
        <v>22</v>
      </c>
      <c r="G1471" s="21"/>
      <c r="H1471" s="58">
        <v>3</v>
      </c>
      <c r="I1471" s="14"/>
      <c r="J1471" s="14" t="s">
        <v>23</v>
      </c>
      <c r="K1471" s="14"/>
      <c r="L1471" s="14"/>
      <c r="M1471" s="14" t="s">
        <v>1534</v>
      </c>
      <c r="N1471" s="25" t="s">
        <v>37</v>
      </c>
      <c r="O1471" s="14" t="s">
        <v>112</v>
      </c>
      <c r="P1471" s="14"/>
      <c r="Q1471" s="14"/>
      <c r="R1471" s="14" t="s">
        <v>1979</v>
      </c>
    </row>
    <row r="1472" spans="1:1027" ht="15" customHeight="1">
      <c r="A1472" s="12">
        <v>2089</v>
      </c>
      <c r="B1472" s="13" t="s">
        <v>2304</v>
      </c>
      <c r="C1472" s="14"/>
      <c r="D1472" s="16">
        <v>488</v>
      </c>
      <c r="E1472" s="16" t="s">
        <v>36</v>
      </c>
      <c r="F1472" s="15" t="s">
        <v>22</v>
      </c>
      <c r="G1472" s="18"/>
      <c r="H1472" s="58">
        <v>1</v>
      </c>
      <c r="I1472" s="16"/>
      <c r="J1472" s="14" t="s">
        <v>23</v>
      </c>
      <c r="K1472" s="18"/>
      <c r="L1472" s="18"/>
      <c r="M1472" s="18"/>
      <c r="N1472" s="18"/>
      <c r="O1472" s="18"/>
      <c r="P1472" s="18"/>
      <c r="Q1472" s="18"/>
      <c r="R1472" s="18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</row>
    <row r="1473" spans="1:36" ht="15" customHeight="1">
      <c r="A1473" s="12">
        <v>518</v>
      </c>
      <c r="B1473" s="13" t="s">
        <v>2305</v>
      </c>
      <c r="C1473" s="14"/>
      <c r="D1473" s="14" t="s">
        <v>2306</v>
      </c>
      <c r="E1473" s="14" t="s">
        <v>36</v>
      </c>
      <c r="F1473" s="15" t="s">
        <v>22</v>
      </c>
      <c r="G1473" s="21"/>
      <c r="H1473" s="58"/>
      <c r="I1473" s="14"/>
      <c r="J1473" s="14" t="s">
        <v>23</v>
      </c>
      <c r="K1473" s="14"/>
      <c r="L1473" s="14"/>
      <c r="M1473" s="14" t="s">
        <v>1537</v>
      </c>
      <c r="N1473" s="14" t="s">
        <v>25</v>
      </c>
      <c r="O1473" s="14"/>
      <c r="P1473" s="14"/>
      <c r="Q1473" s="14"/>
      <c r="R1473" s="14" t="s">
        <v>1809</v>
      </c>
    </row>
    <row r="1474" spans="1:36" ht="15" customHeight="1">
      <c r="A1474" s="12">
        <v>1293</v>
      </c>
      <c r="B1474" s="13" t="s">
        <v>2307</v>
      </c>
      <c r="C1474" s="14"/>
      <c r="D1474" s="14" t="s">
        <v>2306</v>
      </c>
      <c r="E1474" s="14" t="s">
        <v>36</v>
      </c>
      <c r="F1474" s="15" t="s">
        <v>22</v>
      </c>
      <c r="G1474" s="21"/>
      <c r="H1474" s="58">
        <v>3</v>
      </c>
      <c r="I1474" s="14"/>
      <c r="J1474" s="14" t="s">
        <v>23</v>
      </c>
      <c r="K1474" s="14"/>
      <c r="L1474" s="14"/>
      <c r="M1474" s="14" t="s">
        <v>1534</v>
      </c>
      <c r="N1474" s="25" t="s">
        <v>37</v>
      </c>
      <c r="O1474" s="14" t="s">
        <v>339</v>
      </c>
      <c r="P1474" s="14"/>
      <c r="Q1474" s="14"/>
      <c r="R1474" s="14" t="s">
        <v>1979</v>
      </c>
    </row>
    <row r="1475" spans="1:36" ht="15" customHeight="1">
      <c r="A1475" s="12">
        <v>2090</v>
      </c>
      <c r="B1475" s="13" t="s">
        <v>2308</v>
      </c>
      <c r="C1475" s="14"/>
      <c r="D1475" s="16">
        <v>489</v>
      </c>
      <c r="E1475" s="16" t="s">
        <v>36</v>
      </c>
      <c r="F1475" s="15" t="s">
        <v>22</v>
      </c>
      <c r="G1475" s="18"/>
      <c r="H1475" s="58"/>
      <c r="I1475" s="16"/>
      <c r="J1475" s="14" t="s">
        <v>23</v>
      </c>
      <c r="K1475" s="18"/>
      <c r="L1475" s="18"/>
      <c r="M1475" s="18"/>
      <c r="N1475" s="18"/>
      <c r="O1475" s="18"/>
      <c r="P1475" s="18"/>
      <c r="Q1475" s="18"/>
      <c r="R1475" s="18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</row>
    <row r="1476" spans="1:36" ht="15" customHeight="1">
      <c r="A1476" s="12">
        <v>519</v>
      </c>
      <c r="B1476" s="13" t="s">
        <v>2309</v>
      </c>
      <c r="C1476" s="14"/>
      <c r="D1476" s="14" t="s">
        <v>2310</v>
      </c>
      <c r="E1476" s="14" t="s">
        <v>36</v>
      </c>
      <c r="F1476" s="15" t="s">
        <v>22</v>
      </c>
      <c r="G1476" s="21"/>
      <c r="H1476" s="58"/>
      <c r="I1476" s="14"/>
      <c r="J1476" s="14" t="s">
        <v>23</v>
      </c>
      <c r="K1476" s="14"/>
      <c r="L1476" s="14"/>
      <c r="M1476" s="14" t="s">
        <v>1537</v>
      </c>
      <c r="N1476" s="25" t="s">
        <v>37</v>
      </c>
      <c r="O1476" s="14" t="s">
        <v>189</v>
      </c>
      <c r="P1476" s="14"/>
      <c r="Q1476" s="14"/>
      <c r="R1476" s="14" t="s">
        <v>1809</v>
      </c>
    </row>
    <row r="1477" spans="1:36" ht="15" customHeight="1">
      <c r="A1477" s="12">
        <v>1294</v>
      </c>
      <c r="B1477" s="13" t="s">
        <v>2311</v>
      </c>
      <c r="C1477" s="14"/>
      <c r="D1477" s="14" t="s">
        <v>2310</v>
      </c>
      <c r="E1477" s="14" t="s">
        <v>36</v>
      </c>
      <c r="F1477" s="15" t="s">
        <v>22</v>
      </c>
      <c r="G1477" s="21"/>
      <c r="H1477" s="58">
        <v>1</v>
      </c>
      <c r="I1477" s="14"/>
      <c r="J1477" s="14" t="s">
        <v>23</v>
      </c>
      <c r="K1477" s="14"/>
      <c r="L1477" s="14"/>
      <c r="M1477" s="14" t="s">
        <v>1534</v>
      </c>
      <c r="N1477" s="14" t="s">
        <v>25</v>
      </c>
      <c r="O1477" s="14"/>
      <c r="P1477" s="14"/>
      <c r="Q1477" s="14"/>
      <c r="R1477" s="14" t="s">
        <v>1979</v>
      </c>
    </row>
    <row r="1478" spans="1:36" ht="15" customHeight="1">
      <c r="A1478" s="12">
        <v>2091</v>
      </c>
      <c r="B1478" s="13" t="s">
        <v>2312</v>
      </c>
      <c r="C1478" s="14"/>
      <c r="D1478" s="16">
        <v>490</v>
      </c>
      <c r="E1478" s="16" t="s">
        <v>36</v>
      </c>
      <c r="F1478" s="15" t="s">
        <v>22</v>
      </c>
      <c r="G1478" s="18"/>
      <c r="H1478" s="58">
        <v>1</v>
      </c>
      <c r="I1478" s="16"/>
      <c r="J1478" s="14" t="s">
        <v>23</v>
      </c>
      <c r="K1478" s="18"/>
      <c r="L1478" s="18"/>
      <c r="M1478" s="18"/>
      <c r="N1478" s="18"/>
      <c r="O1478" s="18"/>
      <c r="P1478" s="18"/>
      <c r="Q1478" s="18"/>
      <c r="R1478" s="18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</row>
    <row r="1479" spans="1:36" ht="15" customHeight="1">
      <c r="A1479" s="12">
        <v>520</v>
      </c>
      <c r="B1479" s="13" t="s">
        <v>2313</v>
      </c>
      <c r="C1479" s="14"/>
      <c r="D1479" s="14" t="s">
        <v>2314</v>
      </c>
      <c r="E1479" s="14" t="s">
        <v>44</v>
      </c>
      <c r="F1479" s="15" t="s">
        <v>22</v>
      </c>
      <c r="G1479" s="21"/>
      <c r="H1479" s="58"/>
      <c r="I1479" s="14"/>
      <c r="J1479" s="14" t="s">
        <v>23</v>
      </c>
      <c r="K1479" s="14"/>
      <c r="L1479" s="14"/>
      <c r="M1479" s="14" t="s">
        <v>1537</v>
      </c>
      <c r="N1479" s="14" t="s">
        <v>25</v>
      </c>
      <c r="O1479" s="14"/>
      <c r="P1479" s="14"/>
      <c r="Q1479" s="14"/>
      <c r="R1479" s="14" t="s">
        <v>1809</v>
      </c>
    </row>
    <row r="1480" spans="1:36" ht="15" customHeight="1">
      <c r="A1480" s="12">
        <v>2092</v>
      </c>
      <c r="B1480" s="13" t="s">
        <v>2315</v>
      </c>
      <c r="C1480" s="14"/>
      <c r="D1480" s="16">
        <v>491</v>
      </c>
      <c r="E1480" s="16" t="s">
        <v>44</v>
      </c>
      <c r="F1480" s="15" t="s">
        <v>22</v>
      </c>
      <c r="G1480" s="18"/>
      <c r="H1480" s="58">
        <v>2</v>
      </c>
      <c r="I1480" s="16"/>
      <c r="J1480" s="14" t="s">
        <v>23</v>
      </c>
      <c r="K1480" s="18"/>
      <c r="L1480" s="18"/>
      <c r="M1480" s="18"/>
      <c r="N1480" s="18"/>
      <c r="O1480" s="18"/>
      <c r="P1480" s="18"/>
      <c r="Q1480" s="18"/>
      <c r="R1480" s="18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</row>
    <row r="1481" spans="1:36" ht="15" customHeight="1">
      <c r="A1481" s="12">
        <v>521</v>
      </c>
      <c r="B1481" s="13" t="s">
        <v>2316</v>
      </c>
      <c r="C1481" s="14"/>
      <c r="D1481" s="14" t="s">
        <v>2317</v>
      </c>
      <c r="E1481" s="14" t="s">
        <v>36</v>
      </c>
      <c r="F1481" s="15" t="s">
        <v>22</v>
      </c>
      <c r="G1481" s="21"/>
      <c r="H1481" s="58"/>
      <c r="I1481" s="14"/>
      <c r="J1481" s="14" t="s">
        <v>23</v>
      </c>
      <c r="K1481" s="14"/>
      <c r="L1481" s="14"/>
      <c r="M1481" s="14" t="s">
        <v>1537</v>
      </c>
      <c r="N1481" s="14" t="s">
        <v>25</v>
      </c>
      <c r="O1481" s="14"/>
      <c r="P1481" s="14"/>
      <c r="Q1481" s="14"/>
      <c r="R1481" s="14" t="s">
        <v>1809</v>
      </c>
    </row>
    <row r="1482" spans="1:36" ht="15" customHeight="1">
      <c r="A1482" s="12">
        <v>1295</v>
      </c>
      <c r="B1482" s="13" t="s">
        <v>2318</v>
      </c>
      <c r="C1482" s="14"/>
      <c r="D1482" s="14" t="s">
        <v>2317</v>
      </c>
      <c r="E1482" s="14" t="s">
        <v>36</v>
      </c>
      <c r="F1482" s="15" t="s">
        <v>22</v>
      </c>
      <c r="G1482" s="21"/>
      <c r="H1482" s="58">
        <v>2</v>
      </c>
      <c r="I1482" s="14"/>
      <c r="J1482" s="14" t="s">
        <v>23</v>
      </c>
      <c r="K1482" s="14"/>
      <c r="L1482" s="14"/>
      <c r="M1482" s="14" t="s">
        <v>1534</v>
      </c>
      <c r="N1482" s="25" t="s">
        <v>37</v>
      </c>
      <c r="O1482" s="14" t="s">
        <v>2319</v>
      </c>
      <c r="P1482" s="14"/>
      <c r="Q1482" s="14"/>
      <c r="R1482" s="14" t="s">
        <v>1979</v>
      </c>
    </row>
    <row r="1483" spans="1:36" ht="15" customHeight="1">
      <c r="A1483" s="12">
        <v>2093</v>
      </c>
      <c r="B1483" s="13" t="s">
        <v>2320</v>
      </c>
      <c r="C1483" s="14"/>
      <c r="D1483" s="16">
        <v>492</v>
      </c>
      <c r="E1483" s="16" t="s">
        <v>36</v>
      </c>
      <c r="F1483" s="15" t="s">
        <v>22</v>
      </c>
      <c r="G1483" s="18"/>
      <c r="H1483" s="58">
        <v>1</v>
      </c>
      <c r="I1483" s="16"/>
      <c r="J1483" s="14" t="s">
        <v>23</v>
      </c>
      <c r="K1483" s="18"/>
      <c r="L1483" s="18"/>
      <c r="M1483" s="18"/>
      <c r="N1483" s="18"/>
      <c r="O1483" s="18"/>
      <c r="P1483" s="18"/>
      <c r="Q1483" s="18"/>
      <c r="R1483" s="18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</row>
    <row r="1484" spans="1:36" ht="15" customHeight="1">
      <c r="A1484" s="12">
        <v>522</v>
      </c>
      <c r="B1484" s="13" t="s">
        <v>2321</v>
      </c>
      <c r="C1484" s="14"/>
      <c r="D1484" s="14" t="s">
        <v>2322</v>
      </c>
      <c r="E1484" s="14" t="s">
        <v>172</v>
      </c>
      <c r="F1484" s="15" t="s">
        <v>22</v>
      </c>
      <c r="G1484" s="21"/>
      <c r="H1484" s="58"/>
      <c r="I1484" s="14"/>
      <c r="J1484" s="14" t="s">
        <v>23</v>
      </c>
      <c r="K1484" s="14"/>
      <c r="L1484" s="14"/>
      <c r="M1484" s="14" t="s">
        <v>1537</v>
      </c>
      <c r="N1484" s="14" t="s">
        <v>25</v>
      </c>
      <c r="O1484" s="14"/>
      <c r="P1484" s="14"/>
      <c r="Q1484" s="14"/>
      <c r="R1484" s="14" t="s">
        <v>1809</v>
      </c>
    </row>
    <row r="1485" spans="1:36" ht="15" customHeight="1">
      <c r="A1485" s="12">
        <v>1296</v>
      </c>
      <c r="B1485" s="13" t="s">
        <v>2323</v>
      </c>
      <c r="C1485" s="14"/>
      <c r="D1485" s="14" t="s">
        <v>2322</v>
      </c>
      <c r="E1485" s="44" t="s">
        <v>172</v>
      </c>
      <c r="F1485" s="15" t="s">
        <v>22</v>
      </c>
      <c r="G1485" s="21"/>
      <c r="H1485" s="58">
        <v>1</v>
      </c>
      <c r="I1485" s="14"/>
      <c r="J1485" s="14" t="s">
        <v>23</v>
      </c>
      <c r="K1485" s="14"/>
      <c r="L1485" s="14"/>
      <c r="M1485" s="14" t="s">
        <v>1534</v>
      </c>
      <c r="N1485" s="14" t="s">
        <v>25</v>
      </c>
      <c r="O1485" s="14"/>
      <c r="P1485" s="14"/>
      <c r="Q1485" s="14"/>
      <c r="R1485" s="14" t="s">
        <v>1979</v>
      </c>
    </row>
    <row r="1486" spans="1:36" ht="15" customHeight="1">
      <c r="A1486" s="12">
        <v>2094</v>
      </c>
      <c r="B1486" s="13" t="s">
        <v>2324</v>
      </c>
      <c r="C1486" s="14"/>
      <c r="D1486" s="16">
        <v>493</v>
      </c>
      <c r="E1486" s="45" t="s">
        <v>172</v>
      </c>
      <c r="F1486" s="15" t="s">
        <v>22</v>
      </c>
      <c r="G1486" s="18"/>
      <c r="H1486" s="58">
        <v>1</v>
      </c>
      <c r="I1486" s="16"/>
      <c r="J1486" s="14" t="s">
        <v>23</v>
      </c>
      <c r="K1486" s="18"/>
      <c r="L1486" s="18"/>
      <c r="M1486" s="18"/>
      <c r="N1486" s="18"/>
      <c r="O1486" s="18"/>
      <c r="P1486" s="18"/>
      <c r="Q1486" s="18"/>
      <c r="R1486" s="18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</row>
    <row r="1487" spans="1:36" ht="15" customHeight="1">
      <c r="A1487" s="12">
        <v>523</v>
      </c>
      <c r="B1487" s="13" t="s">
        <v>2325</v>
      </c>
      <c r="C1487" s="14"/>
      <c r="D1487" s="14" t="s">
        <v>2326</v>
      </c>
      <c r="E1487" s="14" t="s">
        <v>580</v>
      </c>
      <c r="F1487" s="15" t="s">
        <v>22</v>
      </c>
      <c r="G1487" s="21"/>
      <c r="H1487" s="58"/>
      <c r="I1487" s="14"/>
      <c r="J1487" s="14" t="s">
        <v>23</v>
      </c>
      <c r="K1487" s="14"/>
      <c r="L1487" s="14"/>
      <c r="M1487" s="14" t="s">
        <v>1537</v>
      </c>
      <c r="N1487" s="25" t="s">
        <v>289</v>
      </c>
      <c r="O1487" s="14" t="s">
        <v>45</v>
      </c>
      <c r="P1487" s="14"/>
      <c r="Q1487" s="14"/>
      <c r="R1487" s="14" t="s">
        <v>1809</v>
      </c>
    </row>
    <row r="1488" spans="1:36" ht="15" customHeight="1">
      <c r="A1488" s="12">
        <v>1297</v>
      </c>
      <c r="B1488" s="13" t="s">
        <v>2327</v>
      </c>
      <c r="C1488" s="14"/>
      <c r="D1488" s="14" t="s">
        <v>2326</v>
      </c>
      <c r="E1488" s="14" t="s">
        <v>580</v>
      </c>
      <c r="F1488" s="15" t="s">
        <v>22</v>
      </c>
      <c r="G1488" s="21"/>
      <c r="H1488" s="58">
        <v>1</v>
      </c>
      <c r="I1488" s="14"/>
      <c r="J1488" s="14" t="s">
        <v>23</v>
      </c>
      <c r="K1488" s="14"/>
      <c r="L1488" s="14"/>
      <c r="M1488" s="14" t="s">
        <v>1534</v>
      </c>
      <c r="N1488" s="14" t="s">
        <v>25</v>
      </c>
      <c r="O1488" s="14"/>
      <c r="P1488" s="14"/>
      <c r="Q1488" s="14"/>
      <c r="R1488" s="14" t="s">
        <v>1979</v>
      </c>
    </row>
    <row r="1489" spans="1:36" ht="15" customHeight="1">
      <c r="A1489" s="12">
        <v>2095</v>
      </c>
      <c r="B1489" s="13" t="s">
        <v>2328</v>
      </c>
      <c r="C1489" s="14"/>
      <c r="D1489" s="16">
        <v>494</v>
      </c>
      <c r="E1489" s="16" t="s">
        <v>580</v>
      </c>
      <c r="F1489" s="15" t="s">
        <v>22</v>
      </c>
      <c r="G1489" s="18"/>
      <c r="H1489" s="58">
        <v>1</v>
      </c>
      <c r="I1489" s="16"/>
      <c r="J1489" s="14" t="s">
        <v>23</v>
      </c>
      <c r="K1489" s="18"/>
      <c r="L1489" s="18"/>
      <c r="M1489" s="18"/>
      <c r="N1489" s="18"/>
      <c r="O1489" s="18"/>
      <c r="P1489" s="18"/>
      <c r="Q1489" s="18"/>
      <c r="R1489" s="18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</row>
    <row r="1490" spans="1:36" ht="15" customHeight="1">
      <c r="A1490" s="12">
        <v>524</v>
      </c>
      <c r="B1490" s="13" t="s">
        <v>2329</v>
      </c>
      <c r="C1490" s="14"/>
      <c r="D1490" s="14" t="s">
        <v>2330</v>
      </c>
      <c r="E1490" s="14" t="s">
        <v>36</v>
      </c>
      <c r="F1490" s="15" t="s">
        <v>22</v>
      </c>
      <c r="G1490" s="21"/>
      <c r="H1490" s="58">
        <v>1</v>
      </c>
      <c r="I1490" s="14"/>
      <c r="J1490" s="14" t="s">
        <v>23</v>
      </c>
      <c r="K1490" s="14"/>
      <c r="L1490" s="14"/>
      <c r="M1490" s="14" t="s">
        <v>1537</v>
      </c>
      <c r="N1490" s="25" t="s">
        <v>37</v>
      </c>
      <c r="O1490" s="14" t="s">
        <v>185</v>
      </c>
      <c r="P1490" s="14"/>
      <c r="Q1490" s="14"/>
      <c r="R1490" s="14" t="s">
        <v>1809</v>
      </c>
    </row>
    <row r="1491" spans="1:36" ht="15" customHeight="1">
      <c r="A1491" s="12">
        <v>1298</v>
      </c>
      <c r="B1491" s="13" t="s">
        <v>2331</v>
      </c>
      <c r="C1491" s="14"/>
      <c r="D1491" s="14" t="s">
        <v>2330</v>
      </c>
      <c r="E1491" s="14" t="s">
        <v>36</v>
      </c>
      <c r="F1491" s="15" t="s">
        <v>22</v>
      </c>
      <c r="G1491" s="21"/>
      <c r="H1491" s="58">
        <v>3</v>
      </c>
      <c r="I1491" s="14"/>
      <c r="J1491" s="14" t="s">
        <v>23</v>
      </c>
      <c r="K1491" s="14"/>
      <c r="L1491" s="14"/>
      <c r="M1491" s="14" t="s">
        <v>1534</v>
      </c>
      <c r="N1491" s="25" t="s">
        <v>37</v>
      </c>
      <c r="O1491" s="14" t="s">
        <v>2332</v>
      </c>
      <c r="P1491" s="14"/>
      <c r="Q1491" s="14"/>
      <c r="R1491" s="14" t="s">
        <v>2333</v>
      </c>
    </row>
    <row r="1492" spans="1:36" ht="15" customHeight="1">
      <c r="A1492" s="12">
        <v>2096</v>
      </c>
      <c r="B1492" s="13" t="s">
        <v>2334</v>
      </c>
      <c r="C1492" s="14"/>
      <c r="D1492" s="16">
        <v>495</v>
      </c>
      <c r="E1492" s="16" t="s">
        <v>36</v>
      </c>
      <c r="F1492" s="15" t="s">
        <v>22</v>
      </c>
      <c r="G1492" s="18"/>
      <c r="H1492" s="58">
        <v>3</v>
      </c>
      <c r="I1492" s="16"/>
      <c r="J1492" s="14" t="s">
        <v>23</v>
      </c>
      <c r="K1492" s="18"/>
      <c r="L1492" s="18"/>
      <c r="M1492" s="18"/>
      <c r="N1492" s="18"/>
      <c r="O1492" s="18"/>
      <c r="P1492" s="18"/>
      <c r="Q1492" s="18"/>
      <c r="R1492" s="18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</row>
    <row r="1493" spans="1:36" ht="15" customHeight="1">
      <c r="A1493" s="12">
        <v>525</v>
      </c>
      <c r="B1493" s="13" t="s">
        <v>2335</v>
      </c>
      <c r="C1493" s="14"/>
      <c r="D1493" s="14" t="s">
        <v>2336</v>
      </c>
      <c r="E1493" s="14" t="s">
        <v>21</v>
      </c>
      <c r="F1493" s="15" t="s">
        <v>22</v>
      </c>
      <c r="G1493" s="21"/>
      <c r="H1493" s="58"/>
      <c r="I1493" s="14"/>
      <c r="J1493" s="14" t="s">
        <v>23</v>
      </c>
      <c r="K1493" s="14"/>
      <c r="L1493" s="14"/>
      <c r="M1493" s="14" t="s">
        <v>1537</v>
      </c>
      <c r="N1493" s="14" t="s">
        <v>25</v>
      </c>
      <c r="O1493" s="14"/>
      <c r="P1493" s="14"/>
      <c r="Q1493" s="14"/>
      <c r="R1493" s="14" t="s">
        <v>1809</v>
      </c>
    </row>
    <row r="1494" spans="1:36" ht="15" customHeight="1">
      <c r="A1494" s="12">
        <v>1538</v>
      </c>
      <c r="B1494" s="13" t="s">
        <v>2337</v>
      </c>
      <c r="C1494" s="14"/>
      <c r="D1494" s="14" t="s">
        <v>2336</v>
      </c>
      <c r="E1494" s="14" t="s">
        <v>21</v>
      </c>
      <c r="F1494" s="15" t="s">
        <v>22</v>
      </c>
      <c r="G1494" s="14"/>
      <c r="H1494" s="58">
        <v>2</v>
      </c>
      <c r="I1494" s="14"/>
      <c r="J1494" s="14" t="s">
        <v>23</v>
      </c>
      <c r="K1494" s="14"/>
      <c r="L1494" s="14"/>
      <c r="M1494" s="14" t="s">
        <v>650</v>
      </c>
      <c r="N1494" s="14" t="s">
        <v>25</v>
      </c>
      <c r="O1494" s="14"/>
      <c r="P1494" s="14"/>
      <c r="Q1494" s="14"/>
      <c r="R1494" s="14" t="s">
        <v>2338</v>
      </c>
    </row>
    <row r="1495" spans="1:36" ht="15" customHeight="1">
      <c r="A1495" s="12">
        <v>2097</v>
      </c>
      <c r="B1495" s="13" t="s">
        <v>2339</v>
      </c>
      <c r="C1495" s="14"/>
      <c r="D1495" s="16">
        <v>496</v>
      </c>
      <c r="E1495" s="14" t="s">
        <v>21</v>
      </c>
      <c r="F1495" s="15" t="s">
        <v>22</v>
      </c>
      <c r="G1495" s="18"/>
      <c r="H1495" s="58"/>
      <c r="I1495" s="16"/>
      <c r="J1495" s="14" t="s">
        <v>23</v>
      </c>
      <c r="K1495" s="18"/>
      <c r="L1495" s="18"/>
      <c r="M1495" s="18"/>
      <c r="N1495" s="18"/>
      <c r="O1495" s="18"/>
      <c r="P1495" s="18"/>
      <c r="Q1495" s="18"/>
      <c r="R1495" s="18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</row>
    <row r="1496" spans="1:36" ht="15" customHeight="1">
      <c r="A1496" s="12">
        <v>526</v>
      </c>
      <c r="B1496" s="13" t="s">
        <v>2340</v>
      </c>
      <c r="C1496" s="14"/>
      <c r="D1496" s="14" t="s">
        <v>2341</v>
      </c>
      <c r="E1496" s="14" t="s">
        <v>137</v>
      </c>
      <c r="F1496" s="15" t="s">
        <v>22</v>
      </c>
      <c r="G1496" s="21"/>
      <c r="H1496" s="58"/>
      <c r="I1496" s="14"/>
      <c r="J1496" s="14" t="s">
        <v>23</v>
      </c>
      <c r="K1496" s="14"/>
      <c r="L1496" s="14"/>
      <c r="M1496" s="14" t="s">
        <v>1537</v>
      </c>
      <c r="N1496" s="14" t="s">
        <v>25</v>
      </c>
      <c r="O1496" s="14"/>
      <c r="P1496" s="14"/>
      <c r="Q1496" s="14"/>
      <c r="R1496" s="14" t="s">
        <v>1809</v>
      </c>
    </row>
    <row r="1497" spans="1:36" ht="15" customHeight="1">
      <c r="A1497" s="12">
        <v>1539</v>
      </c>
      <c r="B1497" s="13" t="s">
        <v>2342</v>
      </c>
      <c r="C1497" s="14"/>
      <c r="D1497" s="14" t="s">
        <v>2341</v>
      </c>
      <c r="E1497" s="14" t="s">
        <v>137</v>
      </c>
      <c r="F1497" s="15" t="s">
        <v>22</v>
      </c>
      <c r="G1497" s="14"/>
      <c r="H1497" s="58">
        <v>3</v>
      </c>
      <c r="I1497" s="14"/>
      <c r="J1497" s="14" t="s">
        <v>23</v>
      </c>
      <c r="K1497" s="14"/>
      <c r="L1497" s="14"/>
      <c r="M1497" s="14" t="s">
        <v>650</v>
      </c>
      <c r="N1497" s="25" t="s">
        <v>289</v>
      </c>
      <c r="O1497" s="14" t="s">
        <v>2343</v>
      </c>
      <c r="P1497" s="14"/>
      <c r="Q1497" s="14"/>
      <c r="R1497" s="14" t="s">
        <v>2338</v>
      </c>
    </row>
    <row r="1498" spans="1:36" ht="15" customHeight="1">
      <c r="A1498" s="12">
        <v>2098</v>
      </c>
      <c r="B1498" s="13" t="s">
        <v>2344</v>
      </c>
      <c r="C1498" s="14"/>
      <c r="D1498" s="16">
        <v>497</v>
      </c>
      <c r="E1498" s="14" t="s">
        <v>137</v>
      </c>
      <c r="F1498" s="15" t="s">
        <v>22</v>
      </c>
      <c r="G1498" s="18"/>
      <c r="H1498" s="58">
        <v>3</v>
      </c>
      <c r="I1498" s="16"/>
      <c r="J1498" s="14" t="s">
        <v>23</v>
      </c>
      <c r="K1498" s="18"/>
      <c r="L1498" s="18"/>
      <c r="M1498" s="18"/>
      <c r="N1498" s="18"/>
      <c r="O1498" s="18"/>
      <c r="P1498" s="18"/>
      <c r="Q1498" s="18"/>
      <c r="R1498" s="18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</row>
    <row r="1499" spans="1:36" ht="15" customHeight="1">
      <c r="A1499" s="12">
        <v>527</v>
      </c>
      <c r="B1499" s="13" t="s">
        <v>2345</v>
      </c>
      <c r="C1499" s="14"/>
      <c r="D1499" s="14" t="s">
        <v>2346</v>
      </c>
      <c r="E1499" s="14" t="s">
        <v>2024</v>
      </c>
      <c r="F1499" s="15" t="s">
        <v>22</v>
      </c>
      <c r="G1499" s="21"/>
      <c r="H1499" s="58"/>
      <c r="I1499" s="14"/>
      <c r="J1499" s="14" t="s">
        <v>23</v>
      </c>
      <c r="K1499" s="14"/>
      <c r="L1499" s="14"/>
      <c r="M1499" s="14" t="s">
        <v>1537</v>
      </c>
      <c r="N1499" s="14" t="s">
        <v>25</v>
      </c>
      <c r="O1499" s="14"/>
      <c r="P1499" s="14"/>
      <c r="Q1499" s="14"/>
      <c r="R1499" s="14" t="s">
        <v>1809</v>
      </c>
    </row>
    <row r="1500" spans="1:36" ht="15" customHeight="1">
      <c r="A1500" s="12">
        <v>1540</v>
      </c>
      <c r="B1500" s="13" t="s">
        <v>2347</v>
      </c>
      <c r="C1500" s="14"/>
      <c r="D1500" s="14" t="s">
        <v>2346</v>
      </c>
      <c r="E1500" s="14" t="s">
        <v>2024</v>
      </c>
      <c r="F1500" s="15" t="s">
        <v>22</v>
      </c>
      <c r="G1500" s="14"/>
      <c r="H1500" s="58">
        <v>1</v>
      </c>
      <c r="I1500" s="14"/>
      <c r="J1500" s="14" t="s">
        <v>23</v>
      </c>
      <c r="K1500" s="14"/>
      <c r="L1500" s="14"/>
      <c r="M1500" s="14" t="s">
        <v>650</v>
      </c>
      <c r="N1500" s="14" t="s">
        <v>25</v>
      </c>
      <c r="O1500" s="14"/>
      <c r="P1500" s="14"/>
      <c r="Q1500" s="14"/>
      <c r="R1500" s="14" t="s">
        <v>2338</v>
      </c>
    </row>
    <row r="1501" spans="1:36" ht="15" customHeight="1">
      <c r="A1501" s="12">
        <v>2099</v>
      </c>
      <c r="B1501" s="13" t="s">
        <v>2348</v>
      </c>
      <c r="C1501" s="14"/>
      <c r="D1501" s="16">
        <v>498</v>
      </c>
      <c r="E1501" s="14" t="s">
        <v>2024</v>
      </c>
      <c r="F1501" s="15" t="s">
        <v>22</v>
      </c>
      <c r="G1501" s="18"/>
      <c r="H1501" s="58">
        <v>1</v>
      </c>
      <c r="I1501" s="16"/>
      <c r="J1501" s="14" t="s">
        <v>23</v>
      </c>
      <c r="K1501" s="18"/>
      <c r="L1501" s="18"/>
      <c r="M1501" s="18"/>
      <c r="N1501" s="18"/>
      <c r="O1501" s="18"/>
      <c r="P1501" s="18"/>
      <c r="Q1501" s="18"/>
      <c r="R1501" s="18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</row>
    <row r="1502" spans="1:36" ht="15" customHeight="1">
      <c r="A1502" s="12">
        <v>528</v>
      </c>
      <c r="B1502" s="13" t="s">
        <v>2349</v>
      </c>
      <c r="C1502" s="14"/>
      <c r="D1502" s="14" t="s">
        <v>2350</v>
      </c>
      <c r="E1502" s="14" t="s">
        <v>1200</v>
      </c>
      <c r="F1502" s="15" t="s">
        <v>22</v>
      </c>
      <c r="G1502" s="21"/>
      <c r="H1502" s="58"/>
      <c r="I1502" s="14"/>
      <c r="J1502" s="14" t="s">
        <v>23</v>
      </c>
      <c r="K1502" s="14"/>
      <c r="L1502" s="14"/>
      <c r="M1502" s="14" t="s">
        <v>1537</v>
      </c>
      <c r="N1502" s="14" t="s">
        <v>25</v>
      </c>
      <c r="O1502" s="14"/>
      <c r="P1502" s="14"/>
      <c r="Q1502" s="14"/>
      <c r="R1502" s="14" t="s">
        <v>1809</v>
      </c>
    </row>
    <row r="1503" spans="1:36" ht="15" customHeight="1">
      <c r="A1503" s="12">
        <v>1541</v>
      </c>
      <c r="B1503" s="13" t="s">
        <v>2351</v>
      </c>
      <c r="C1503" s="14"/>
      <c r="D1503" s="14" t="s">
        <v>2350</v>
      </c>
      <c r="E1503" s="14" t="s">
        <v>115</v>
      </c>
      <c r="F1503" s="15" t="s">
        <v>22</v>
      </c>
      <c r="G1503" s="14"/>
      <c r="H1503" s="58">
        <v>1</v>
      </c>
      <c r="I1503" s="14"/>
      <c r="J1503" s="14" t="s">
        <v>23</v>
      </c>
      <c r="K1503" s="14"/>
      <c r="L1503" s="14"/>
      <c r="M1503" s="14" t="s">
        <v>650</v>
      </c>
      <c r="N1503" s="14" t="s">
        <v>25</v>
      </c>
      <c r="O1503" s="14"/>
      <c r="P1503" s="14"/>
      <c r="Q1503" s="14"/>
      <c r="R1503" s="14" t="s">
        <v>2338</v>
      </c>
    </row>
    <row r="1504" spans="1:36" ht="15" customHeight="1">
      <c r="A1504" s="12">
        <v>2100</v>
      </c>
      <c r="B1504" s="13" t="s">
        <v>2352</v>
      </c>
      <c r="C1504" s="14"/>
      <c r="D1504" s="16">
        <v>499</v>
      </c>
      <c r="E1504" s="16" t="s">
        <v>115</v>
      </c>
      <c r="F1504" s="15" t="s">
        <v>22</v>
      </c>
      <c r="G1504" s="18"/>
      <c r="H1504" s="58"/>
      <c r="I1504" s="16"/>
      <c r="J1504" s="14" t="s">
        <v>23</v>
      </c>
      <c r="K1504" s="18"/>
      <c r="L1504" s="18"/>
      <c r="M1504" s="18"/>
      <c r="N1504" s="18"/>
      <c r="O1504" s="18"/>
      <c r="P1504" s="18"/>
      <c r="Q1504" s="18"/>
      <c r="R1504" s="18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</row>
    <row r="1505" spans="1:36" ht="15" customHeight="1">
      <c r="A1505" s="12">
        <v>529</v>
      </c>
      <c r="B1505" s="13" t="s">
        <v>2353</v>
      </c>
      <c r="C1505" s="14"/>
      <c r="D1505" s="14" t="s">
        <v>2354</v>
      </c>
      <c r="E1505" s="14" t="s">
        <v>2355</v>
      </c>
      <c r="F1505" s="15" t="s">
        <v>22</v>
      </c>
      <c r="G1505" s="21"/>
      <c r="H1505" s="58"/>
      <c r="I1505" s="14"/>
      <c r="J1505" s="14" t="s">
        <v>23</v>
      </c>
      <c r="K1505" s="14"/>
      <c r="L1505" s="14"/>
      <c r="M1505" s="14" t="s">
        <v>1537</v>
      </c>
      <c r="N1505" s="25" t="s">
        <v>289</v>
      </c>
      <c r="O1505" s="14" t="s">
        <v>45</v>
      </c>
      <c r="P1505" s="14"/>
      <c r="Q1505" s="14"/>
      <c r="R1505" s="14" t="s">
        <v>1809</v>
      </c>
    </row>
    <row r="1506" spans="1:36" ht="15" customHeight="1">
      <c r="A1506" s="12">
        <v>1542</v>
      </c>
      <c r="B1506" s="13" t="s">
        <v>2356</v>
      </c>
      <c r="C1506" s="14"/>
      <c r="D1506" s="14" t="s">
        <v>2354</v>
      </c>
      <c r="E1506" s="14" t="s">
        <v>2355</v>
      </c>
      <c r="F1506" s="15" t="s">
        <v>22</v>
      </c>
      <c r="G1506" s="14"/>
      <c r="H1506" s="58">
        <v>1</v>
      </c>
      <c r="I1506" s="14"/>
      <c r="J1506" s="14" t="s">
        <v>23</v>
      </c>
      <c r="K1506" s="14"/>
      <c r="L1506" s="14"/>
      <c r="M1506" s="14" t="s">
        <v>650</v>
      </c>
      <c r="N1506" s="25" t="s">
        <v>37</v>
      </c>
      <c r="O1506" s="14" t="s">
        <v>2291</v>
      </c>
      <c r="P1506" s="14"/>
      <c r="Q1506" s="14"/>
      <c r="R1506" s="14" t="s">
        <v>2338</v>
      </c>
    </row>
    <row r="1507" spans="1:36" ht="15.75" customHeight="1">
      <c r="A1507" s="12">
        <v>2101</v>
      </c>
      <c r="B1507" s="13" t="s">
        <v>2357</v>
      </c>
      <c r="C1507" s="14"/>
      <c r="D1507" s="16">
        <v>500</v>
      </c>
      <c r="E1507" s="14" t="s">
        <v>2355</v>
      </c>
      <c r="F1507" s="15" t="s">
        <v>22</v>
      </c>
      <c r="G1507" s="18"/>
      <c r="H1507" s="58"/>
      <c r="I1507" s="16"/>
      <c r="J1507" s="14" t="s">
        <v>23</v>
      </c>
      <c r="K1507" s="18"/>
      <c r="L1507" s="18"/>
      <c r="M1507" s="18"/>
      <c r="N1507" s="18"/>
      <c r="O1507" s="18"/>
      <c r="P1507" s="18"/>
      <c r="Q1507" s="18"/>
      <c r="R1507" s="18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</row>
    <row r="1508" spans="1:36" ht="15" customHeight="1">
      <c r="A1508" s="12">
        <v>530</v>
      </c>
      <c r="B1508" s="13" t="s">
        <v>2358</v>
      </c>
      <c r="C1508" s="14"/>
      <c r="D1508" s="14" t="s">
        <v>2359</v>
      </c>
      <c r="E1508" s="14" t="s">
        <v>215</v>
      </c>
      <c r="F1508" s="15" t="s">
        <v>22</v>
      </c>
      <c r="G1508" s="21"/>
      <c r="H1508" s="58"/>
      <c r="I1508" s="14"/>
      <c r="J1508" s="14" t="s">
        <v>23</v>
      </c>
      <c r="K1508" s="14"/>
      <c r="L1508" s="14"/>
      <c r="M1508" s="14" t="s">
        <v>1537</v>
      </c>
      <c r="N1508" s="25" t="s">
        <v>37</v>
      </c>
      <c r="O1508" s="14" t="s">
        <v>80</v>
      </c>
      <c r="P1508" s="14"/>
      <c r="Q1508" s="14"/>
      <c r="R1508" s="14" t="s">
        <v>1809</v>
      </c>
    </row>
    <row r="1509" spans="1:36" ht="15" customHeight="1">
      <c r="A1509" s="12">
        <v>1543</v>
      </c>
      <c r="B1509" s="13" t="s">
        <v>2360</v>
      </c>
      <c r="C1509" s="14"/>
      <c r="D1509" s="14" t="s">
        <v>2359</v>
      </c>
      <c r="E1509" s="14" t="s">
        <v>215</v>
      </c>
      <c r="F1509" s="15" t="s">
        <v>22</v>
      </c>
      <c r="G1509" s="14"/>
      <c r="H1509" s="58">
        <v>4</v>
      </c>
      <c r="I1509" s="14"/>
      <c r="J1509" s="14" t="s">
        <v>23</v>
      </c>
      <c r="K1509" s="14"/>
      <c r="L1509" s="14"/>
      <c r="M1509" s="14" t="s">
        <v>650</v>
      </c>
      <c r="N1509" s="25" t="s">
        <v>37</v>
      </c>
      <c r="O1509" s="14" t="s">
        <v>2361</v>
      </c>
      <c r="P1509" s="14"/>
      <c r="Q1509" s="14"/>
      <c r="R1509" s="14" t="s">
        <v>2338</v>
      </c>
    </row>
    <row r="1510" spans="1:36" ht="15" customHeight="1">
      <c r="A1510" s="12">
        <v>2102</v>
      </c>
      <c r="B1510" s="13" t="s">
        <v>2362</v>
      </c>
      <c r="C1510" s="14"/>
      <c r="D1510" s="16">
        <v>501</v>
      </c>
      <c r="E1510" s="14" t="s">
        <v>215</v>
      </c>
      <c r="F1510" s="15" t="s">
        <v>22</v>
      </c>
      <c r="G1510" s="18"/>
      <c r="H1510" s="58"/>
      <c r="I1510" s="16"/>
      <c r="J1510" s="14" t="s">
        <v>23</v>
      </c>
      <c r="K1510" s="18"/>
      <c r="L1510" s="18"/>
      <c r="M1510" s="18"/>
      <c r="N1510" s="18"/>
      <c r="O1510" s="18"/>
      <c r="P1510" s="18"/>
      <c r="Q1510" s="18"/>
      <c r="R1510" s="18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</row>
    <row r="1511" spans="1:36" ht="15" customHeight="1">
      <c r="A1511" s="12">
        <v>531</v>
      </c>
      <c r="B1511" s="13" t="s">
        <v>2363</v>
      </c>
      <c r="C1511" s="14"/>
      <c r="D1511" s="14" t="s">
        <v>2364</v>
      </c>
      <c r="E1511" s="14" t="s">
        <v>1961</v>
      </c>
      <c r="F1511" s="15" t="s">
        <v>22</v>
      </c>
      <c r="G1511" s="21"/>
      <c r="H1511" s="58"/>
      <c r="I1511" s="14"/>
      <c r="J1511" s="14" t="s">
        <v>23</v>
      </c>
      <c r="K1511" s="14"/>
      <c r="L1511" s="14"/>
      <c r="M1511" s="14" t="s">
        <v>1537</v>
      </c>
      <c r="N1511" s="14" t="s">
        <v>25</v>
      </c>
      <c r="O1511" s="14"/>
      <c r="P1511" s="14"/>
      <c r="Q1511" s="14"/>
      <c r="R1511" s="14" t="s">
        <v>1809</v>
      </c>
    </row>
    <row r="1512" spans="1:36" ht="15" customHeight="1">
      <c r="A1512" s="12">
        <v>1544</v>
      </c>
      <c r="B1512" s="13" t="s">
        <v>2365</v>
      </c>
      <c r="C1512" s="14"/>
      <c r="D1512" s="14" t="s">
        <v>2364</v>
      </c>
      <c r="E1512" s="14" t="s">
        <v>1961</v>
      </c>
      <c r="F1512" s="15" t="s">
        <v>22</v>
      </c>
      <c r="G1512" s="14"/>
      <c r="H1512" s="58">
        <v>0</v>
      </c>
      <c r="I1512" s="14"/>
      <c r="J1512" s="14" t="s">
        <v>23</v>
      </c>
      <c r="K1512" s="14"/>
      <c r="L1512" s="14"/>
      <c r="M1512" s="14" t="s">
        <v>650</v>
      </c>
      <c r="N1512" s="14" t="s">
        <v>25</v>
      </c>
      <c r="O1512" s="14"/>
      <c r="P1512" s="14"/>
      <c r="Q1512" s="14"/>
      <c r="R1512" s="14" t="s">
        <v>2338</v>
      </c>
    </row>
    <row r="1513" spans="1:36" ht="15" customHeight="1">
      <c r="A1513" s="12">
        <v>2103</v>
      </c>
      <c r="B1513" s="13" t="s">
        <v>2366</v>
      </c>
      <c r="C1513" s="14"/>
      <c r="D1513" s="16">
        <v>502</v>
      </c>
      <c r="E1513" s="16" t="s">
        <v>1961</v>
      </c>
      <c r="F1513" s="15" t="s">
        <v>22</v>
      </c>
      <c r="G1513" s="18"/>
      <c r="H1513" s="58"/>
      <c r="I1513" s="16"/>
      <c r="J1513" s="14" t="s">
        <v>23</v>
      </c>
      <c r="K1513" s="18"/>
      <c r="L1513" s="18"/>
      <c r="M1513" s="18"/>
      <c r="N1513" s="18"/>
      <c r="O1513" s="18"/>
      <c r="P1513" s="18"/>
      <c r="Q1513" s="18"/>
      <c r="R1513" s="18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</row>
    <row r="1514" spans="1:36" ht="15" customHeight="1">
      <c r="A1514" s="12">
        <v>532</v>
      </c>
      <c r="B1514" s="13" t="s">
        <v>2367</v>
      </c>
      <c r="C1514" s="14"/>
      <c r="D1514" s="14" t="s">
        <v>2368</v>
      </c>
      <c r="E1514" s="14" t="s">
        <v>21</v>
      </c>
      <c r="F1514" s="15" t="s">
        <v>22</v>
      </c>
      <c r="G1514" s="21"/>
      <c r="H1514" s="58"/>
      <c r="I1514" s="14"/>
      <c r="J1514" s="14" t="s">
        <v>23</v>
      </c>
      <c r="K1514" s="14"/>
      <c r="L1514" s="14"/>
      <c r="M1514" s="14" t="s">
        <v>1537</v>
      </c>
      <c r="N1514" s="14" t="s">
        <v>25</v>
      </c>
      <c r="O1514" s="14"/>
      <c r="P1514" s="14"/>
      <c r="Q1514" s="14"/>
      <c r="R1514" s="14" t="s">
        <v>1809</v>
      </c>
    </row>
    <row r="1515" spans="1:36" ht="15" customHeight="1">
      <c r="A1515" s="12">
        <v>1545</v>
      </c>
      <c r="B1515" s="13" t="s">
        <v>2369</v>
      </c>
      <c r="C1515" s="14"/>
      <c r="D1515" s="14" t="s">
        <v>2368</v>
      </c>
      <c r="E1515" s="14" t="s">
        <v>21</v>
      </c>
      <c r="F1515" s="15" t="s">
        <v>22</v>
      </c>
      <c r="G1515" s="14"/>
      <c r="H1515" s="58">
        <v>0</v>
      </c>
      <c r="I1515" s="14"/>
      <c r="J1515" s="14" t="s">
        <v>23</v>
      </c>
      <c r="K1515" s="14"/>
      <c r="L1515" s="14"/>
      <c r="M1515" s="14" t="s">
        <v>650</v>
      </c>
      <c r="N1515" s="14" t="s">
        <v>25</v>
      </c>
      <c r="O1515" s="14"/>
      <c r="P1515" s="14"/>
      <c r="Q1515" s="14"/>
      <c r="R1515" s="14" t="s">
        <v>2338</v>
      </c>
    </row>
    <row r="1516" spans="1:36" ht="15" customHeight="1">
      <c r="A1516" s="12">
        <v>2104</v>
      </c>
      <c r="B1516" s="13" t="s">
        <v>2370</v>
      </c>
      <c r="C1516" s="14"/>
      <c r="D1516" s="16">
        <v>503</v>
      </c>
      <c r="E1516" s="14" t="s">
        <v>21</v>
      </c>
      <c r="F1516" s="15" t="s">
        <v>22</v>
      </c>
      <c r="G1516" s="18"/>
      <c r="H1516" s="58"/>
      <c r="I1516" s="16"/>
      <c r="J1516" s="14" t="s">
        <v>23</v>
      </c>
      <c r="K1516" s="18"/>
      <c r="L1516" s="18"/>
      <c r="M1516" s="18"/>
      <c r="N1516" s="18"/>
      <c r="O1516" s="18"/>
      <c r="P1516" s="18"/>
      <c r="Q1516" s="18"/>
      <c r="R1516" s="18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</row>
    <row r="1517" spans="1:36" ht="15" customHeight="1">
      <c r="A1517" s="12">
        <v>533</v>
      </c>
      <c r="B1517" s="13" t="s">
        <v>2371</v>
      </c>
      <c r="C1517" s="14"/>
      <c r="D1517" s="14" t="s">
        <v>2372</v>
      </c>
      <c r="E1517" s="14" t="s">
        <v>44</v>
      </c>
      <c r="F1517" s="15" t="s">
        <v>22</v>
      </c>
      <c r="G1517" s="21"/>
      <c r="H1517" s="58"/>
      <c r="I1517" s="14"/>
      <c r="J1517" s="14" t="s">
        <v>23</v>
      </c>
      <c r="K1517" s="14"/>
      <c r="L1517" s="14"/>
      <c r="M1517" s="14" t="s">
        <v>1537</v>
      </c>
      <c r="N1517" s="14" t="s">
        <v>25</v>
      </c>
      <c r="O1517" s="14"/>
      <c r="P1517" s="14"/>
      <c r="Q1517" s="14"/>
      <c r="R1517" s="14" t="s">
        <v>1809</v>
      </c>
    </row>
    <row r="1518" spans="1:36" ht="15" customHeight="1">
      <c r="A1518" s="12">
        <v>1546</v>
      </c>
      <c r="B1518" s="13" t="s">
        <v>2373</v>
      </c>
      <c r="C1518" s="14"/>
      <c r="D1518" s="14" t="s">
        <v>2372</v>
      </c>
      <c r="E1518" s="14" t="s">
        <v>44</v>
      </c>
      <c r="F1518" s="15" t="s">
        <v>22</v>
      </c>
      <c r="G1518" s="14"/>
      <c r="H1518" s="58">
        <v>2</v>
      </c>
      <c r="I1518" s="14"/>
      <c r="J1518" s="14" t="s">
        <v>23</v>
      </c>
      <c r="K1518" s="14"/>
      <c r="L1518" s="14"/>
      <c r="M1518" s="14" t="s">
        <v>650</v>
      </c>
      <c r="N1518" s="25" t="s">
        <v>37</v>
      </c>
      <c r="O1518" s="14" t="s">
        <v>2374</v>
      </c>
      <c r="P1518" s="14"/>
      <c r="Q1518" s="14"/>
      <c r="R1518" s="14" t="s">
        <v>2338</v>
      </c>
    </row>
    <row r="1519" spans="1:36" ht="15" customHeight="1">
      <c r="A1519" s="12">
        <v>2105</v>
      </c>
      <c r="B1519" s="13" t="s">
        <v>2375</v>
      </c>
      <c r="C1519" s="14"/>
      <c r="D1519" s="16">
        <v>504</v>
      </c>
      <c r="E1519" s="16" t="s">
        <v>44</v>
      </c>
      <c r="F1519" s="15" t="s">
        <v>22</v>
      </c>
      <c r="G1519" s="18"/>
      <c r="H1519" s="58"/>
      <c r="I1519" s="18"/>
      <c r="J1519" s="14" t="s">
        <v>23</v>
      </c>
      <c r="K1519" s="18"/>
      <c r="L1519" s="18"/>
      <c r="M1519" s="18"/>
      <c r="N1519" s="18"/>
      <c r="O1519" s="18"/>
      <c r="P1519" s="18"/>
      <c r="Q1519" s="18"/>
      <c r="R1519" s="18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</row>
    <row r="1520" spans="1:36" ht="15" customHeight="1">
      <c r="A1520" s="12">
        <v>534</v>
      </c>
      <c r="B1520" s="13" t="s">
        <v>2376</v>
      </c>
      <c r="C1520" s="14"/>
      <c r="D1520" s="14" t="s">
        <v>2377</v>
      </c>
      <c r="E1520" s="14" t="s">
        <v>44</v>
      </c>
      <c r="F1520" s="15" t="s">
        <v>22</v>
      </c>
      <c r="G1520" s="21"/>
      <c r="H1520" s="58"/>
      <c r="I1520" s="14"/>
      <c r="J1520" s="14" t="s">
        <v>23</v>
      </c>
      <c r="K1520" s="14"/>
      <c r="L1520" s="14"/>
      <c r="M1520" s="14" t="s">
        <v>1537</v>
      </c>
      <c r="N1520" s="14" t="s">
        <v>25</v>
      </c>
      <c r="O1520" s="14"/>
      <c r="P1520" s="14"/>
      <c r="Q1520" s="14"/>
      <c r="R1520" s="14" t="s">
        <v>1809</v>
      </c>
    </row>
    <row r="1521" spans="1:1027" ht="15" customHeight="1">
      <c r="A1521" s="12">
        <v>1547</v>
      </c>
      <c r="B1521" s="13" t="s">
        <v>2378</v>
      </c>
      <c r="C1521" s="14"/>
      <c r="D1521" s="14" t="s">
        <v>2377</v>
      </c>
      <c r="E1521" s="14" t="s">
        <v>44</v>
      </c>
      <c r="F1521" s="15" t="s">
        <v>22</v>
      </c>
      <c r="G1521" s="14"/>
      <c r="H1521" s="58">
        <v>1</v>
      </c>
      <c r="I1521" s="14"/>
      <c r="J1521" s="14" t="s">
        <v>23</v>
      </c>
      <c r="K1521" s="14"/>
      <c r="L1521" s="14"/>
      <c r="M1521" s="14" t="s">
        <v>650</v>
      </c>
      <c r="N1521" s="14" t="s">
        <v>25</v>
      </c>
      <c r="O1521" s="14"/>
      <c r="P1521" s="14"/>
      <c r="Q1521" s="14"/>
      <c r="R1521" s="14" t="s">
        <v>2338</v>
      </c>
    </row>
    <row r="1522" spans="1:1027" ht="15" customHeight="1">
      <c r="A1522" s="12">
        <v>2106</v>
      </c>
      <c r="B1522" s="13" t="s">
        <v>2379</v>
      </c>
      <c r="C1522" s="14"/>
      <c r="D1522" s="16">
        <v>505</v>
      </c>
      <c r="E1522" s="16" t="s">
        <v>44</v>
      </c>
      <c r="F1522" s="15" t="s">
        <v>22</v>
      </c>
      <c r="G1522" s="18"/>
      <c r="H1522" s="58">
        <v>1</v>
      </c>
      <c r="I1522" s="18"/>
      <c r="J1522" s="14" t="s">
        <v>23</v>
      </c>
      <c r="K1522" s="18"/>
      <c r="L1522" s="18"/>
      <c r="M1522" s="18"/>
      <c r="N1522" s="18"/>
      <c r="O1522" s="18"/>
      <c r="P1522" s="18"/>
      <c r="Q1522" s="18"/>
      <c r="R1522" s="18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</row>
    <row r="1523" spans="1:1027" ht="15" customHeight="1">
      <c r="A1523" s="12">
        <v>5</v>
      </c>
      <c r="B1523" s="13" t="s">
        <v>2380</v>
      </c>
      <c r="C1523" s="14"/>
      <c r="D1523" s="14" t="s">
        <v>2381</v>
      </c>
      <c r="E1523" s="14" t="s">
        <v>580</v>
      </c>
      <c r="F1523" s="15" t="s">
        <v>22</v>
      </c>
      <c r="G1523" s="14"/>
      <c r="H1523" s="58"/>
      <c r="I1523" s="14"/>
      <c r="J1523" s="14" t="s">
        <v>23</v>
      </c>
      <c r="K1523" s="15"/>
      <c r="L1523" s="15"/>
      <c r="M1523" s="14" t="s">
        <v>24</v>
      </c>
      <c r="N1523" s="14" t="s">
        <v>25</v>
      </c>
      <c r="O1523" s="14"/>
      <c r="P1523" s="14"/>
      <c r="Q1523" s="14"/>
      <c r="R1523" s="17">
        <v>43599</v>
      </c>
      <c r="S1523" s="12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  <c r="HY1523" s="3"/>
      <c r="HZ1523" s="3"/>
      <c r="IA1523" s="3"/>
      <c r="IB1523" s="3"/>
      <c r="IC1523" s="3"/>
      <c r="ID1523" s="3"/>
      <c r="IE1523" s="3"/>
      <c r="IF1523" s="3"/>
      <c r="IG1523" s="3"/>
      <c r="IH1523" s="3"/>
      <c r="II1523" s="3"/>
      <c r="IJ1523" s="3"/>
      <c r="IK1523" s="3"/>
      <c r="IL1523" s="3"/>
      <c r="IM1523" s="3"/>
      <c r="IN1523" s="3"/>
      <c r="IO1523" s="3"/>
      <c r="IP1523" s="3"/>
      <c r="IQ1523" s="3"/>
      <c r="IR1523" s="3"/>
      <c r="IS1523" s="3"/>
      <c r="IT1523" s="3"/>
      <c r="IU1523" s="3"/>
      <c r="IV1523" s="3"/>
      <c r="IW1523" s="3"/>
      <c r="IX1523" s="3"/>
      <c r="IY1523" s="3"/>
      <c r="IZ1523" s="3"/>
      <c r="JA1523" s="3"/>
      <c r="JB1523" s="3"/>
      <c r="JC1523" s="3"/>
      <c r="JD1523" s="3"/>
      <c r="JE1523" s="3"/>
      <c r="JF1523" s="3"/>
      <c r="JG1523" s="3"/>
      <c r="JH1523" s="3"/>
      <c r="JI1523" s="3"/>
      <c r="JJ1523" s="3"/>
      <c r="JK1523" s="3"/>
      <c r="JL1523" s="3"/>
      <c r="JM1523" s="3"/>
      <c r="JN1523" s="3"/>
      <c r="JO1523" s="3"/>
      <c r="JP1523" s="3"/>
      <c r="JQ1523" s="3"/>
      <c r="JR1523" s="3"/>
      <c r="JS1523" s="3"/>
      <c r="JT1523" s="3"/>
      <c r="JU1523" s="3"/>
      <c r="JV1523" s="3"/>
      <c r="JW1523" s="3"/>
      <c r="JX1523" s="3"/>
      <c r="JY1523" s="3"/>
      <c r="JZ1523" s="3"/>
      <c r="KA1523" s="3"/>
      <c r="KB1523" s="3"/>
      <c r="KC1523" s="3"/>
      <c r="KD1523" s="3"/>
      <c r="KE1523" s="3"/>
      <c r="KF1523" s="3"/>
      <c r="KG1523" s="3"/>
      <c r="KH1523" s="3"/>
      <c r="KI1523" s="3"/>
      <c r="KJ1523" s="3"/>
      <c r="KK1523" s="3"/>
      <c r="KL1523" s="3"/>
      <c r="KM1523" s="3"/>
      <c r="KN1523" s="3"/>
      <c r="KO1523" s="3"/>
      <c r="KP1523" s="3"/>
      <c r="KQ1523" s="3"/>
      <c r="KR1523" s="3"/>
      <c r="KS1523" s="3"/>
      <c r="KT1523" s="3"/>
      <c r="KU1523" s="3"/>
      <c r="KV1523" s="3"/>
      <c r="KW1523" s="3"/>
      <c r="KX1523" s="3"/>
      <c r="KY1523" s="3"/>
      <c r="KZ1523" s="3"/>
      <c r="LA1523" s="3"/>
      <c r="LB1523" s="3"/>
      <c r="LC1523" s="3"/>
      <c r="LD1523" s="3"/>
      <c r="LE1523" s="3"/>
      <c r="LF1523" s="3"/>
      <c r="LG1523" s="3"/>
      <c r="LH1523" s="3"/>
      <c r="LI1523" s="3"/>
      <c r="LJ1523" s="3"/>
      <c r="LK1523" s="3"/>
      <c r="LL1523" s="3"/>
      <c r="LM1523" s="3"/>
      <c r="LN1523" s="3"/>
      <c r="LO1523" s="3"/>
      <c r="LP1523" s="3"/>
      <c r="LQ1523" s="3"/>
      <c r="LR1523" s="3"/>
      <c r="LS1523" s="3"/>
      <c r="LT1523" s="3"/>
      <c r="LU1523" s="3"/>
      <c r="LV1523" s="3"/>
      <c r="LW1523" s="3"/>
      <c r="LX1523" s="3"/>
      <c r="LY1523" s="3"/>
      <c r="LZ1523" s="3"/>
      <c r="MA1523" s="3"/>
      <c r="MB1523" s="3"/>
      <c r="MC1523" s="3"/>
      <c r="MD1523" s="3"/>
      <c r="ME1523" s="3"/>
      <c r="MF1523" s="3"/>
      <c r="MG1523" s="3"/>
      <c r="MH1523" s="3"/>
      <c r="MI1523" s="3"/>
      <c r="MJ1523" s="3"/>
      <c r="MK1523" s="3"/>
      <c r="ML1523" s="3"/>
      <c r="MM1523" s="3"/>
      <c r="MN1523" s="3"/>
      <c r="MO1523" s="3"/>
      <c r="MP1523" s="3"/>
      <c r="MQ1523" s="3"/>
      <c r="MR1523" s="3"/>
      <c r="MS1523" s="3"/>
      <c r="MT1523" s="3"/>
      <c r="MU1523" s="3"/>
      <c r="MV1523" s="3"/>
      <c r="MW1523" s="3"/>
      <c r="MX1523" s="3"/>
      <c r="MY1523" s="3"/>
      <c r="MZ1523" s="3"/>
      <c r="NA1523" s="3"/>
      <c r="NB1523" s="3"/>
      <c r="NC1523" s="3"/>
      <c r="ND1523" s="3"/>
      <c r="NE1523" s="3"/>
      <c r="NF1523" s="3"/>
      <c r="NG1523" s="3"/>
      <c r="NH1523" s="3"/>
      <c r="NI1523" s="3"/>
      <c r="NJ1523" s="3"/>
      <c r="NK1523" s="3"/>
      <c r="NL1523" s="3"/>
      <c r="NM1523" s="3"/>
      <c r="NN1523" s="3"/>
      <c r="NO1523" s="3"/>
      <c r="NP1523" s="3"/>
      <c r="NQ1523" s="3"/>
      <c r="NR1523" s="3"/>
      <c r="NS1523" s="3"/>
      <c r="NT1523" s="3"/>
      <c r="NU1523" s="3"/>
      <c r="NV1523" s="3"/>
      <c r="NW1523" s="3"/>
      <c r="NX1523" s="3"/>
      <c r="NY1523" s="3"/>
      <c r="NZ1523" s="3"/>
      <c r="OA1523" s="3"/>
      <c r="OB1523" s="3"/>
      <c r="OC1523" s="3"/>
      <c r="OD1523" s="3"/>
      <c r="OE1523" s="3"/>
      <c r="OF1523" s="3"/>
      <c r="OG1523" s="3"/>
      <c r="OH1523" s="3"/>
      <c r="OI1523" s="3"/>
      <c r="OJ1523" s="3"/>
      <c r="OK1523" s="3"/>
      <c r="OL1523" s="3"/>
      <c r="OM1523" s="3"/>
      <c r="ON1523" s="3"/>
      <c r="OO1523" s="3"/>
      <c r="OP1523" s="3"/>
      <c r="OQ1523" s="3"/>
      <c r="OR1523" s="3"/>
      <c r="OS1523" s="3"/>
      <c r="OT1523" s="3"/>
      <c r="OU1523" s="3"/>
      <c r="OV1523" s="3"/>
      <c r="OW1523" s="3"/>
      <c r="OX1523" s="3"/>
      <c r="OY1523" s="3"/>
      <c r="OZ1523" s="3"/>
      <c r="PA1523" s="3"/>
      <c r="PB1523" s="3"/>
      <c r="PC1523" s="3"/>
      <c r="PD1523" s="3"/>
      <c r="PE1523" s="3"/>
      <c r="PF1523" s="3"/>
      <c r="PG1523" s="3"/>
      <c r="PH1523" s="3"/>
      <c r="PI1523" s="3"/>
      <c r="PJ1523" s="3"/>
      <c r="PK1523" s="3"/>
      <c r="PL1523" s="3"/>
      <c r="PM1523" s="3"/>
      <c r="PN1523" s="3"/>
      <c r="PO1523" s="3"/>
      <c r="PP1523" s="3"/>
      <c r="PQ1523" s="3"/>
      <c r="PR1523" s="3"/>
      <c r="PS1523" s="3"/>
      <c r="PT1523" s="3"/>
      <c r="PU1523" s="3"/>
      <c r="PV1523" s="3"/>
      <c r="PW1523" s="3"/>
      <c r="PX1523" s="3"/>
      <c r="PY1523" s="3"/>
      <c r="PZ1523" s="3"/>
      <c r="QA1523" s="3"/>
      <c r="QB1523" s="3"/>
      <c r="QC1523" s="3"/>
      <c r="QD1523" s="3"/>
      <c r="QE1523" s="3"/>
      <c r="QF1523" s="3"/>
      <c r="QG1523" s="3"/>
      <c r="QH1523" s="3"/>
      <c r="QI1523" s="3"/>
      <c r="QJ1523" s="3"/>
      <c r="QK1523" s="3"/>
      <c r="QL1523" s="3"/>
      <c r="QM1523" s="3"/>
      <c r="QN1523" s="3"/>
      <c r="QO1523" s="3"/>
      <c r="QP1523" s="3"/>
      <c r="QQ1523" s="3"/>
      <c r="QR1523" s="3"/>
      <c r="QS1523" s="3"/>
      <c r="QT1523" s="3"/>
      <c r="QU1523" s="3"/>
      <c r="QV1523" s="3"/>
      <c r="QW1523" s="3"/>
      <c r="QX1523" s="3"/>
      <c r="QY1523" s="3"/>
      <c r="QZ1523" s="3"/>
      <c r="RA1523" s="3"/>
      <c r="RB1523" s="3"/>
      <c r="RC1523" s="3"/>
      <c r="RD1523" s="3"/>
      <c r="RE1523" s="3"/>
      <c r="RF1523" s="3"/>
      <c r="RG1523" s="3"/>
      <c r="RH1523" s="3"/>
      <c r="RI1523" s="3"/>
      <c r="RJ1523" s="3"/>
      <c r="RK1523" s="3"/>
      <c r="RL1523" s="3"/>
      <c r="RM1523" s="3"/>
      <c r="RN1523" s="3"/>
      <c r="RO1523" s="3"/>
      <c r="RP1523" s="3"/>
      <c r="RQ1523" s="3"/>
      <c r="RR1523" s="3"/>
      <c r="RS1523" s="3"/>
      <c r="RT1523" s="3"/>
      <c r="RU1523" s="3"/>
      <c r="RV1523" s="3"/>
      <c r="RW1523" s="3"/>
      <c r="RX1523" s="3"/>
      <c r="RY1523" s="3"/>
      <c r="RZ1523" s="3"/>
      <c r="SA1523" s="3"/>
      <c r="SB1523" s="3"/>
      <c r="SC1523" s="3"/>
      <c r="SD1523" s="3"/>
      <c r="SE1523" s="3"/>
      <c r="SF1523" s="3"/>
      <c r="SG1523" s="3"/>
      <c r="SH1523" s="3"/>
      <c r="SI1523" s="3"/>
      <c r="SJ1523" s="3"/>
      <c r="SK1523" s="3"/>
      <c r="SL1523" s="3"/>
      <c r="SM1523" s="3"/>
      <c r="SN1523" s="3"/>
      <c r="SO1523" s="3"/>
      <c r="SP1523" s="3"/>
      <c r="SQ1523" s="3"/>
      <c r="SR1523" s="3"/>
      <c r="SS1523" s="3"/>
      <c r="ST1523" s="3"/>
      <c r="SU1523" s="3"/>
      <c r="SV1523" s="3"/>
      <c r="SW1523" s="3"/>
      <c r="SX1523" s="3"/>
      <c r="SY1523" s="3"/>
      <c r="SZ1523" s="3"/>
      <c r="TA1523" s="3"/>
      <c r="TB1523" s="3"/>
      <c r="TC1523" s="3"/>
      <c r="TD1523" s="3"/>
      <c r="TE1523" s="3"/>
      <c r="TF1523" s="3"/>
      <c r="TG1523" s="3"/>
      <c r="TH1523" s="3"/>
      <c r="TI1523" s="3"/>
      <c r="TJ1523" s="3"/>
      <c r="TK1523" s="3"/>
      <c r="TL1523" s="3"/>
      <c r="TM1523" s="3"/>
      <c r="TN1523" s="3"/>
      <c r="TO1523" s="3"/>
      <c r="TP1523" s="3"/>
      <c r="TQ1523" s="3"/>
      <c r="TR1523" s="3"/>
      <c r="TS1523" s="3"/>
      <c r="TT1523" s="3"/>
      <c r="TU1523" s="3"/>
      <c r="TV1523" s="3"/>
      <c r="TW1523" s="3"/>
      <c r="TX1523" s="3"/>
      <c r="TY1523" s="3"/>
      <c r="TZ1523" s="3"/>
      <c r="UA1523" s="3"/>
      <c r="UB1523" s="3"/>
      <c r="UC1523" s="3"/>
      <c r="UD1523" s="3"/>
      <c r="UE1523" s="3"/>
      <c r="UF1523" s="3"/>
      <c r="UG1523" s="3"/>
      <c r="UH1523" s="3"/>
      <c r="UI1523" s="3"/>
      <c r="UJ1523" s="3"/>
      <c r="UK1523" s="3"/>
      <c r="UL1523" s="3"/>
      <c r="UM1523" s="3"/>
      <c r="UN1523" s="3"/>
      <c r="UO1523" s="3"/>
      <c r="UP1523" s="3"/>
      <c r="UQ1523" s="3"/>
      <c r="UR1523" s="3"/>
      <c r="US1523" s="3"/>
      <c r="UT1523" s="3"/>
      <c r="UU1523" s="3"/>
      <c r="UV1523" s="3"/>
      <c r="UW1523" s="3"/>
      <c r="UX1523" s="3"/>
      <c r="UY1523" s="3"/>
      <c r="UZ1523" s="3"/>
      <c r="VA1523" s="3"/>
      <c r="VB1523" s="3"/>
      <c r="VC1523" s="3"/>
      <c r="VD1523" s="3"/>
      <c r="VE1523" s="3"/>
      <c r="VF1523" s="3"/>
      <c r="VG1523" s="3"/>
      <c r="VH1523" s="3"/>
      <c r="VI1523" s="3"/>
      <c r="VJ1523" s="3"/>
      <c r="VK1523" s="3"/>
      <c r="VL1523" s="3"/>
      <c r="VM1523" s="3"/>
      <c r="VN1523" s="3"/>
      <c r="VO1523" s="3"/>
      <c r="VP1523" s="3"/>
      <c r="VQ1523" s="3"/>
      <c r="VR1523" s="3"/>
      <c r="VS1523" s="3"/>
      <c r="VT1523" s="3"/>
      <c r="VU1523" s="3"/>
      <c r="VV1523" s="3"/>
      <c r="VW1523" s="3"/>
      <c r="VX1523" s="3"/>
      <c r="VY1523" s="3"/>
      <c r="VZ1523" s="3"/>
      <c r="WA1523" s="3"/>
      <c r="WB1523" s="3"/>
      <c r="WC1523" s="3"/>
      <c r="WD1523" s="3"/>
      <c r="WE1523" s="3"/>
      <c r="WF1523" s="3"/>
      <c r="WG1523" s="3"/>
      <c r="WH1523" s="3"/>
      <c r="WI1523" s="3"/>
      <c r="WJ1523" s="3"/>
      <c r="WK1523" s="3"/>
      <c r="WL1523" s="3"/>
      <c r="WM1523" s="3"/>
      <c r="WN1523" s="3"/>
      <c r="WO1523" s="3"/>
      <c r="WP1523" s="3"/>
      <c r="WQ1523" s="3"/>
      <c r="WR1523" s="3"/>
      <c r="WS1523" s="3"/>
      <c r="WT1523" s="3"/>
      <c r="WU1523" s="3"/>
      <c r="WV1523" s="3"/>
      <c r="WW1523" s="3"/>
      <c r="WX1523" s="3"/>
      <c r="WY1523" s="3"/>
      <c r="WZ1523" s="3"/>
      <c r="XA1523" s="3"/>
      <c r="XB1523" s="3"/>
      <c r="XC1523" s="3"/>
      <c r="XD1523" s="3"/>
      <c r="XE1523" s="3"/>
      <c r="XF1523" s="3"/>
      <c r="XG1523" s="3"/>
      <c r="XH1523" s="3"/>
      <c r="XI1523" s="3"/>
      <c r="XJ1523" s="3"/>
      <c r="XK1523" s="3"/>
      <c r="XL1523" s="3"/>
      <c r="XM1523" s="3"/>
      <c r="XN1523" s="3"/>
      <c r="XO1523" s="3"/>
      <c r="XP1523" s="3"/>
      <c r="XQ1523" s="3"/>
      <c r="XR1523" s="3"/>
      <c r="XS1523" s="3"/>
      <c r="XT1523" s="3"/>
      <c r="XU1523" s="3"/>
      <c r="XV1523" s="3"/>
      <c r="XW1523" s="3"/>
      <c r="XX1523" s="3"/>
      <c r="XY1523" s="3"/>
      <c r="XZ1523" s="3"/>
      <c r="YA1523" s="3"/>
      <c r="YB1523" s="3"/>
      <c r="YC1523" s="3"/>
      <c r="YD1523" s="3"/>
      <c r="YE1523" s="3"/>
      <c r="YF1523" s="3"/>
      <c r="YG1523" s="3"/>
      <c r="YH1523" s="3"/>
      <c r="YI1523" s="3"/>
      <c r="YJ1523" s="3"/>
      <c r="YK1523" s="3"/>
      <c r="YL1523" s="3"/>
      <c r="YM1523" s="3"/>
      <c r="YN1523" s="3"/>
      <c r="YO1523" s="3"/>
      <c r="YP1523" s="3"/>
      <c r="YQ1523" s="3"/>
      <c r="YR1523" s="3"/>
      <c r="YS1523" s="3"/>
      <c r="YT1523" s="3"/>
      <c r="YU1523" s="3"/>
      <c r="YV1523" s="3"/>
      <c r="YW1523" s="3"/>
      <c r="YX1523" s="3"/>
      <c r="YY1523" s="3"/>
      <c r="YZ1523" s="3"/>
      <c r="ZA1523" s="3"/>
      <c r="ZB1523" s="3"/>
      <c r="ZC1523" s="3"/>
      <c r="ZD1523" s="3"/>
      <c r="ZE1523" s="3"/>
      <c r="ZF1523" s="3"/>
      <c r="ZG1523" s="3"/>
      <c r="ZH1523" s="3"/>
      <c r="ZI1523" s="3"/>
      <c r="ZJ1523" s="3"/>
      <c r="ZK1523" s="3"/>
      <c r="ZL1523" s="3"/>
      <c r="ZM1523" s="3"/>
      <c r="ZN1523" s="3"/>
      <c r="ZO1523" s="3"/>
      <c r="ZP1523" s="3"/>
      <c r="ZQ1523" s="3"/>
      <c r="ZR1523" s="3"/>
      <c r="ZS1523" s="3"/>
      <c r="ZT1523" s="3"/>
      <c r="ZU1523" s="3"/>
      <c r="ZV1523" s="3"/>
      <c r="ZW1523" s="3"/>
      <c r="ZX1523" s="3"/>
      <c r="ZY1523" s="3"/>
      <c r="ZZ1523" s="3"/>
      <c r="AAA1523" s="3"/>
      <c r="AAB1523" s="3"/>
      <c r="AAC1523" s="3"/>
      <c r="AAD1523" s="3"/>
      <c r="AAE1523" s="3"/>
      <c r="AAF1523" s="3"/>
      <c r="AAG1523" s="3"/>
      <c r="AAH1523" s="3"/>
      <c r="AAI1523" s="3"/>
      <c r="AAJ1523" s="3"/>
      <c r="AAK1523" s="3"/>
      <c r="AAL1523" s="3"/>
      <c r="AAM1523" s="3"/>
      <c r="AAN1523" s="3"/>
      <c r="AAO1523" s="3"/>
      <c r="AAP1523" s="3"/>
      <c r="AAQ1523" s="3"/>
      <c r="AAR1523" s="3"/>
      <c r="AAS1523" s="3"/>
      <c r="AAT1523" s="3"/>
      <c r="AAU1523" s="3"/>
      <c r="AAV1523" s="3"/>
      <c r="AAW1523" s="3"/>
      <c r="AAX1523" s="3"/>
      <c r="AAY1523" s="3"/>
      <c r="AAZ1523" s="3"/>
      <c r="ABA1523" s="3"/>
      <c r="ABB1523" s="3"/>
      <c r="ABC1523" s="3"/>
      <c r="ABD1523" s="3"/>
      <c r="ABE1523" s="3"/>
      <c r="ABF1523" s="3"/>
      <c r="ABG1523" s="3"/>
      <c r="ABH1523" s="3"/>
      <c r="ABI1523" s="3"/>
      <c r="ABJ1523" s="3"/>
      <c r="ABK1523" s="3"/>
      <c r="ABL1523" s="3"/>
      <c r="ABM1523" s="3"/>
      <c r="ABN1523" s="3"/>
      <c r="ABO1523" s="3"/>
      <c r="ABP1523" s="3"/>
      <c r="ABQ1523" s="3"/>
      <c r="ABR1523" s="3"/>
      <c r="ABS1523" s="3"/>
      <c r="ABT1523" s="3"/>
      <c r="ABU1523" s="3"/>
      <c r="ABV1523" s="3"/>
      <c r="ABW1523" s="3"/>
      <c r="ABX1523" s="3"/>
      <c r="ABY1523" s="3"/>
      <c r="ABZ1523" s="3"/>
      <c r="ACA1523" s="3"/>
      <c r="ACB1523" s="3"/>
      <c r="ACC1523" s="3"/>
      <c r="ACD1523" s="3"/>
      <c r="ACE1523" s="3"/>
      <c r="ACF1523" s="3"/>
      <c r="ACG1523" s="3"/>
      <c r="ACH1523" s="3"/>
      <c r="ACI1523" s="3"/>
      <c r="ACJ1523" s="3"/>
      <c r="ACK1523" s="3"/>
      <c r="ACL1523" s="3"/>
      <c r="ACM1523" s="3"/>
      <c r="ACN1523" s="3"/>
      <c r="ACO1523" s="3"/>
      <c r="ACP1523" s="3"/>
      <c r="ACQ1523" s="3"/>
      <c r="ACR1523" s="3"/>
      <c r="ACS1523" s="3"/>
      <c r="ACT1523" s="3"/>
      <c r="ACU1523" s="3"/>
      <c r="ACV1523" s="3"/>
      <c r="ACW1523" s="3"/>
      <c r="ACX1523" s="3"/>
      <c r="ACY1523" s="3"/>
      <c r="ACZ1523" s="3"/>
      <c r="ADA1523" s="3"/>
      <c r="ADB1523" s="3"/>
      <c r="ADC1523" s="3"/>
      <c r="ADD1523" s="3"/>
      <c r="ADE1523" s="3"/>
      <c r="ADF1523" s="3"/>
      <c r="ADG1523" s="3"/>
      <c r="ADH1523" s="3"/>
      <c r="ADI1523" s="3"/>
      <c r="ADJ1523" s="3"/>
      <c r="ADK1523" s="3"/>
      <c r="ADL1523" s="3"/>
      <c r="ADM1523" s="3"/>
      <c r="ADN1523" s="3"/>
      <c r="ADO1523" s="3"/>
      <c r="ADP1523" s="3"/>
      <c r="ADQ1523" s="3"/>
      <c r="ADR1523" s="3"/>
      <c r="ADS1523" s="3"/>
      <c r="ADT1523" s="3"/>
      <c r="ADU1523" s="3"/>
      <c r="ADV1523" s="3"/>
      <c r="ADW1523" s="3"/>
      <c r="ADX1523" s="3"/>
      <c r="ADY1523" s="3"/>
      <c r="ADZ1523" s="3"/>
      <c r="AEA1523" s="3"/>
      <c r="AEB1523" s="3"/>
      <c r="AEC1523" s="3"/>
      <c r="AED1523" s="3"/>
      <c r="AEE1523" s="3"/>
      <c r="AEF1523" s="3"/>
      <c r="AEG1523" s="3"/>
      <c r="AEH1523" s="3"/>
      <c r="AEI1523" s="3"/>
      <c r="AEJ1523" s="3"/>
      <c r="AEK1523" s="3"/>
      <c r="AEL1523" s="3"/>
      <c r="AEM1523" s="3"/>
      <c r="AEN1523" s="3"/>
      <c r="AEO1523" s="3"/>
      <c r="AEP1523" s="3"/>
      <c r="AEQ1523" s="3"/>
      <c r="AER1523" s="3"/>
      <c r="AES1523" s="3"/>
      <c r="AET1523" s="3"/>
      <c r="AEU1523" s="3"/>
      <c r="AEV1523" s="3"/>
      <c r="AEW1523" s="3"/>
      <c r="AEX1523" s="3"/>
      <c r="AEY1523" s="3"/>
      <c r="AEZ1523" s="3"/>
      <c r="AFA1523" s="3"/>
      <c r="AFB1523" s="3"/>
      <c r="AFC1523" s="3"/>
      <c r="AFD1523" s="3"/>
      <c r="AFE1523" s="3"/>
      <c r="AFF1523" s="3"/>
      <c r="AFG1523" s="3"/>
      <c r="AFH1523" s="3"/>
      <c r="AFI1523" s="3"/>
      <c r="AFJ1523" s="3"/>
      <c r="AFK1523" s="3"/>
      <c r="AFL1523" s="3"/>
      <c r="AFM1523" s="3"/>
      <c r="AFN1523" s="3"/>
      <c r="AFO1523" s="3"/>
      <c r="AFP1523" s="3"/>
      <c r="AFQ1523" s="3"/>
      <c r="AFR1523" s="3"/>
      <c r="AFS1523" s="3"/>
      <c r="AFT1523" s="3"/>
      <c r="AFU1523" s="3"/>
      <c r="AFV1523" s="3"/>
      <c r="AFW1523" s="3"/>
      <c r="AFX1523" s="3"/>
      <c r="AFY1523" s="3"/>
      <c r="AFZ1523" s="3"/>
      <c r="AGA1523" s="3"/>
      <c r="AGB1523" s="3"/>
      <c r="AGC1523" s="3"/>
      <c r="AGD1523" s="3"/>
      <c r="AGE1523" s="3"/>
      <c r="AGF1523" s="3"/>
      <c r="AGG1523" s="3"/>
      <c r="AGH1523" s="3"/>
      <c r="AGI1523" s="3"/>
      <c r="AGJ1523" s="3"/>
      <c r="AGK1523" s="3"/>
      <c r="AGL1523" s="3"/>
      <c r="AGM1523" s="3"/>
      <c r="AGN1523" s="3"/>
      <c r="AGO1523" s="3"/>
      <c r="AGP1523" s="3"/>
      <c r="AGQ1523" s="3"/>
      <c r="AGR1523" s="3"/>
      <c r="AGS1523" s="3"/>
      <c r="AGT1523" s="3"/>
      <c r="AGU1523" s="3"/>
      <c r="AGV1523" s="3"/>
      <c r="AGW1523" s="3"/>
      <c r="AGX1523" s="3"/>
      <c r="AGY1523" s="3"/>
      <c r="AGZ1523" s="3"/>
      <c r="AHA1523" s="3"/>
      <c r="AHB1523" s="3"/>
      <c r="AHC1523" s="3"/>
      <c r="AHD1523" s="3"/>
      <c r="AHE1523" s="3"/>
      <c r="AHF1523" s="3"/>
      <c r="AHG1523" s="3"/>
      <c r="AHH1523" s="3"/>
      <c r="AHI1523" s="3"/>
      <c r="AHJ1523" s="3"/>
      <c r="AHK1523" s="3"/>
      <c r="AHL1523" s="3"/>
      <c r="AHM1523" s="3"/>
      <c r="AHN1523" s="3"/>
      <c r="AHO1523" s="3"/>
      <c r="AHP1523" s="3"/>
      <c r="AHQ1523" s="3"/>
      <c r="AHR1523" s="3"/>
      <c r="AHS1523" s="3"/>
      <c r="AHT1523" s="3"/>
      <c r="AHU1523" s="3"/>
      <c r="AHV1523" s="3"/>
      <c r="AHW1523" s="3"/>
      <c r="AHX1523" s="3"/>
      <c r="AHY1523" s="3"/>
      <c r="AHZ1523" s="3"/>
      <c r="AIA1523" s="3"/>
      <c r="AIB1523" s="3"/>
      <c r="AIC1523" s="3"/>
      <c r="AID1523" s="3"/>
      <c r="AIE1523" s="3"/>
      <c r="AIF1523" s="3"/>
      <c r="AIG1523" s="3"/>
      <c r="AIH1523" s="3"/>
      <c r="AII1523" s="3"/>
      <c r="AIJ1523" s="3"/>
      <c r="AIK1523" s="3"/>
      <c r="AIL1523" s="3"/>
      <c r="AIM1523" s="3"/>
      <c r="AIN1523" s="3"/>
      <c r="AIO1523" s="3"/>
      <c r="AIP1523" s="3"/>
      <c r="AIQ1523" s="3"/>
      <c r="AIR1523" s="3"/>
      <c r="AIS1523" s="3"/>
      <c r="AIT1523" s="3"/>
      <c r="AIU1523" s="3"/>
      <c r="AIV1523" s="3"/>
      <c r="AIW1523" s="3"/>
      <c r="AIX1523" s="3"/>
      <c r="AIY1523" s="3"/>
      <c r="AIZ1523" s="3"/>
      <c r="AJA1523" s="3"/>
      <c r="AJB1523" s="3"/>
      <c r="AJC1523" s="3"/>
      <c r="AJD1523" s="3"/>
      <c r="AJE1523" s="3"/>
      <c r="AJF1523" s="3"/>
      <c r="AJG1523" s="3"/>
      <c r="AJH1523" s="3"/>
      <c r="AJI1523" s="3"/>
      <c r="AJJ1523" s="3"/>
      <c r="AJK1523" s="3"/>
      <c r="AJL1523" s="3"/>
      <c r="AJM1523" s="3"/>
      <c r="AJN1523" s="3"/>
      <c r="AJO1523" s="3"/>
      <c r="AJP1523" s="3"/>
      <c r="AJQ1523" s="3"/>
      <c r="AJR1523" s="3"/>
      <c r="AJS1523" s="3"/>
      <c r="AJT1523" s="3"/>
      <c r="AJU1523" s="3"/>
      <c r="AJV1523" s="3"/>
      <c r="AJW1523" s="3"/>
      <c r="AJX1523" s="3"/>
      <c r="AJY1523" s="3"/>
      <c r="AJZ1523" s="3"/>
      <c r="AKA1523" s="3"/>
      <c r="AKB1523" s="3"/>
      <c r="AKC1523" s="3"/>
      <c r="AKD1523" s="3"/>
      <c r="AKE1523" s="3"/>
      <c r="AKF1523" s="3"/>
      <c r="AKG1523" s="3"/>
      <c r="AKH1523" s="3"/>
      <c r="AKI1523" s="3"/>
      <c r="AKJ1523" s="3"/>
      <c r="AKK1523" s="3"/>
      <c r="AKL1523" s="3"/>
      <c r="AKM1523" s="3"/>
      <c r="AKN1523" s="3"/>
      <c r="AKO1523" s="3"/>
      <c r="AKP1523" s="3"/>
      <c r="AKQ1523" s="3"/>
      <c r="AKR1523" s="3"/>
      <c r="AKS1523" s="3"/>
      <c r="AKT1523" s="3"/>
      <c r="AKU1523" s="3"/>
      <c r="AKV1523" s="3"/>
      <c r="AKW1523" s="3"/>
      <c r="AKX1523" s="3"/>
      <c r="AKY1523" s="3"/>
      <c r="AKZ1523" s="3"/>
      <c r="ALA1523" s="3"/>
      <c r="ALB1523" s="3"/>
      <c r="ALC1523" s="3"/>
      <c r="ALD1523" s="3"/>
      <c r="ALE1523" s="3"/>
      <c r="ALF1523" s="3"/>
      <c r="ALG1523" s="3"/>
      <c r="ALH1523" s="3"/>
      <c r="ALI1523" s="3"/>
      <c r="ALJ1523" s="3"/>
      <c r="ALK1523" s="3"/>
      <c r="ALL1523" s="3"/>
      <c r="ALM1523" s="3"/>
      <c r="ALN1523" s="3"/>
      <c r="ALO1523" s="3"/>
      <c r="ALP1523" s="3"/>
      <c r="ALQ1523" s="3"/>
      <c r="ALR1523" s="3"/>
      <c r="ALS1523" s="3"/>
      <c r="ALT1523" s="3"/>
      <c r="ALU1523" s="3"/>
      <c r="ALV1523" s="3"/>
      <c r="ALW1523" s="3"/>
      <c r="ALX1523" s="3"/>
      <c r="ALY1523" s="3"/>
      <c r="ALZ1523" s="3"/>
      <c r="AMA1523" s="3"/>
      <c r="AMB1523" s="3"/>
      <c r="AMC1523" s="3"/>
      <c r="AMD1523" s="3"/>
      <c r="AME1523" s="3"/>
      <c r="AMF1523" s="3"/>
      <c r="AMG1523" s="3"/>
      <c r="AMH1523" s="3"/>
      <c r="AMI1523" s="3"/>
      <c r="AMJ1523" s="3"/>
      <c r="AMK1523" s="3"/>
      <c r="AML1523" s="3"/>
      <c r="AMM1523" s="3"/>
    </row>
    <row r="1524" spans="1:1027" ht="15" customHeight="1">
      <c r="A1524" s="12">
        <v>535</v>
      </c>
      <c r="B1524" s="13" t="s">
        <v>2382</v>
      </c>
      <c r="C1524" s="14"/>
      <c r="D1524" s="14" t="s">
        <v>2381</v>
      </c>
      <c r="E1524" s="14" t="s">
        <v>580</v>
      </c>
      <c r="F1524" s="15" t="s">
        <v>22</v>
      </c>
      <c r="G1524" s="21"/>
      <c r="H1524" s="58"/>
      <c r="I1524" s="14"/>
      <c r="J1524" s="14" t="s">
        <v>23</v>
      </c>
      <c r="K1524" s="14"/>
      <c r="L1524" s="14"/>
      <c r="M1524" s="14" t="s">
        <v>1537</v>
      </c>
      <c r="N1524" s="14" t="s">
        <v>25</v>
      </c>
      <c r="O1524" s="14"/>
      <c r="P1524" s="14"/>
      <c r="Q1524" s="14"/>
      <c r="R1524" s="14" t="s">
        <v>1809</v>
      </c>
    </row>
    <row r="1525" spans="1:1027" ht="15" customHeight="1">
      <c r="A1525" s="12">
        <v>1548</v>
      </c>
      <c r="B1525" s="13" t="s">
        <v>2383</v>
      </c>
      <c r="C1525" s="14"/>
      <c r="D1525" s="14" t="s">
        <v>2381</v>
      </c>
      <c r="E1525" s="14" t="s">
        <v>580</v>
      </c>
      <c r="F1525" s="15" t="s">
        <v>22</v>
      </c>
      <c r="G1525" s="14"/>
      <c r="H1525" s="58">
        <v>0</v>
      </c>
      <c r="I1525" s="14"/>
      <c r="J1525" s="14" t="s">
        <v>23</v>
      </c>
      <c r="K1525" s="14"/>
      <c r="L1525" s="14"/>
      <c r="M1525" s="14" t="s">
        <v>650</v>
      </c>
      <c r="N1525" s="14" t="s">
        <v>25</v>
      </c>
      <c r="O1525" s="14"/>
      <c r="P1525" s="14"/>
      <c r="Q1525" s="14"/>
      <c r="R1525" s="14" t="s">
        <v>2338</v>
      </c>
    </row>
    <row r="1526" spans="1:1027" ht="15" customHeight="1">
      <c r="A1526" s="12">
        <v>2107</v>
      </c>
      <c r="B1526" s="13" t="s">
        <v>2384</v>
      </c>
      <c r="C1526" s="14"/>
      <c r="D1526" s="16">
        <v>506</v>
      </c>
      <c r="E1526" s="16" t="s">
        <v>580</v>
      </c>
      <c r="F1526" s="15" t="s">
        <v>22</v>
      </c>
      <c r="G1526" s="18"/>
      <c r="H1526" s="58"/>
      <c r="I1526" s="18"/>
      <c r="J1526" s="14" t="s">
        <v>23</v>
      </c>
      <c r="K1526" s="18"/>
      <c r="L1526" s="18"/>
      <c r="M1526" s="18"/>
      <c r="N1526" s="18"/>
      <c r="O1526" s="18"/>
      <c r="P1526" s="18"/>
      <c r="Q1526" s="18"/>
      <c r="R1526" s="18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</row>
    <row r="1527" spans="1:1027" ht="15" customHeight="1">
      <c r="A1527" s="12">
        <v>536</v>
      </c>
      <c r="B1527" s="13" t="s">
        <v>2385</v>
      </c>
      <c r="C1527" s="14"/>
      <c r="D1527" s="14" t="s">
        <v>2386</v>
      </c>
      <c r="E1527" s="14" t="s">
        <v>21</v>
      </c>
      <c r="F1527" s="15" t="s">
        <v>22</v>
      </c>
      <c r="G1527" s="21"/>
      <c r="H1527" s="58"/>
      <c r="I1527" s="14"/>
      <c r="J1527" s="14" t="s">
        <v>23</v>
      </c>
      <c r="K1527" s="14"/>
      <c r="L1527" s="14"/>
      <c r="M1527" s="14" t="s">
        <v>1537</v>
      </c>
      <c r="N1527" s="14" t="s">
        <v>25</v>
      </c>
      <c r="O1527" s="14"/>
      <c r="P1527" s="14"/>
      <c r="Q1527" s="14"/>
      <c r="R1527" s="14" t="s">
        <v>1809</v>
      </c>
    </row>
    <row r="1528" spans="1:1027" ht="15" customHeight="1">
      <c r="A1528" s="12">
        <v>1549</v>
      </c>
      <c r="B1528" s="13" t="s">
        <v>2387</v>
      </c>
      <c r="C1528" s="14"/>
      <c r="D1528" s="14" t="s">
        <v>2386</v>
      </c>
      <c r="E1528" s="14" t="s">
        <v>21</v>
      </c>
      <c r="F1528" s="15" t="s">
        <v>22</v>
      </c>
      <c r="G1528" s="14"/>
      <c r="H1528" s="58">
        <v>1</v>
      </c>
      <c r="I1528" s="14"/>
      <c r="J1528" s="14" t="s">
        <v>23</v>
      </c>
      <c r="K1528" s="14"/>
      <c r="L1528" s="14"/>
      <c r="M1528" s="14" t="s">
        <v>650</v>
      </c>
      <c r="N1528" s="14" t="s">
        <v>25</v>
      </c>
      <c r="O1528" s="14"/>
      <c r="P1528" s="14"/>
      <c r="Q1528" s="14"/>
      <c r="R1528" s="14" t="s">
        <v>2338</v>
      </c>
    </row>
    <row r="1529" spans="1:1027" ht="15" customHeight="1">
      <c r="A1529" s="12">
        <v>2108</v>
      </c>
      <c r="B1529" s="13" t="s">
        <v>2388</v>
      </c>
      <c r="C1529" s="14"/>
      <c r="D1529" s="16">
        <v>507</v>
      </c>
      <c r="E1529" s="14" t="s">
        <v>21</v>
      </c>
      <c r="F1529" s="15" t="s">
        <v>22</v>
      </c>
      <c r="G1529" s="18"/>
      <c r="H1529" s="58">
        <v>1</v>
      </c>
      <c r="I1529" s="16"/>
      <c r="J1529" s="14" t="s">
        <v>23</v>
      </c>
      <c r="K1529" s="18"/>
      <c r="L1529" s="18"/>
      <c r="M1529" s="18"/>
      <c r="N1529" s="18"/>
      <c r="O1529" s="18"/>
      <c r="P1529" s="18"/>
      <c r="Q1529" s="18"/>
      <c r="R1529" s="18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</row>
    <row r="1530" spans="1:1027" ht="15" customHeight="1">
      <c r="A1530" s="12">
        <v>537</v>
      </c>
      <c r="B1530" s="13" t="s">
        <v>2389</v>
      </c>
      <c r="C1530" s="14"/>
      <c r="D1530" s="14" t="s">
        <v>2390</v>
      </c>
      <c r="E1530" s="14" t="s">
        <v>36</v>
      </c>
      <c r="F1530" s="15" t="s">
        <v>22</v>
      </c>
      <c r="G1530" s="21"/>
      <c r="H1530" s="58"/>
      <c r="I1530" s="14"/>
      <c r="J1530" s="14" t="s">
        <v>23</v>
      </c>
      <c r="K1530" s="14"/>
      <c r="L1530" s="14"/>
      <c r="M1530" s="14" t="s">
        <v>1537</v>
      </c>
      <c r="N1530" s="25" t="s">
        <v>37</v>
      </c>
      <c r="O1530" s="14" t="s">
        <v>189</v>
      </c>
      <c r="P1530" s="14"/>
      <c r="Q1530" s="14"/>
      <c r="R1530" s="14" t="s">
        <v>1809</v>
      </c>
    </row>
    <row r="1531" spans="1:1027" ht="15" customHeight="1">
      <c r="A1531" s="12">
        <v>1299</v>
      </c>
      <c r="B1531" s="13" t="s">
        <v>2391</v>
      </c>
      <c r="C1531" s="14"/>
      <c r="D1531" s="14" t="s">
        <v>2390</v>
      </c>
      <c r="E1531" s="14" t="s">
        <v>36</v>
      </c>
      <c r="F1531" s="15" t="s">
        <v>22</v>
      </c>
      <c r="G1531" s="21"/>
      <c r="H1531" s="58">
        <v>4</v>
      </c>
      <c r="I1531" s="14"/>
      <c r="J1531" s="14" t="s">
        <v>23</v>
      </c>
      <c r="K1531" s="14"/>
      <c r="L1531" s="14"/>
      <c r="M1531" s="14" t="s">
        <v>1534</v>
      </c>
      <c r="N1531" s="25" t="s">
        <v>37</v>
      </c>
      <c r="O1531" s="14" t="s">
        <v>657</v>
      </c>
      <c r="P1531" s="14"/>
      <c r="Q1531" s="14"/>
      <c r="R1531" s="14" t="s">
        <v>2333</v>
      </c>
    </row>
    <row r="1532" spans="1:1027" ht="15" customHeight="1">
      <c r="A1532" s="12">
        <v>1550</v>
      </c>
      <c r="B1532" s="13" t="s">
        <v>2392</v>
      </c>
      <c r="C1532" s="14"/>
      <c r="D1532" s="14" t="s">
        <v>2390</v>
      </c>
      <c r="E1532" s="14" t="s">
        <v>36</v>
      </c>
      <c r="F1532" s="15" t="s">
        <v>22</v>
      </c>
      <c r="G1532" s="14"/>
      <c r="H1532" s="58">
        <v>3</v>
      </c>
      <c r="I1532" s="14"/>
      <c r="J1532" s="14" t="s">
        <v>23</v>
      </c>
      <c r="K1532" s="14"/>
      <c r="L1532" s="14"/>
      <c r="M1532" s="14" t="s">
        <v>650</v>
      </c>
      <c r="N1532" s="25" t="s">
        <v>37</v>
      </c>
      <c r="O1532" s="14" t="s">
        <v>2393</v>
      </c>
      <c r="P1532" s="14"/>
      <c r="Q1532" s="14"/>
      <c r="R1532" s="14" t="s">
        <v>2338</v>
      </c>
    </row>
    <row r="1533" spans="1:1027" ht="15" customHeight="1">
      <c r="A1533" s="12">
        <v>2109</v>
      </c>
      <c r="B1533" s="13" t="s">
        <v>2394</v>
      </c>
      <c r="C1533" s="14"/>
      <c r="D1533" s="16">
        <v>508</v>
      </c>
      <c r="E1533" s="14" t="s">
        <v>36</v>
      </c>
      <c r="F1533" s="15" t="s">
        <v>22</v>
      </c>
      <c r="G1533" s="18"/>
      <c r="H1533" s="58">
        <v>4</v>
      </c>
      <c r="I1533" s="16"/>
      <c r="J1533" s="14" t="s">
        <v>23</v>
      </c>
      <c r="K1533" s="18"/>
      <c r="L1533" s="18"/>
      <c r="M1533" s="18"/>
      <c r="N1533" s="18"/>
      <c r="O1533" s="18"/>
      <c r="P1533" s="18"/>
      <c r="Q1533" s="18"/>
      <c r="R1533" s="18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</row>
    <row r="1534" spans="1:1027" ht="15" customHeight="1">
      <c r="A1534" s="12">
        <v>538</v>
      </c>
      <c r="B1534" s="13" t="s">
        <v>2395</v>
      </c>
      <c r="C1534" s="14"/>
      <c r="D1534" s="14" t="s">
        <v>2396</v>
      </c>
      <c r="E1534" s="14" t="s">
        <v>172</v>
      </c>
      <c r="F1534" s="15" t="s">
        <v>22</v>
      </c>
      <c r="G1534" s="21"/>
      <c r="H1534" s="58"/>
      <c r="I1534" s="14"/>
      <c r="J1534" s="14" t="s">
        <v>23</v>
      </c>
      <c r="K1534" s="14"/>
      <c r="L1534" s="14"/>
      <c r="M1534" s="14" t="s">
        <v>1537</v>
      </c>
      <c r="N1534" s="25" t="s">
        <v>37</v>
      </c>
      <c r="O1534" s="14" t="s">
        <v>189</v>
      </c>
      <c r="P1534" s="14"/>
      <c r="Q1534" s="14"/>
      <c r="R1534" s="14" t="s">
        <v>1809</v>
      </c>
    </row>
    <row r="1535" spans="1:1027" ht="15" customHeight="1">
      <c r="A1535" s="12">
        <v>1551</v>
      </c>
      <c r="B1535" s="13" t="s">
        <v>2397</v>
      </c>
      <c r="C1535" s="14"/>
      <c r="D1535" s="14" t="s">
        <v>2396</v>
      </c>
      <c r="E1535" s="14" t="s">
        <v>172</v>
      </c>
      <c r="F1535" s="15" t="s">
        <v>22</v>
      </c>
      <c r="G1535" s="14"/>
      <c r="H1535" s="58">
        <v>2</v>
      </c>
      <c r="I1535" s="14"/>
      <c r="J1535" s="14" t="s">
        <v>23</v>
      </c>
      <c r="K1535" s="14"/>
      <c r="L1535" s="14"/>
      <c r="M1535" s="14" t="s">
        <v>650</v>
      </c>
      <c r="N1535" s="25" t="s">
        <v>37</v>
      </c>
      <c r="O1535" s="14" t="s">
        <v>2398</v>
      </c>
      <c r="P1535" s="14"/>
      <c r="Q1535" s="14"/>
      <c r="R1535" s="14" t="s">
        <v>2338</v>
      </c>
    </row>
    <row r="1536" spans="1:1027" ht="15" customHeight="1">
      <c r="A1536" s="12">
        <v>2110</v>
      </c>
      <c r="B1536" s="13" t="s">
        <v>2399</v>
      </c>
      <c r="C1536" s="14"/>
      <c r="D1536" s="16">
        <v>509</v>
      </c>
      <c r="E1536" s="14" t="s">
        <v>172</v>
      </c>
      <c r="F1536" s="15" t="s">
        <v>22</v>
      </c>
      <c r="G1536" s="18"/>
      <c r="H1536" s="58">
        <v>1</v>
      </c>
      <c r="I1536" s="16"/>
      <c r="J1536" s="14" t="s">
        <v>23</v>
      </c>
      <c r="K1536" s="18"/>
      <c r="L1536" s="18"/>
      <c r="M1536" s="18"/>
      <c r="N1536" s="18"/>
      <c r="O1536" s="18"/>
      <c r="P1536" s="18"/>
      <c r="Q1536" s="18"/>
      <c r="R1536" s="18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</row>
    <row r="1537" spans="1:36" ht="15" customHeight="1">
      <c r="A1537" s="12">
        <v>539</v>
      </c>
      <c r="B1537" s="13" t="s">
        <v>2400</v>
      </c>
      <c r="C1537" s="14"/>
      <c r="D1537" s="14" t="s">
        <v>2401</v>
      </c>
      <c r="E1537" s="14" t="s">
        <v>44</v>
      </c>
      <c r="F1537" s="15" t="s">
        <v>22</v>
      </c>
      <c r="G1537" s="21"/>
      <c r="H1537" s="58"/>
      <c r="I1537" s="14"/>
      <c r="J1537" s="14" t="s">
        <v>23</v>
      </c>
      <c r="K1537" s="14"/>
      <c r="L1537" s="14"/>
      <c r="M1537" s="14" t="s">
        <v>1537</v>
      </c>
      <c r="N1537" s="25" t="s">
        <v>37</v>
      </c>
      <c r="O1537" s="14" t="s">
        <v>185</v>
      </c>
      <c r="P1537" s="14"/>
      <c r="Q1537" s="14"/>
      <c r="R1537" s="14" t="s">
        <v>1809</v>
      </c>
    </row>
    <row r="1538" spans="1:36" ht="15" customHeight="1">
      <c r="A1538" s="12">
        <v>1552</v>
      </c>
      <c r="B1538" s="13" t="s">
        <v>2402</v>
      </c>
      <c r="C1538" s="14"/>
      <c r="D1538" s="14" t="s">
        <v>2401</v>
      </c>
      <c r="E1538" s="14" t="s">
        <v>44</v>
      </c>
      <c r="F1538" s="15" t="s">
        <v>22</v>
      </c>
      <c r="G1538" s="14"/>
      <c r="H1538" s="58">
        <v>1</v>
      </c>
      <c r="I1538" s="14"/>
      <c r="J1538" s="14" t="s">
        <v>23</v>
      </c>
      <c r="K1538" s="14"/>
      <c r="L1538" s="14"/>
      <c r="M1538" s="14" t="s">
        <v>650</v>
      </c>
      <c r="N1538" s="14" t="s">
        <v>25</v>
      </c>
      <c r="O1538" s="14"/>
      <c r="P1538" s="14"/>
      <c r="Q1538" s="14"/>
      <c r="R1538" s="14" t="s">
        <v>2338</v>
      </c>
    </row>
    <row r="1539" spans="1:36" ht="15" customHeight="1">
      <c r="A1539" s="12">
        <v>2111</v>
      </c>
      <c r="B1539" s="13" t="s">
        <v>2403</v>
      </c>
      <c r="C1539" s="14"/>
      <c r="D1539" s="16">
        <v>510</v>
      </c>
      <c r="E1539" s="16" t="s">
        <v>44</v>
      </c>
      <c r="F1539" s="15" t="s">
        <v>22</v>
      </c>
      <c r="G1539" s="18"/>
      <c r="H1539" s="58"/>
      <c r="I1539" s="16"/>
      <c r="J1539" s="14" t="s">
        <v>23</v>
      </c>
      <c r="K1539" s="18"/>
      <c r="L1539" s="18"/>
      <c r="M1539" s="18"/>
      <c r="N1539" s="18"/>
      <c r="O1539" s="18"/>
      <c r="P1539" s="18"/>
      <c r="Q1539" s="18"/>
      <c r="R1539" s="18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</row>
    <row r="1540" spans="1:36" ht="15" customHeight="1">
      <c r="A1540" s="12">
        <v>540</v>
      </c>
      <c r="B1540" s="13" t="s">
        <v>2404</v>
      </c>
      <c r="C1540" s="14"/>
      <c r="D1540" s="14" t="s">
        <v>2405</v>
      </c>
      <c r="E1540" s="14" t="s">
        <v>36</v>
      </c>
      <c r="F1540" s="15" t="s">
        <v>22</v>
      </c>
      <c r="G1540" s="21"/>
      <c r="H1540" s="58"/>
      <c r="I1540" s="14"/>
      <c r="J1540" s="14" t="s">
        <v>23</v>
      </c>
      <c r="K1540" s="14"/>
      <c r="L1540" s="14"/>
      <c r="M1540" s="14" t="s">
        <v>1537</v>
      </c>
      <c r="N1540" s="14" t="s">
        <v>25</v>
      </c>
      <c r="O1540" s="14"/>
      <c r="P1540" s="14"/>
      <c r="Q1540" s="14"/>
      <c r="R1540" s="14" t="s">
        <v>1809</v>
      </c>
    </row>
    <row r="1541" spans="1:36" ht="15" customHeight="1">
      <c r="A1541" s="12">
        <v>1300</v>
      </c>
      <c r="B1541" s="13" t="s">
        <v>2406</v>
      </c>
      <c r="C1541" s="14"/>
      <c r="D1541" s="14" t="s">
        <v>2405</v>
      </c>
      <c r="E1541" s="14" t="s">
        <v>36</v>
      </c>
      <c r="F1541" s="15" t="s">
        <v>22</v>
      </c>
      <c r="G1541" s="21"/>
      <c r="H1541" s="58">
        <v>2</v>
      </c>
      <c r="I1541" s="14"/>
      <c r="J1541" s="14" t="s">
        <v>23</v>
      </c>
      <c r="K1541" s="14"/>
      <c r="L1541" s="14"/>
      <c r="M1541" s="14" t="s">
        <v>1534</v>
      </c>
      <c r="N1541" s="25" t="s">
        <v>37</v>
      </c>
      <c r="O1541" s="14" t="s">
        <v>2407</v>
      </c>
      <c r="P1541" s="14"/>
      <c r="Q1541" s="14"/>
      <c r="R1541" s="14" t="s">
        <v>2333</v>
      </c>
    </row>
    <row r="1542" spans="1:36" ht="15" customHeight="1">
      <c r="A1542" s="12">
        <v>1553</v>
      </c>
      <c r="B1542" s="13" t="s">
        <v>2408</v>
      </c>
      <c r="C1542" s="14"/>
      <c r="D1542" s="14" t="s">
        <v>2405</v>
      </c>
      <c r="E1542" s="14" t="s">
        <v>36</v>
      </c>
      <c r="F1542" s="15" t="s">
        <v>22</v>
      </c>
      <c r="G1542" s="14"/>
      <c r="H1542" s="58">
        <v>1</v>
      </c>
      <c r="I1542" s="14"/>
      <c r="J1542" s="14" t="s">
        <v>23</v>
      </c>
      <c r="K1542" s="14"/>
      <c r="L1542" s="14"/>
      <c r="M1542" s="14" t="s">
        <v>650</v>
      </c>
      <c r="N1542" s="14" t="s">
        <v>25</v>
      </c>
      <c r="O1542" s="14"/>
      <c r="P1542" s="14"/>
      <c r="Q1542" s="14"/>
      <c r="R1542" s="14" t="s">
        <v>2338</v>
      </c>
    </row>
    <row r="1543" spans="1:36" ht="15" customHeight="1">
      <c r="A1543" s="12">
        <v>2112</v>
      </c>
      <c r="B1543" s="13" t="s">
        <v>2409</v>
      </c>
      <c r="C1543" s="14"/>
      <c r="D1543" s="16">
        <v>511</v>
      </c>
      <c r="E1543" s="16" t="s">
        <v>36</v>
      </c>
      <c r="F1543" s="15" t="s">
        <v>22</v>
      </c>
      <c r="G1543" s="18"/>
      <c r="H1543" s="58">
        <v>2</v>
      </c>
      <c r="I1543" s="16"/>
      <c r="J1543" s="14" t="s">
        <v>23</v>
      </c>
      <c r="K1543" s="18"/>
      <c r="L1543" s="18"/>
      <c r="M1543" s="18"/>
      <c r="N1543" s="18"/>
      <c r="O1543" s="18"/>
      <c r="P1543" s="18"/>
      <c r="Q1543" s="18"/>
      <c r="R1543" s="18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</row>
    <row r="1544" spans="1:36" ht="15" customHeight="1">
      <c r="A1544" s="12">
        <v>541</v>
      </c>
      <c r="B1544" s="13" t="s">
        <v>2410</v>
      </c>
      <c r="C1544" s="14"/>
      <c r="D1544" s="14" t="s">
        <v>2411</v>
      </c>
      <c r="E1544" s="14" t="s">
        <v>36</v>
      </c>
      <c r="F1544" s="15" t="s">
        <v>22</v>
      </c>
      <c r="G1544" s="21"/>
      <c r="H1544" s="58"/>
      <c r="I1544" s="14"/>
      <c r="J1544" s="14" t="s">
        <v>23</v>
      </c>
      <c r="K1544" s="14"/>
      <c r="L1544" s="14"/>
      <c r="M1544" s="14" t="s">
        <v>1537</v>
      </c>
      <c r="N1544" s="14" t="s">
        <v>25</v>
      </c>
      <c r="O1544" s="14"/>
      <c r="P1544" s="14"/>
      <c r="Q1544" s="14"/>
      <c r="R1544" s="14" t="s">
        <v>1809</v>
      </c>
    </row>
    <row r="1545" spans="1:36" ht="15" customHeight="1">
      <c r="A1545" s="12">
        <v>1301</v>
      </c>
      <c r="B1545" s="13" t="s">
        <v>2412</v>
      </c>
      <c r="C1545" s="14"/>
      <c r="D1545" s="14" t="s">
        <v>2411</v>
      </c>
      <c r="E1545" s="14" t="s">
        <v>36</v>
      </c>
      <c r="F1545" s="15" t="s">
        <v>22</v>
      </c>
      <c r="G1545" s="21"/>
      <c r="H1545" s="58">
        <v>1</v>
      </c>
      <c r="I1545" s="14"/>
      <c r="J1545" s="14" t="s">
        <v>23</v>
      </c>
      <c r="K1545" s="14"/>
      <c r="L1545" s="14"/>
      <c r="M1545" s="14" t="s">
        <v>1534</v>
      </c>
      <c r="N1545" s="14" t="s">
        <v>25</v>
      </c>
      <c r="O1545" s="14"/>
      <c r="P1545" s="14"/>
      <c r="Q1545" s="14"/>
      <c r="R1545" s="14" t="s">
        <v>2333</v>
      </c>
    </row>
    <row r="1546" spans="1:36" ht="15" customHeight="1">
      <c r="A1546" s="12">
        <v>1554</v>
      </c>
      <c r="B1546" s="13" t="s">
        <v>2413</v>
      </c>
      <c r="C1546" s="14"/>
      <c r="D1546" s="14" t="s">
        <v>2411</v>
      </c>
      <c r="E1546" s="14" t="s">
        <v>36</v>
      </c>
      <c r="F1546" s="15" t="s">
        <v>22</v>
      </c>
      <c r="G1546" s="14"/>
      <c r="H1546" s="58">
        <v>1</v>
      </c>
      <c r="I1546" s="14"/>
      <c r="J1546" s="14" t="s">
        <v>23</v>
      </c>
      <c r="K1546" s="14"/>
      <c r="L1546" s="14"/>
      <c r="M1546" s="14" t="s">
        <v>650</v>
      </c>
      <c r="N1546" s="25" t="s">
        <v>37</v>
      </c>
      <c r="O1546" s="14" t="s">
        <v>2414</v>
      </c>
      <c r="P1546" s="14"/>
      <c r="Q1546" s="14"/>
      <c r="R1546" s="14" t="s">
        <v>2338</v>
      </c>
    </row>
    <row r="1547" spans="1:36" ht="15" customHeight="1">
      <c r="A1547" s="12">
        <v>2113</v>
      </c>
      <c r="B1547" s="13" t="s">
        <v>2415</v>
      </c>
      <c r="C1547" s="14"/>
      <c r="D1547" s="16">
        <v>512</v>
      </c>
      <c r="E1547" s="16" t="s">
        <v>36</v>
      </c>
      <c r="F1547" s="15" t="s">
        <v>22</v>
      </c>
      <c r="G1547" s="18"/>
      <c r="H1547" s="58">
        <v>1</v>
      </c>
      <c r="I1547" s="16"/>
      <c r="J1547" s="14" t="s">
        <v>23</v>
      </c>
      <c r="K1547" s="18"/>
      <c r="L1547" s="18"/>
      <c r="M1547" s="18"/>
      <c r="N1547" s="18"/>
      <c r="O1547" s="18"/>
      <c r="P1547" s="18"/>
      <c r="Q1547" s="18"/>
      <c r="R1547" s="18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</row>
    <row r="1548" spans="1:36" ht="15" customHeight="1">
      <c r="A1548" s="12">
        <v>542</v>
      </c>
      <c r="B1548" s="13" t="s">
        <v>2416</v>
      </c>
      <c r="C1548" s="14"/>
      <c r="D1548" s="14" t="s">
        <v>2417</v>
      </c>
      <c r="E1548" s="14" t="s">
        <v>115</v>
      </c>
      <c r="F1548" s="15" t="s">
        <v>22</v>
      </c>
      <c r="G1548" s="21"/>
      <c r="H1548" s="58"/>
      <c r="I1548" s="14"/>
      <c r="J1548" s="14" t="s">
        <v>23</v>
      </c>
      <c r="K1548" s="14"/>
      <c r="L1548" s="14"/>
      <c r="M1548" s="14" t="s">
        <v>1537</v>
      </c>
      <c r="N1548" s="14" t="s">
        <v>25</v>
      </c>
      <c r="O1548" s="14"/>
      <c r="P1548" s="14"/>
      <c r="Q1548" s="14"/>
      <c r="R1548" s="14" t="s">
        <v>1809</v>
      </c>
    </row>
    <row r="1549" spans="1:36" ht="15" customHeight="1">
      <c r="A1549" s="12">
        <v>1555</v>
      </c>
      <c r="B1549" s="13" t="s">
        <v>2418</v>
      </c>
      <c r="C1549" s="14"/>
      <c r="D1549" s="14" t="s">
        <v>2417</v>
      </c>
      <c r="E1549" s="14" t="s">
        <v>115</v>
      </c>
      <c r="F1549" s="15" t="s">
        <v>22</v>
      </c>
      <c r="G1549" s="14"/>
      <c r="H1549" s="58">
        <v>0</v>
      </c>
      <c r="I1549" s="14"/>
      <c r="J1549" s="14" t="s">
        <v>23</v>
      </c>
      <c r="K1549" s="14"/>
      <c r="L1549" s="14"/>
      <c r="M1549" s="14" t="s">
        <v>650</v>
      </c>
      <c r="N1549" s="14" t="s">
        <v>25</v>
      </c>
      <c r="O1549" s="14"/>
      <c r="P1549" s="14"/>
      <c r="Q1549" s="14"/>
      <c r="R1549" s="14" t="s">
        <v>2338</v>
      </c>
    </row>
    <row r="1550" spans="1:36" ht="24" customHeight="1">
      <c r="A1550" s="12">
        <v>2114</v>
      </c>
      <c r="B1550" s="13" t="s">
        <v>2419</v>
      </c>
      <c r="C1550" s="14"/>
      <c r="D1550" s="16">
        <v>513</v>
      </c>
      <c r="E1550" s="16" t="s">
        <v>115</v>
      </c>
      <c r="F1550" s="15" t="s">
        <v>22</v>
      </c>
      <c r="G1550" s="18"/>
      <c r="H1550" s="58"/>
      <c r="I1550" s="16"/>
      <c r="J1550" s="14" t="s">
        <v>23</v>
      </c>
      <c r="K1550" s="18"/>
      <c r="L1550" s="18"/>
      <c r="M1550" s="18"/>
      <c r="N1550" s="18"/>
      <c r="O1550" s="18"/>
      <c r="P1550" s="18"/>
      <c r="Q1550" s="18"/>
      <c r="R1550" s="18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</row>
    <row r="1551" spans="1:36" ht="15" customHeight="1">
      <c r="A1551" s="12">
        <v>543</v>
      </c>
      <c r="B1551" s="13" t="s">
        <v>2420</v>
      </c>
      <c r="C1551" s="14"/>
      <c r="D1551" s="14" t="s">
        <v>2421</v>
      </c>
      <c r="E1551" s="14" t="s">
        <v>580</v>
      </c>
      <c r="F1551" s="15" t="s">
        <v>22</v>
      </c>
      <c r="G1551" s="21"/>
      <c r="H1551" s="58"/>
      <c r="I1551" s="14"/>
      <c r="J1551" s="14" t="s">
        <v>23</v>
      </c>
      <c r="K1551" s="14"/>
      <c r="L1551" s="14"/>
      <c r="M1551" s="14" t="s">
        <v>1537</v>
      </c>
      <c r="N1551" s="14" t="s">
        <v>25</v>
      </c>
      <c r="O1551" s="14"/>
      <c r="P1551" s="14"/>
      <c r="Q1551" s="14"/>
      <c r="R1551" s="14" t="s">
        <v>1809</v>
      </c>
    </row>
    <row r="1552" spans="1:36" ht="24" customHeight="1">
      <c r="A1552" s="12">
        <v>1302</v>
      </c>
      <c r="B1552" s="13" t="s">
        <v>2422</v>
      </c>
      <c r="C1552" s="14"/>
      <c r="D1552" s="14" t="s">
        <v>2421</v>
      </c>
      <c r="E1552" s="14" t="s">
        <v>580</v>
      </c>
      <c r="F1552" s="15" t="s">
        <v>22</v>
      </c>
      <c r="G1552" s="21"/>
      <c r="H1552" s="58">
        <v>1</v>
      </c>
      <c r="I1552" s="14"/>
      <c r="J1552" s="14" t="s">
        <v>23</v>
      </c>
      <c r="K1552" s="14"/>
      <c r="L1552" s="14"/>
      <c r="M1552" s="14" t="s">
        <v>1534</v>
      </c>
      <c r="N1552" s="14" t="s">
        <v>25</v>
      </c>
      <c r="O1552" s="14"/>
      <c r="P1552" s="14"/>
      <c r="Q1552" s="14"/>
      <c r="R1552" s="14" t="s">
        <v>2333</v>
      </c>
    </row>
    <row r="1553" spans="1:36" ht="15" customHeight="1">
      <c r="A1553" s="12">
        <v>2115</v>
      </c>
      <c r="B1553" s="13" t="s">
        <v>2423</v>
      </c>
      <c r="C1553" s="14"/>
      <c r="D1553" s="16">
        <v>514</v>
      </c>
      <c r="E1553" s="16" t="s">
        <v>580</v>
      </c>
      <c r="F1553" s="15" t="s">
        <v>22</v>
      </c>
      <c r="G1553" s="18"/>
      <c r="H1553" s="58"/>
      <c r="I1553" s="16"/>
      <c r="J1553" s="14" t="s">
        <v>23</v>
      </c>
      <c r="K1553" s="18"/>
      <c r="L1553" s="18"/>
      <c r="M1553" s="18"/>
      <c r="N1553" s="18"/>
      <c r="O1553" s="18"/>
      <c r="P1553" s="18"/>
      <c r="Q1553" s="18"/>
      <c r="R1553" s="18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</row>
    <row r="1554" spans="1:36" ht="15" customHeight="1">
      <c r="A1554" s="12">
        <v>544</v>
      </c>
      <c r="B1554" s="13" t="s">
        <v>2424</v>
      </c>
      <c r="C1554" s="14"/>
      <c r="D1554" s="14" t="s">
        <v>2425</v>
      </c>
      <c r="E1554" s="14" t="s">
        <v>21</v>
      </c>
      <c r="F1554" s="15" t="s">
        <v>22</v>
      </c>
      <c r="G1554" s="21"/>
      <c r="H1554" s="58"/>
      <c r="I1554" s="14"/>
      <c r="J1554" s="14" t="s">
        <v>23</v>
      </c>
      <c r="K1554" s="14"/>
      <c r="L1554" s="14"/>
      <c r="M1554" s="14" t="s">
        <v>1537</v>
      </c>
      <c r="N1554" s="14" t="s">
        <v>25</v>
      </c>
      <c r="O1554" s="14"/>
      <c r="P1554" s="14"/>
      <c r="Q1554" s="14"/>
      <c r="R1554" s="14" t="s">
        <v>1809</v>
      </c>
    </row>
    <row r="1555" spans="1:36" ht="15" customHeight="1">
      <c r="A1555" s="12">
        <v>1303</v>
      </c>
      <c r="B1555" s="13" t="s">
        <v>2426</v>
      </c>
      <c r="C1555" s="14"/>
      <c r="D1555" s="14" t="s">
        <v>2425</v>
      </c>
      <c r="E1555" s="14" t="s">
        <v>21</v>
      </c>
      <c r="F1555" s="15" t="s">
        <v>22</v>
      </c>
      <c r="G1555" s="21"/>
      <c r="H1555" s="58">
        <v>1</v>
      </c>
      <c r="I1555" s="14"/>
      <c r="J1555" s="14" t="s">
        <v>23</v>
      </c>
      <c r="K1555" s="14"/>
      <c r="L1555" s="14"/>
      <c r="M1555" s="14" t="s">
        <v>1534</v>
      </c>
      <c r="N1555" s="14" t="s">
        <v>25</v>
      </c>
      <c r="O1555" s="14"/>
      <c r="P1555" s="14"/>
      <c r="Q1555" s="14"/>
      <c r="R1555" s="14" t="s">
        <v>2333</v>
      </c>
    </row>
    <row r="1556" spans="1:36" ht="15" customHeight="1">
      <c r="A1556" s="12">
        <v>2116</v>
      </c>
      <c r="B1556" s="13" t="s">
        <v>2427</v>
      </c>
      <c r="C1556" s="14"/>
      <c r="D1556" s="16">
        <v>515</v>
      </c>
      <c r="E1556" s="14" t="s">
        <v>21</v>
      </c>
      <c r="F1556" s="15" t="s">
        <v>22</v>
      </c>
      <c r="G1556" s="18"/>
      <c r="H1556" s="58"/>
      <c r="I1556" s="16"/>
      <c r="J1556" s="14" t="s">
        <v>23</v>
      </c>
      <c r="K1556" s="18"/>
      <c r="L1556" s="18"/>
      <c r="M1556" s="18"/>
      <c r="N1556" s="18"/>
      <c r="O1556" s="18"/>
      <c r="P1556" s="18"/>
      <c r="Q1556" s="18"/>
      <c r="R1556" s="18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</row>
    <row r="1557" spans="1:36" ht="15" customHeight="1">
      <c r="A1557" s="12">
        <v>545</v>
      </c>
      <c r="B1557" s="13" t="s">
        <v>2428</v>
      </c>
      <c r="C1557" s="14"/>
      <c r="D1557" s="14" t="s">
        <v>2429</v>
      </c>
      <c r="E1557" s="14" t="s">
        <v>2430</v>
      </c>
      <c r="F1557" s="15" t="s">
        <v>22</v>
      </c>
      <c r="G1557" s="21"/>
      <c r="H1557" s="58"/>
      <c r="I1557" s="14"/>
      <c r="J1557" s="14" t="s">
        <v>23</v>
      </c>
      <c r="K1557" s="14"/>
      <c r="L1557" s="14"/>
      <c r="M1557" s="14" t="s">
        <v>1537</v>
      </c>
      <c r="N1557" s="25" t="s">
        <v>37</v>
      </c>
      <c r="O1557" s="14" t="s">
        <v>38</v>
      </c>
      <c r="P1557" s="14"/>
      <c r="Q1557" s="14"/>
      <c r="R1557" s="14" t="s">
        <v>1809</v>
      </c>
    </row>
    <row r="1558" spans="1:36" ht="15" customHeight="1">
      <c r="A1558" s="12">
        <v>1304</v>
      </c>
      <c r="B1558" s="13" t="s">
        <v>2431</v>
      </c>
      <c r="C1558" s="14"/>
      <c r="D1558" s="14" t="s">
        <v>2429</v>
      </c>
      <c r="E1558" s="14" t="s">
        <v>2430</v>
      </c>
      <c r="F1558" s="15" t="s">
        <v>22</v>
      </c>
      <c r="G1558" s="21"/>
      <c r="H1558" s="58">
        <v>4</v>
      </c>
      <c r="I1558" s="14"/>
      <c r="J1558" s="14" t="s">
        <v>23</v>
      </c>
      <c r="K1558" s="14"/>
      <c r="L1558" s="14"/>
      <c r="M1558" s="14" t="s">
        <v>1534</v>
      </c>
      <c r="N1558" s="25" t="s">
        <v>37</v>
      </c>
      <c r="O1558" s="14" t="s">
        <v>1468</v>
      </c>
      <c r="P1558" s="14"/>
      <c r="Q1558" s="14"/>
      <c r="R1558" s="14" t="s">
        <v>2333</v>
      </c>
    </row>
    <row r="1559" spans="1:36" ht="15" customHeight="1">
      <c r="A1559" s="12">
        <v>1556</v>
      </c>
      <c r="B1559" s="13" t="s">
        <v>2432</v>
      </c>
      <c r="C1559" s="14"/>
      <c r="D1559" s="14" t="s">
        <v>2429</v>
      </c>
      <c r="E1559" s="14" t="s">
        <v>2430</v>
      </c>
      <c r="F1559" s="15" t="s">
        <v>22</v>
      </c>
      <c r="G1559" s="14"/>
      <c r="H1559" s="58">
        <v>4</v>
      </c>
      <c r="I1559" s="14"/>
      <c r="J1559" s="14" t="s">
        <v>23</v>
      </c>
      <c r="K1559" s="14"/>
      <c r="L1559" s="14"/>
      <c r="M1559" s="14" t="s">
        <v>650</v>
      </c>
      <c r="N1559" s="25" t="s">
        <v>37</v>
      </c>
      <c r="O1559" s="14" t="s">
        <v>389</v>
      </c>
      <c r="P1559" s="14"/>
      <c r="Q1559" s="14"/>
      <c r="R1559" s="14" t="s">
        <v>2338</v>
      </c>
    </row>
    <row r="1560" spans="1:36" ht="15" customHeight="1">
      <c r="A1560" s="12">
        <v>2117</v>
      </c>
      <c r="B1560" s="13" t="s">
        <v>2433</v>
      </c>
      <c r="C1560" s="14"/>
      <c r="D1560" s="16">
        <v>516</v>
      </c>
      <c r="E1560" s="14" t="s">
        <v>2430</v>
      </c>
      <c r="F1560" s="15" t="s">
        <v>22</v>
      </c>
      <c r="G1560" s="18"/>
      <c r="H1560" s="58">
        <v>4</v>
      </c>
      <c r="I1560" s="16"/>
      <c r="J1560" s="14" t="s">
        <v>23</v>
      </c>
      <c r="K1560" s="18"/>
      <c r="L1560" s="18"/>
      <c r="M1560" s="18"/>
      <c r="N1560" s="18"/>
      <c r="O1560" s="18"/>
      <c r="P1560" s="18"/>
      <c r="Q1560" s="18"/>
      <c r="R1560" s="18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</row>
    <row r="1561" spans="1:36" ht="15" customHeight="1">
      <c r="A1561" s="12">
        <v>546</v>
      </c>
      <c r="B1561" s="13" t="s">
        <v>2434</v>
      </c>
      <c r="C1561" s="14"/>
      <c r="D1561" s="14" t="s">
        <v>2435</v>
      </c>
      <c r="E1561" s="14" t="s">
        <v>2430</v>
      </c>
      <c r="F1561" s="15" t="s">
        <v>22</v>
      </c>
      <c r="G1561" s="21"/>
      <c r="H1561" s="58"/>
      <c r="I1561" s="14"/>
      <c r="J1561" s="14" t="s">
        <v>23</v>
      </c>
      <c r="K1561" s="14"/>
      <c r="L1561" s="14"/>
      <c r="M1561" s="14" t="s">
        <v>1537</v>
      </c>
      <c r="N1561" s="25" t="s">
        <v>37</v>
      </c>
      <c r="O1561" s="14" t="s">
        <v>52</v>
      </c>
      <c r="P1561" s="14"/>
      <c r="Q1561" s="14"/>
      <c r="R1561" s="14" t="s">
        <v>1809</v>
      </c>
    </row>
    <row r="1562" spans="1:36" ht="15" customHeight="1">
      <c r="A1562" s="12">
        <v>1305</v>
      </c>
      <c r="B1562" s="13" t="s">
        <v>2436</v>
      </c>
      <c r="C1562" s="14"/>
      <c r="D1562" s="14" t="s">
        <v>2435</v>
      </c>
      <c r="E1562" s="14" t="s">
        <v>2430</v>
      </c>
      <c r="F1562" s="15" t="s">
        <v>22</v>
      </c>
      <c r="G1562" s="21"/>
      <c r="H1562" s="58">
        <v>3</v>
      </c>
      <c r="I1562" s="14"/>
      <c r="J1562" s="14" t="s">
        <v>23</v>
      </c>
      <c r="K1562" s="14"/>
      <c r="L1562" s="14"/>
      <c r="M1562" s="14" t="s">
        <v>1534</v>
      </c>
      <c r="N1562" s="25" t="s">
        <v>37</v>
      </c>
      <c r="O1562" s="14" t="s">
        <v>2030</v>
      </c>
      <c r="P1562" s="14"/>
      <c r="Q1562" s="14"/>
      <c r="R1562" s="14" t="s">
        <v>2333</v>
      </c>
    </row>
    <row r="1563" spans="1:36" ht="15" customHeight="1">
      <c r="A1563" s="12">
        <v>2118</v>
      </c>
      <c r="B1563" s="13" t="s">
        <v>2437</v>
      </c>
      <c r="C1563" s="14"/>
      <c r="D1563" s="16">
        <v>517</v>
      </c>
      <c r="E1563" s="16" t="s">
        <v>2430</v>
      </c>
      <c r="F1563" s="15" t="s">
        <v>22</v>
      </c>
      <c r="G1563" s="18"/>
      <c r="H1563" s="58">
        <v>4</v>
      </c>
      <c r="I1563" s="16"/>
      <c r="J1563" s="14" t="s">
        <v>23</v>
      </c>
      <c r="K1563" s="18"/>
      <c r="L1563" s="18"/>
      <c r="M1563" s="18"/>
      <c r="N1563" s="18"/>
      <c r="O1563" s="18"/>
      <c r="P1563" s="18"/>
      <c r="Q1563" s="18"/>
      <c r="R1563" s="18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</row>
    <row r="1564" spans="1:36" ht="15" customHeight="1">
      <c r="A1564" s="12">
        <v>547</v>
      </c>
      <c r="B1564" s="13" t="s">
        <v>2438</v>
      </c>
      <c r="C1564" s="14"/>
      <c r="D1564" s="14" t="s">
        <v>2439</v>
      </c>
      <c r="E1564" s="14"/>
      <c r="F1564" s="15" t="s">
        <v>22</v>
      </c>
      <c r="G1564" s="21"/>
      <c r="H1564" s="58"/>
      <c r="I1564" s="14"/>
      <c r="J1564" s="14" t="s">
        <v>23</v>
      </c>
      <c r="K1564" s="14"/>
      <c r="L1564" s="14"/>
      <c r="M1564" s="14" t="s">
        <v>1537</v>
      </c>
      <c r="N1564" s="14" t="s">
        <v>25</v>
      </c>
      <c r="O1564" s="14"/>
      <c r="P1564" s="14"/>
      <c r="Q1564" s="14"/>
      <c r="R1564" s="14" t="s">
        <v>1809</v>
      </c>
    </row>
    <row r="1565" spans="1:36" ht="15" customHeight="1">
      <c r="A1565" s="12">
        <v>1306</v>
      </c>
      <c r="B1565" s="13" t="s">
        <v>2440</v>
      </c>
      <c r="C1565" s="14"/>
      <c r="D1565" s="14" t="s">
        <v>2439</v>
      </c>
      <c r="E1565" s="14" t="s">
        <v>172</v>
      </c>
      <c r="F1565" s="15" t="s">
        <v>22</v>
      </c>
      <c r="G1565" s="21"/>
      <c r="H1565" s="58">
        <v>1</v>
      </c>
      <c r="I1565" s="14"/>
      <c r="J1565" s="14" t="s">
        <v>23</v>
      </c>
      <c r="K1565" s="14"/>
      <c r="L1565" s="14"/>
      <c r="M1565" s="14" t="s">
        <v>1534</v>
      </c>
      <c r="N1565" s="25" t="s">
        <v>37</v>
      </c>
      <c r="O1565" s="14" t="s">
        <v>2441</v>
      </c>
      <c r="P1565" s="14"/>
      <c r="Q1565" s="14"/>
      <c r="R1565" s="14" t="s">
        <v>2333</v>
      </c>
    </row>
    <row r="1566" spans="1:36" ht="15" customHeight="1">
      <c r="A1566" s="12">
        <v>2119</v>
      </c>
      <c r="B1566" s="13" t="s">
        <v>2442</v>
      </c>
      <c r="C1566" s="14"/>
      <c r="D1566" s="16">
        <v>518</v>
      </c>
      <c r="E1566" s="16"/>
      <c r="F1566" s="15" t="s">
        <v>22</v>
      </c>
      <c r="G1566" s="18"/>
      <c r="H1566" s="58"/>
      <c r="I1566" s="16"/>
      <c r="J1566" s="14" t="s">
        <v>23</v>
      </c>
      <c r="K1566" s="18"/>
      <c r="L1566" s="18"/>
      <c r="M1566" s="18"/>
      <c r="N1566" s="18"/>
      <c r="O1566" s="18"/>
      <c r="P1566" s="18"/>
      <c r="Q1566" s="18"/>
      <c r="R1566" s="18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</row>
    <row r="1567" spans="1:36" ht="15" customHeight="1">
      <c r="A1567" s="12">
        <v>548</v>
      </c>
      <c r="B1567" s="13" t="s">
        <v>2443</v>
      </c>
      <c r="C1567" s="14"/>
      <c r="D1567" s="14" t="s">
        <v>2444</v>
      </c>
      <c r="E1567" s="14" t="s">
        <v>2430</v>
      </c>
      <c r="F1567" s="15" t="s">
        <v>22</v>
      </c>
      <c r="G1567" s="21"/>
      <c r="H1567" s="58"/>
      <c r="I1567" s="14"/>
      <c r="J1567" s="14" t="s">
        <v>23</v>
      </c>
      <c r="K1567" s="14"/>
      <c r="L1567" s="14"/>
      <c r="M1567" s="14" t="s">
        <v>1537</v>
      </c>
      <c r="N1567" s="14" t="s">
        <v>25</v>
      </c>
      <c r="O1567" s="14"/>
      <c r="P1567" s="14"/>
      <c r="Q1567" s="14"/>
      <c r="R1567" s="14" t="s">
        <v>1809</v>
      </c>
    </row>
    <row r="1568" spans="1:36" ht="15" customHeight="1">
      <c r="A1568" s="12">
        <v>1307</v>
      </c>
      <c r="B1568" s="13" t="s">
        <v>2445</v>
      </c>
      <c r="C1568" s="14"/>
      <c r="D1568" s="14" t="s">
        <v>2444</v>
      </c>
      <c r="E1568" s="14" t="s">
        <v>2430</v>
      </c>
      <c r="F1568" s="15" t="s">
        <v>22</v>
      </c>
      <c r="G1568" s="21"/>
      <c r="H1568" s="58">
        <v>0</v>
      </c>
      <c r="I1568" s="14"/>
      <c r="J1568" s="14" t="s">
        <v>23</v>
      </c>
      <c r="K1568" s="14"/>
      <c r="L1568" s="14"/>
      <c r="M1568" s="14" t="s">
        <v>1534</v>
      </c>
      <c r="N1568" s="14" t="s">
        <v>25</v>
      </c>
      <c r="O1568" s="14"/>
      <c r="P1568" s="14"/>
      <c r="Q1568" s="14"/>
      <c r="R1568" s="14" t="s">
        <v>2333</v>
      </c>
    </row>
    <row r="1569" spans="1:36" ht="15" customHeight="1">
      <c r="A1569" s="12">
        <v>2120</v>
      </c>
      <c r="B1569" s="13" t="s">
        <v>2446</v>
      </c>
      <c r="C1569" s="14"/>
      <c r="D1569" s="16">
        <v>519</v>
      </c>
      <c r="E1569" s="14" t="s">
        <v>2430</v>
      </c>
      <c r="F1569" s="15" t="s">
        <v>22</v>
      </c>
      <c r="G1569" s="18"/>
      <c r="H1569" s="58"/>
      <c r="I1569" s="16"/>
      <c r="J1569" s="14" t="s">
        <v>23</v>
      </c>
      <c r="K1569" s="18"/>
      <c r="L1569" s="18"/>
      <c r="M1569" s="18"/>
      <c r="N1569" s="18"/>
      <c r="O1569" s="18"/>
      <c r="P1569" s="18"/>
      <c r="Q1569" s="18"/>
      <c r="R1569" s="18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</row>
    <row r="1570" spans="1:36" ht="15" customHeight="1">
      <c r="A1570" s="12">
        <v>549</v>
      </c>
      <c r="B1570" s="13" t="s">
        <v>2447</v>
      </c>
      <c r="C1570" s="14"/>
      <c r="D1570" s="14" t="s">
        <v>2448</v>
      </c>
      <c r="E1570" s="14" t="s">
        <v>2430</v>
      </c>
      <c r="F1570" s="15" t="s">
        <v>22</v>
      </c>
      <c r="G1570" s="21"/>
      <c r="H1570" s="58"/>
      <c r="I1570" s="14"/>
      <c r="J1570" s="14" t="s">
        <v>23</v>
      </c>
      <c r="K1570" s="14"/>
      <c r="L1570" s="14"/>
      <c r="M1570" s="14" t="s">
        <v>1537</v>
      </c>
      <c r="N1570" s="14" t="s">
        <v>25</v>
      </c>
      <c r="O1570" s="14"/>
      <c r="P1570" s="14"/>
      <c r="Q1570" s="14"/>
      <c r="R1570" s="14" t="s">
        <v>2449</v>
      </c>
    </row>
    <row r="1571" spans="1:36" ht="15" customHeight="1">
      <c r="A1571" s="12">
        <v>1308</v>
      </c>
      <c r="B1571" s="13" t="s">
        <v>2450</v>
      </c>
      <c r="C1571" s="14"/>
      <c r="D1571" s="14" t="s">
        <v>2448</v>
      </c>
      <c r="E1571" s="14" t="s">
        <v>2430</v>
      </c>
      <c r="F1571" s="15" t="s">
        <v>22</v>
      </c>
      <c r="G1571" s="21"/>
      <c r="H1571" s="58">
        <v>1</v>
      </c>
      <c r="I1571" s="14"/>
      <c r="J1571" s="14" t="s">
        <v>23</v>
      </c>
      <c r="K1571" s="14"/>
      <c r="L1571" s="14"/>
      <c r="M1571" s="14" t="s">
        <v>1534</v>
      </c>
      <c r="N1571" s="14" t="s">
        <v>25</v>
      </c>
      <c r="O1571" s="14"/>
      <c r="P1571" s="14"/>
      <c r="Q1571" s="14"/>
      <c r="R1571" s="14" t="s">
        <v>2333</v>
      </c>
    </row>
    <row r="1572" spans="1:36" ht="15" customHeight="1">
      <c r="A1572" s="12">
        <v>2121</v>
      </c>
      <c r="B1572" s="13" t="s">
        <v>2451</v>
      </c>
      <c r="C1572" s="14"/>
      <c r="D1572" s="16">
        <v>520</v>
      </c>
      <c r="E1572" s="14" t="s">
        <v>2430</v>
      </c>
      <c r="F1572" s="15" t="s">
        <v>22</v>
      </c>
      <c r="G1572" s="18"/>
      <c r="H1572" s="58"/>
      <c r="I1572" s="16"/>
      <c r="J1572" s="14" t="s">
        <v>23</v>
      </c>
      <c r="K1572" s="18"/>
      <c r="L1572" s="18"/>
      <c r="M1572" s="18"/>
      <c r="N1572" s="18"/>
      <c r="O1572" s="18"/>
      <c r="P1572" s="18"/>
      <c r="Q1572" s="18"/>
      <c r="R1572" s="18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</row>
    <row r="1573" spans="1:36" ht="15" customHeight="1">
      <c r="A1573" s="12">
        <v>550</v>
      </c>
      <c r="B1573" s="13" t="s">
        <v>2452</v>
      </c>
      <c r="C1573" s="14"/>
      <c r="D1573" s="14" t="s">
        <v>2453</v>
      </c>
      <c r="E1573" s="14" t="s">
        <v>2430</v>
      </c>
      <c r="F1573" s="15" t="s">
        <v>22</v>
      </c>
      <c r="G1573" s="21"/>
      <c r="H1573" s="58"/>
      <c r="I1573" s="14"/>
      <c r="J1573" s="14" t="s">
        <v>23</v>
      </c>
      <c r="K1573" s="14"/>
      <c r="L1573" s="14"/>
      <c r="M1573" s="14" t="s">
        <v>1537</v>
      </c>
      <c r="N1573" s="14" t="s">
        <v>25</v>
      </c>
      <c r="O1573" s="14"/>
      <c r="P1573" s="14"/>
      <c r="Q1573" s="14"/>
      <c r="R1573" s="14" t="s">
        <v>2449</v>
      </c>
    </row>
    <row r="1574" spans="1:36" ht="15" customHeight="1">
      <c r="A1574" s="12">
        <v>1309</v>
      </c>
      <c r="B1574" s="13" t="s">
        <v>2454</v>
      </c>
      <c r="C1574" s="14"/>
      <c r="D1574" s="14" t="s">
        <v>2453</v>
      </c>
      <c r="E1574" s="14" t="s">
        <v>2430</v>
      </c>
      <c r="F1574" s="15" t="s">
        <v>22</v>
      </c>
      <c r="G1574" s="21"/>
      <c r="H1574" s="58">
        <v>0</v>
      </c>
      <c r="I1574" s="14"/>
      <c r="J1574" s="14" t="s">
        <v>23</v>
      </c>
      <c r="K1574" s="14"/>
      <c r="L1574" s="14"/>
      <c r="M1574" s="14" t="s">
        <v>1534</v>
      </c>
      <c r="N1574" s="14" t="s">
        <v>25</v>
      </c>
      <c r="O1574" s="14"/>
      <c r="P1574" s="14"/>
      <c r="Q1574" s="14"/>
      <c r="R1574" s="14" t="s">
        <v>2333</v>
      </c>
    </row>
    <row r="1575" spans="1:36" ht="15" customHeight="1">
      <c r="A1575" s="12">
        <v>2122</v>
      </c>
      <c r="B1575" s="13" t="s">
        <v>2455</v>
      </c>
      <c r="C1575" s="14"/>
      <c r="D1575" s="16">
        <v>521</v>
      </c>
      <c r="E1575" s="14" t="s">
        <v>2430</v>
      </c>
      <c r="F1575" s="15" t="s">
        <v>22</v>
      </c>
      <c r="G1575" s="18"/>
      <c r="H1575" s="58"/>
      <c r="I1575" s="16"/>
      <c r="J1575" s="14" t="s">
        <v>23</v>
      </c>
      <c r="K1575" s="18"/>
      <c r="L1575" s="18"/>
      <c r="M1575" s="18"/>
      <c r="N1575" s="18"/>
      <c r="O1575" s="18"/>
      <c r="P1575" s="18"/>
      <c r="Q1575" s="18"/>
      <c r="R1575" s="18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</row>
    <row r="1576" spans="1:36" ht="15" customHeight="1">
      <c r="A1576" s="12">
        <v>551</v>
      </c>
      <c r="B1576" s="13" t="s">
        <v>2456</v>
      </c>
      <c r="C1576" s="14"/>
      <c r="D1576" s="14" t="s">
        <v>2457</v>
      </c>
      <c r="E1576" s="14" t="s">
        <v>2430</v>
      </c>
      <c r="F1576" s="15" t="s">
        <v>22</v>
      </c>
      <c r="G1576" s="21"/>
      <c r="H1576" s="58"/>
      <c r="I1576" s="14"/>
      <c r="J1576" s="14" t="s">
        <v>23</v>
      </c>
      <c r="K1576" s="14"/>
      <c r="L1576" s="14"/>
      <c r="M1576" s="14" t="s">
        <v>1537</v>
      </c>
      <c r="N1576" s="14" t="s">
        <v>25</v>
      </c>
      <c r="O1576" s="14"/>
      <c r="P1576" s="14"/>
      <c r="Q1576" s="14"/>
      <c r="R1576" s="14" t="s">
        <v>2449</v>
      </c>
    </row>
    <row r="1577" spans="1:36" ht="15" customHeight="1">
      <c r="A1577" s="12">
        <v>1310</v>
      </c>
      <c r="B1577" s="13" t="s">
        <v>2458</v>
      </c>
      <c r="C1577" s="14"/>
      <c r="D1577" s="14" t="s">
        <v>2457</v>
      </c>
      <c r="E1577" s="14" t="s">
        <v>2430</v>
      </c>
      <c r="F1577" s="15" t="s">
        <v>22</v>
      </c>
      <c r="G1577" s="21"/>
      <c r="H1577" s="58">
        <v>1</v>
      </c>
      <c r="I1577" s="14"/>
      <c r="J1577" s="14" t="s">
        <v>23</v>
      </c>
      <c r="K1577" s="14"/>
      <c r="L1577" s="14"/>
      <c r="M1577" s="14" t="s">
        <v>1534</v>
      </c>
      <c r="N1577" s="14" t="s">
        <v>25</v>
      </c>
      <c r="O1577" s="14"/>
      <c r="P1577" s="14"/>
      <c r="Q1577" s="14"/>
      <c r="R1577" s="14" t="s">
        <v>2333</v>
      </c>
    </row>
    <row r="1578" spans="1:36" ht="15" customHeight="1">
      <c r="A1578" s="12">
        <v>2123</v>
      </c>
      <c r="B1578" s="13" t="s">
        <v>2459</v>
      </c>
      <c r="C1578" s="14"/>
      <c r="D1578" s="16">
        <v>522</v>
      </c>
      <c r="E1578" s="14" t="s">
        <v>2430</v>
      </c>
      <c r="F1578" s="15" t="s">
        <v>22</v>
      </c>
      <c r="G1578" s="18"/>
      <c r="H1578" s="58"/>
      <c r="I1578" s="16"/>
      <c r="J1578" s="14" t="s">
        <v>23</v>
      </c>
      <c r="K1578" s="18"/>
      <c r="L1578" s="18"/>
      <c r="M1578" s="18"/>
      <c r="N1578" s="18"/>
      <c r="O1578" s="18"/>
      <c r="P1578" s="18"/>
      <c r="Q1578" s="18"/>
      <c r="R1578" s="18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</row>
    <row r="1579" spans="1:36" ht="15" customHeight="1">
      <c r="A1579" s="12">
        <v>552</v>
      </c>
      <c r="B1579" s="13" t="s">
        <v>2460</v>
      </c>
      <c r="C1579" s="14"/>
      <c r="D1579" s="14" t="s">
        <v>2461</v>
      </c>
      <c r="E1579" s="14" t="s">
        <v>2430</v>
      </c>
      <c r="F1579" s="15" t="s">
        <v>22</v>
      </c>
      <c r="G1579" s="21"/>
      <c r="H1579" s="58"/>
      <c r="I1579" s="14"/>
      <c r="J1579" s="14" t="s">
        <v>23</v>
      </c>
      <c r="K1579" s="14"/>
      <c r="L1579" s="14"/>
      <c r="M1579" s="14" t="s">
        <v>1537</v>
      </c>
      <c r="N1579" s="14" t="s">
        <v>25</v>
      </c>
      <c r="O1579" s="14"/>
      <c r="P1579" s="14"/>
      <c r="Q1579" s="14"/>
      <c r="R1579" s="14" t="s">
        <v>2449</v>
      </c>
    </row>
    <row r="1580" spans="1:36" ht="15" customHeight="1">
      <c r="A1580" s="12">
        <v>1311</v>
      </c>
      <c r="B1580" s="13" t="s">
        <v>2462</v>
      </c>
      <c r="C1580" s="14"/>
      <c r="D1580" s="14" t="s">
        <v>2461</v>
      </c>
      <c r="E1580" s="14" t="s">
        <v>2430</v>
      </c>
      <c r="F1580" s="15" t="s">
        <v>22</v>
      </c>
      <c r="G1580" s="21"/>
      <c r="H1580" s="58">
        <v>1</v>
      </c>
      <c r="I1580" s="14"/>
      <c r="J1580" s="14" t="s">
        <v>23</v>
      </c>
      <c r="K1580" s="14"/>
      <c r="L1580" s="14"/>
      <c r="M1580" s="14" t="s">
        <v>1534</v>
      </c>
      <c r="N1580" s="14" t="s">
        <v>25</v>
      </c>
      <c r="O1580" s="14"/>
      <c r="P1580" s="14"/>
      <c r="Q1580" s="14"/>
      <c r="R1580" s="14" t="s">
        <v>2333</v>
      </c>
    </row>
    <row r="1581" spans="1:36" ht="15" customHeight="1">
      <c r="A1581" s="12">
        <v>2124</v>
      </c>
      <c r="B1581" s="13" t="s">
        <v>2463</v>
      </c>
      <c r="C1581" s="14"/>
      <c r="D1581" s="16">
        <v>523</v>
      </c>
      <c r="E1581" s="14" t="s">
        <v>2430</v>
      </c>
      <c r="F1581" s="15" t="s">
        <v>22</v>
      </c>
      <c r="G1581" s="18"/>
      <c r="H1581" s="58"/>
      <c r="I1581" s="16"/>
      <c r="J1581" s="14" t="s">
        <v>23</v>
      </c>
      <c r="K1581" s="18"/>
      <c r="L1581" s="18"/>
      <c r="M1581" s="18"/>
      <c r="N1581" s="18"/>
      <c r="O1581" s="18"/>
      <c r="P1581" s="18"/>
      <c r="Q1581" s="18"/>
      <c r="R1581" s="18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</row>
    <row r="1582" spans="1:36" ht="15" customHeight="1">
      <c r="A1582" s="12">
        <v>553</v>
      </c>
      <c r="B1582" s="13" t="s">
        <v>2464</v>
      </c>
      <c r="C1582" s="14"/>
      <c r="D1582" s="14" t="s">
        <v>2465</v>
      </c>
      <c r="E1582" s="14" t="s">
        <v>2430</v>
      </c>
      <c r="F1582" s="15" t="s">
        <v>22</v>
      </c>
      <c r="G1582" s="21"/>
      <c r="H1582" s="58"/>
      <c r="I1582" s="14"/>
      <c r="J1582" s="14" t="s">
        <v>23</v>
      </c>
      <c r="K1582" s="14"/>
      <c r="L1582" s="14"/>
      <c r="M1582" s="14" t="s">
        <v>1537</v>
      </c>
      <c r="N1582" s="14" t="s">
        <v>25</v>
      </c>
      <c r="O1582" s="14"/>
      <c r="P1582" s="14"/>
      <c r="Q1582" s="14"/>
      <c r="R1582" s="14" t="s">
        <v>2449</v>
      </c>
    </row>
    <row r="1583" spans="1:36" ht="15" customHeight="1">
      <c r="A1583" s="12">
        <v>1312</v>
      </c>
      <c r="B1583" s="13" t="s">
        <v>2466</v>
      </c>
      <c r="C1583" s="14"/>
      <c r="D1583" s="14" t="s">
        <v>2465</v>
      </c>
      <c r="E1583" s="14" t="s">
        <v>2430</v>
      </c>
      <c r="F1583" s="15" t="s">
        <v>22</v>
      </c>
      <c r="G1583" s="21"/>
      <c r="H1583" s="58">
        <v>1</v>
      </c>
      <c r="I1583" s="14"/>
      <c r="J1583" s="14" t="s">
        <v>23</v>
      </c>
      <c r="K1583" s="14"/>
      <c r="L1583" s="14"/>
      <c r="M1583" s="14" t="s">
        <v>1534</v>
      </c>
      <c r="N1583" s="14" t="s">
        <v>25</v>
      </c>
      <c r="O1583" s="14"/>
      <c r="P1583" s="14"/>
      <c r="Q1583" s="14"/>
      <c r="R1583" s="14" t="s">
        <v>2333</v>
      </c>
    </row>
    <row r="1584" spans="1:36" ht="15" customHeight="1">
      <c r="A1584" s="12">
        <v>2125</v>
      </c>
      <c r="B1584" s="13" t="s">
        <v>2467</v>
      </c>
      <c r="C1584" s="31"/>
      <c r="D1584" s="16">
        <v>524</v>
      </c>
      <c r="E1584" s="14" t="s">
        <v>2430</v>
      </c>
      <c r="F1584" s="15" t="s">
        <v>22</v>
      </c>
      <c r="G1584" s="18"/>
      <c r="H1584" s="58"/>
      <c r="I1584" s="16"/>
      <c r="J1584" s="14" t="s">
        <v>23</v>
      </c>
      <c r="K1584" s="18"/>
      <c r="L1584" s="18"/>
      <c r="M1584" s="18"/>
      <c r="N1584" s="18"/>
      <c r="O1584" s="18"/>
      <c r="P1584" s="18"/>
      <c r="Q1584" s="18"/>
      <c r="R1584" s="18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</row>
    <row r="1585" spans="1:36" ht="15" customHeight="1">
      <c r="A1585" s="12">
        <v>554</v>
      </c>
      <c r="B1585" s="13" t="s">
        <v>2468</v>
      </c>
      <c r="C1585" s="14"/>
      <c r="D1585" s="14" t="s">
        <v>2469</v>
      </c>
      <c r="E1585" s="14" t="s">
        <v>2430</v>
      </c>
      <c r="F1585" s="15" t="s">
        <v>22</v>
      </c>
      <c r="G1585" s="21"/>
      <c r="H1585" s="58"/>
      <c r="I1585" s="14"/>
      <c r="J1585" s="14" t="s">
        <v>23</v>
      </c>
      <c r="K1585" s="14"/>
      <c r="L1585" s="14"/>
      <c r="M1585" s="14" t="s">
        <v>1537</v>
      </c>
      <c r="N1585" s="14" t="s">
        <v>25</v>
      </c>
      <c r="O1585" s="14"/>
      <c r="P1585" s="14"/>
      <c r="Q1585" s="14"/>
      <c r="R1585" s="14" t="s">
        <v>2449</v>
      </c>
    </row>
    <row r="1586" spans="1:36" ht="15" customHeight="1">
      <c r="A1586" s="12">
        <v>1313</v>
      </c>
      <c r="B1586" s="13" t="s">
        <v>2470</v>
      </c>
      <c r="C1586" s="14"/>
      <c r="D1586" s="14" t="s">
        <v>2469</v>
      </c>
      <c r="E1586" s="14" t="s">
        <v>2430</v>
      </c>
      <c r="F1586" s="15" t="s">
        <v>22</v>
      </c>
      <c r="G1586" s="21"/>
      <c r="H1586" s="58">
        <v>1</v>
      </c>
      <c r="I1586" s="14"/>
      <c r="J1586" s="14" t="s">
        <v>23</v>
      </c>
      <c r="K1586" s="14"/>
      <c r="L1586" s="14"/>
      <c r="M1586" s="14" t="s">
        <v>1534</v>
      </c>
      <c r="N1586" s="14" t="s">
        <v>25</v>
      </c>
      <c r="O1586" s="14"/>
      <c r="P1586" s="14"/>
      <c r="Q1586" s="14"/>
      <c r="R1586" s="14" t="s">
        <v>2333</v>
      </c>
    </row>
    <row r="1587" spans="1:36" ht="15" customHeight="1">
      <c r="A1587" s="12">
        <v>2126</v>
      </c>
      <c r="B1587" s="13" t="s">
        <v>2471</v>
      </c>
      <c r="C1587" s="31"/>
      <c r="D1587" s="16">
        <v>525</v>
      </c>
      <c r="E1587" s="14" t="s">
        <v>2430</v>
      </c>
      <c r="F1587" s="15" t="s">
        <v>22</v>
      </c>
      <c r="G1587" s="18"/>
      <c r="H1587" s="58"/>
      <c r="I1587" s="16"/>
      <c r="J1587" s="14" t="s">
        <v>23</v>
      </c>
      <c r="K1587" s="18"/>
      <c r="L1587" s="18"/>
      <c r="M1587" s="18"/>
      <c r="N1587" s="18"/>
      <c r="O1587" s="18"/>
      <c r="P1587" s="18"/>
      <c r="Q1587" s="18"/>
      <c r="R1587" s="18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</row>
    <row r="1588" spans="1:36" ht="15" customHeight="1">
      <c r="A1588" s="12">
        <v>555</v>
      </c>
      <c r="B1588" s="13" t="s">
        <v>2472</v>
      </c>
      <c r="C1588" s="14"/>
      <c r="D1588" s="14" t="s">
        <v>2473</v>
      </c>
      <c r="E1588" s="14" t="s">
        <v>2430</v>
      </c>
      <c r="F1588" s="15" t="s">
        <v>22</v>
      </c>
      <c r="G1588" s="21"/>
      <c r="H1588" s="58"/>
      <c r="I1588" s="14"/>
      <c r="J1588" s="14" t="s">
        <v>23</v>
      </c>
      <c r="K1588" s="14"/>
      <c r="L1588" s="14"/>
      <c r="M1588" s="14" t="s">
        <v>1537</v>
      </c>
      <c r="N1588" s="14" t="s">
        <v>25</v>
      </c>
      <c r="O1588" s="14"/>
      <c r="P1588" s="14"/>
      <c r="Q1588" s="14"/>
      <c r="R1588" s="14" t="s">
        <v>2449</v>
      </c>
    </row>
    <row r="1589" spans="1:36" ht="15" customHeight="1">
      <c r="A1589" s="12">
        <v>1314</v>
      </c>
      <c r="B1589" s="13" t="s">
        <v>2474</v>
      </c>
      <c r="C1589" s="14"/>
      <c r="D1589" s="14" t="s">
        <v>2473</v>
      </c>
      <c r="E1589" s="14" t="s">
        <v>2430</v>
      </c>
      <c r="F1589" s="15" t="s">
        <v>22</v>
      </c>
      <c r="G1589" s="21"/>
      <c r="H1589" s="58">
        <v>0</v>
      </c>
      <c r="I1589" s="14"/>
      <c r="J1589" s="14" t="s">
        <v>23</v>
      </c>
      <c r="K1589" s="14"/>
      <c r="L1589" s="14"/>
      <c r="M1589" s="14" t="s">
        <v>1534</v>
      </c>
      <c r="N1589" s="14" t="s">
        <v>25</v>
      </c>
      <c r="O1589" s="14"/>
      <c r="P1589" s="14"/>
      <c r="Q1589" s="14"/>
      <c r="R1589" s="14" t="s">
        <v>2333</v>
      </c>
    </row>
    <row r="1590" spans="1:36" ht="15" customHeight="1">
      <c r="A1590" s="12">
        <v>2127</v>
      </c>
      <c r="B1590" s="13" t="s">
        <v>2475</v>
      </c>
      <c r="C1590" s="31"/>
      <c r="D1590" s="16">
        <v>526</v>
      </c>
      <c r="E1590" s="14" t="s">
        <v>2430</v>
      </c>
      <c r="F1590" s="15" t="s">
        <v>22</v>
      </c>
      <c r="G1590" s="18"/>
      <c r="H1590" s="58"/>
      <c r="I1590" s="16"/>
      <c r="J1590" s="14" t="s">
        <v>23</v>
      </c>
      <c r="K1590" s="18"/>
      <c r="L1590" s="18"/>
      <c r="M1590" s="18"/>
      <c r="N1590" s="18"/>
      <c r="O1590" s="18"/>
      <c r="P1590" s="18"/>
      <c r="Q1590" s="18"/>
      <c r="R1590" s="18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</row>
    <row r="1591" spans="1:36" ht="15" customHeight="1">
      <c r="A1591" s="12">
        <v>556</v>
      </c>
      <c r="B1591" s="27" t="s">
        <v>2476</v>
      </c>
      <c r="C1591" s="22"/>
      <c r="D1591" s="14" t="s">
        <v>2477</v>
      </c>
      <c r="E1591" s="14" t="s">
        <v>2430</v>
      </c>
      <c r="F1591" s="15" t="s">
        <v>22</v>
      </c>
      <c r="G1591" s="26"/>
      <c r="H1591" s="58"/>
      <c r="I1591" s="22"/>
      <c r="J1591" s="14" t="s">
        <v>23</v>
      </c>
      <c r="K1591" s="22"/>
      <c r="L1591" s="22"/>
      <c r="M1591" s="14" t="s">
        <v>1537</v>
      </c>
      <c r="N1591" s="14" t="s">
        <v>25</v>
      </c>
      <c r="O1591" s="22"/>
      <c r="P1591" s="14"/>
      <c r="Q1591" s="14"/>
      <c r="R1591" s="14" t="s">
        <v>2449</v>
      </c>
    </row>
    <row r="1592" spans="1:36" ht="15" customHeight="1">
      <c r="A1592" s="12">
        <v>1315</v>
      </c>
      <c r="B1592" s="13" t="s">
        <v>2478</v>
      </c>
      <c r="C1592" s="14"/>
      <c r="D1592" s="14" t="s">
        <v>2477</v>
      </c>
      <c r="E1592" s="14" t="s">
        <v>2430</v>
      </c>
      <c r="F1592" s="15" t="s">
        <v>22</v>
      </c>
      <c r="G1592" s="21"/>
      <c r="H1592" s="58">
        <v>0</v>
      </c>
      <c r="I1592" s="14"/>
      <c r="J1592" s="14" t="s">
        <v>23</v>
      </c>
      <c r="K1592" s="14"/>
      <c r="L1592" s="14"/>
      <c r="M1592" s="14" t="s">
        <v>1534</v>
      </c>
      <c r="N1592" s="25" t="s">
        <v>289</v>
      </c>
      <c r="O1592" s="14" t="s">
        <v>189</v>
      </c>
      <c r="P1592" s="14"/>
      <c r="Q1592" s="14"/>
      <c r="R1592" s="14" t="s">
        <v>2333</v>
      </c>
    </row>
    <row r="1593" spans="1:36" ht="15" customHeight="1">
      <c r="A1593" s="12">
        <v>2128</v>
      </c>
      <c r="B1593" s="13" t="s">
        <v>2479</v>
      </c>
      <c r="C1593" s="31"/>
      <c r="D1593" s="16">
        <v>527</v>
      </c>
      <c r="E1593" s="14" t="s">
        <v>2430</v>
      </c>
      <c r="F1593" s="15" t="s">
        <v>22</v>
      </c>
      <c r="G1593" s="18"/>
      <c r="H1593" s="58"/>
      <c r="I1593" s="16"/>
      <c r="J1593" s="14" t="s">
        <v>23</v>
      </c>
      <c r="K1593" s="18"/>
      <c r="L1593" s="18"/>
      <c r="M1593" s="18"/>
      <c r="N1593" s="18"/>
      <c r="O1593" s="18"/>
      <c r="P1593" s="18"/>
      <c r="Q1593" s="18"/>
      <c r="R1593" s="18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</row>
    <row r="1594" spans="1:36" ht="15" customHeight="1">
      <c r="A1594" s="12">
        <v>1316</v>
      </c>
      <c r="B1594" s="13" t="s">
        <v>2480</v>
      </c>
      <c r="C1594" s="14"/>
      <c r="D1594" s="14" t="s">
        <v>2481</v>
      </c>
      <c r="E1594" s="14" t="s">
        <v>2430</v>
      </c>
      <c r="F1594" s="15" t="s">
        <v>22</v>
      </c>
      <c r="G1594" s="21"/>
      <c r="H1594" s="58">
        <v>0</v>
      </c>
      <c r="I1594" s="14"/>
      <c r="J1594" s="14" t="s">
        <v>23</v>
      </c>
      <c r="K1594" s="14"/>
      <c r="L1594" s="14"/>
      <c r="M1594" s="14" t="s">
        <v>1534</v>
      </c>
      <c r="N1594" s="14" t="s">
        <v>25</v>
      </c>
      <c r="O1594" s="14"/>
      <c r="P1594" s="14"/>
      <c r="Q1594" s="14"/>
      <c r="R1594" s="14" t="s">
        <v>2333</v>
      </c>
    </row>
    <row r="1595" spans="1:36" ht="15" customHeight="1">
      <c r="A1595" s="12">
        <v>2129</v>
      </c>
      <c r="B1595" s="13" t="s">
        <v>2482</v>
      </c>
      <c r="C1595" s="31"/>
      <c r="D1595" s="16">
        <v>528</v>
      </c>
      <c r="E1595" s="14" t="s">
        <v>2430</v>
      </c>
      <c r="F1595" s="15" t="s">
        <v>22</v>
      </c>
      <c r="G1595" s="18"/>
      <c r="H1595" s="58"/>
      <c r="I1595" s="16"/>
      <c r="J1595" s="14" t="s">
        <v>23</v>
      </c>
      <c r="K1595" s="18"/>
      <c r="L1595" s="18"/>
      <c r="M1595" s="18"/>
      <c r="N1595" s="18"/>
      <c r="O1595" s="18"/>
      <c r="P1595" s="18"/>
      <c r="Q1595" s="18"/>
      <c r="R1595" s="18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</row>
    <row r="1596" spans="1:36" ht="15" customHeight="1">
      <c r="A1596" s="12">
        <v>557</v>
      </c>
      <c r="B1596" s="13" t="s">
        <v>2483</v>
      </c>
      <c r="C1596" s="22"/>
      <c r="D1596" s="14" t="s">
        <v>2484</v>
      </c>
      <c r="E1596" s="14" t="s">
        <v>2430</v>
      </c>
      <c r="F1596" s="15" t="s">
        <v>22</v>
      </c>
      <c r="G1596" s="26"/>
      <c r="H1596" s="58"/>
      <c r="I1596" s="22"/>
      <c r="J1596" s="14" t="s">
        <v>23</v>
      </c>
      <c r="K1596" s="22"/>
      <c r="L1596" s="22"/>
      <c r="M1596" s="14" t="s">
        <v>1537</v>
      </c>
      <c r="N1596" s="14" t="s">
        <v>25</v>
      </c>
      <c r="O1596" s="22"/>
      <c r="P1596" s="14"/>
      <c r="Q1596" s="14"/>
      <c r="R1596" s="14" t="s">
        <v>2449</v>
      </c>
    </row>
    <row r="1597" spans="1:36" ht="15" customHeight="1">
      <c r="A1597" s="12">
        <v>1317</v>
      </c>
      <c r="B1597" s="13" t="s">
        <v>2485</v>
      </c>
      <c r="C1597" s="14"/>
      <c r="D1597" s="14" t="s">
        <v>2484</v>
      </c>
      <c r="E1597" s="14" t="s">
        <v>2430</v>
      </c>
      <c r="F1597" s="15" t="s">
        <v>22</v>
      </c>
      <c r="G1597" s="21"/>
      <c r="H1597" s="58">
        <v>1</v>
      </c>
      <c r="I1597" s="14"/>
      <c r="J1597" s="14" t="s">
        <v>23</v>
      </c>
      <c r="K1597" s="14"/>
      <c r="L1597" s="14"/>
      <c r="M1597" s="14" t="s">
        <v>1534</v>
      </c>
      <c r="N1597" s="14" t="s">
        <v>25</v>
      </c>
      <c r="O1597" s="14"/>
      <c r="P1597" s="14"/>
      <c r="Q1597" s="14"/>
      <c r="R1597" s="14" t="s">
        <v>2333</v>
      </c>
    </row>
    <row r="1598" spans="1:36" ht="15" customHeight="1">
      <c r="A1598" s="12">
        <v>2130</v>
      </c>
      <c r="B1598" s="13" t="s">
        <v>2486</v>
      </c>
      <c r="C1598" s="31"/>
      <c r="D1598" s="16">
        <v>529</v>
      </c>
      <c r="E1598" s="14" t="s">
        <v>2430</v>
      </c>
      <c r="F1598" s="15" t="s">
        <v>22</v>
      </c>
      <c r="G1598" s="18"/>
      <c r="H1598" s="58"/>
      <c r="I1598" s="16"/>
      <c r="J1598" s="14" t="s">
        <v>23</v>
      </c>
      <c r="K1598" s="18"/>
      <c r="L1598" s="18"/>
      <c r="M1598" s="18"/>
      <c r="N1598" s="18"/>
      <c r="O1598" s="18"/>
      <c r="P1598" s="18"/>
      <c r="Q1598" s="18"/>
      <c r="R1598" s="18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</row>
    <row r="1599" spans="1:36" ht="15" customHeight="1">
      <c r="A1599" s="12">
        <v>558</v>
      </c>
      <c r="B1599" s="13" t="s">
        <v>2487</v>
      </c>
      <c r="C1599" s="22"/>
      <c r="D1599" s="14" t="s">
        <v>2488</v>
      </c>
      <c r="E1599" s="14" t="s">
        <v>2430</v>
      </c>
      <c r="F1599" s="15" t="s">
        <v>22</v>
      </c>
      <c r="G1599" s="26"/>
      <c r="H1599" s="58"/>
      <c r="I1599" s="22"/>
      <c r="J1599" s="14" t="s">
        <v>23</v>
      </c>
      <c r="K1599" s="22"/>
      <c r="L1599" s="22"/>
      <c r="M1599" s="14" t="s">
        <v>1537</v>
      </c>
      <c r="N1599" s="14" t="s">
        <v>25</v>
      </c>
      <c r="O1599" s="22"/>
      <c r="P1599" s="14"/>
      <c r="Q1599" s="14"/>
      <c r="R1599" s="14" t="s">
        <v>2449</v>
      </c>
    </row>
    <row r="1600" spans="1:36" ht="15" customHeight="1">
      <c r="A1600" s="12">
        <v>1318</v>
      </c>
      <c r="B1600" s="13" t="s">
        <v>2489</v>
      </c>
      <c r="C1600" s="14"/>
      <c r="D1600" s="14" t="s">
        <v>2488</v>
      </c>
      <c r="E1600" s="14" t="s">
        <v>2430</v>
      </c>
      <c r="F1600" s="15" t="s">
        <v>22</v>
      </c>
      <c r="G1600" s="21"/>
      <c r="H1600" s="58">
        <v>2</v>
      </c>
      <c r="I1600" s="14"/>
      <c r="J1600" s="14" t="s">
        <v>23</v>
      </c>
      <c r="K1600" s="14"/>
      <c r="L1600" s="14"/>
      <c r="M1600" s="14" t="s">
        <v>1534</v>
      </c>
      <c r="N1600" s="14" t="s">
        <v>25</v>
      </c>
      <c r="O1600" s="14"/>
      <c r="P1600" s="14"/>
      <c r="Q1600" s="14"/>
      <c r="R1600" s="14" t="s">
        <v>2333</v>
      </c>
    </row>
    <row r="1601" spans="1:36" ht="15" customHeight="1">
      <c r="A1601" s="12">
        <v>2131</v>
      </c>
      <c r="B1601" s="13" t="s">
        <v>2490</v>
      </c>
      <c r="C1601" s="31"/>
      <c r="D1601" s="16">
        <v>530</v>
      </c>
      <c r="E1601" s="14" t="s">
        <v>2430</v>
      </c>
      <c r="F1601" s="15" t="s">
        <v>22</v>
      </c>
      <c r="G1601" s="18"/>
      <c r="H1601" s="58"/>
      <c r="I1601" s="16"/>
      <c r="J1601" s="14" t="s">
        <v>23</v>
      </c>
      <c r="K1601" s="18"/>
      <c r="L1601" s="18"/>
      <c r="M1601" s="18"/>
      <c r="N1601" s="18"/>
      <c r="O1601" s="18"/>
      <c r="P1601" s="18"/>
      <c r="Q1601" s="18"/>
      <c r="R1601" s="18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</row>
    <row r="1602" spans="1:36" ht="15" customHeight="1">
      <c r="A1602" s="12">
        <v>559</v>
      </c>
      <c r="B1602" s="13" t="s">
        <v>2491</v>
      </c>
      <c r="C1602" s="22"/>
      <c r="D1602" s="14" t="s">
        <v>2492</v>
      </c>
      <c r="E1602" s="14" t="s">
        <v>2430</v>
      </c>
      <c r="F1602" s="15" t="s">
        <v>22</v>
      </c>
      <c r="G1602" s="26"/>
      <c r="H1602" s="58"/>
      <c r="I1602" s="22"/>
      <c r="J1602" s="14" t="s">
        <v>23</v>
      </c>
      <c r="K1602" s="22"/>
      <c r="L1602" s="22"/>
      <c r="M1602" s="14" t="s">
        <v>1537</v>
      </c>
      <c r="N1602" s="25" t="s">
        <v>37</v>
      </c>
      <c r="O1602" s="22" t="s">
        <v>38</v>
      </c>
      <c r="P1602" s="14"/>
      <c r="Q1602" s="14"/>
      <c r="R1602" s="14" t="s">
        <v>2449</v>
      </c>
    </row>
    <row r="1603" spans="1:36" ht="24" customHeight="1">
      <c r="A1603" s="12">
        <v>1319</v>
      </c>
      <c r="B1603" s="13" t="s">
        <v>2493</v>
      </c>
      <c r="C1603" s="14"/>
      <c r="D1603" s="14" t="s">
        <v>2492</v>
      </c>
      <c r="E1603" s="14" t="s">
        <v>2430</v>
      </c>
      <c r="F1603" s="15" t="s">
        <v>22</v>
      </c>
      <c r="G1603" s="21"/>
      <c r="H1603" s="58">
        <v>4</v>
      </c>
      <c r="I1603" s="14"/>
      <c r="J1603" s="14" t="s">
        <v>23</v>
      </c>
      <c r="K1603" s="14"/>
      <c r="L1603" s="14"/>
      <c r="M1603" s="14" t="s">
        <v>1534</v>
      </c>
      <c r="N1603" s="25" t="s">
        <v>37</v>
      </c>
      <c r="O1603" s="14" t="s">
        <v>2494</v>
      </c>
      <c r="P1603" s="14"/>
      <c r="Q1603" s="14"/>
      <c r="R1603" s="14" t="s">
        <v>2333</v>
      </c>
    </row>
    <row r="1604" spans="1:36" ht="15" customHeight="1">
      <c r="A1604" s="12">
        <v>2132</v>
      </c>
      <c r="B1604" s="13" t="s">
        <v>2495</v>
      </c>
      <c r="C1604" s="31"/>
      <c r="D1604" s="16">
        <v>531</v>
      </c>
      <c r="E1604" s="14" t="s">
        <v>2430</v>
      </c>
      <c r="F1604" s="15" t="s">
        <v>22</v>
      </c>
      <c r="G1604" s="18"/>
      <c r="H1604" s="58">
        <v>4</v>
      </c>
      <c r="I1604" s="16"/>
      <c r="J1604" s="14" t="s">
        <v>23</v>
      </c>
      <c r="K1604" s="18"/>
      <c r="L1604" s="18"/>
      <c r="M1604" s="18"/>
      <c r="N1604" s="18"/>
      <c r="O1604" s="18"/>
      <c r="P1604" s="18"/>
      <c r="Q1604" s="18"/>
      <c r="R1604" s="18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</row>
    <row r="1605" spans="1:36" ht="15" customHeight="1">
      <c r="A1605" s="12">
        <v>560</v>
      </c>
      <c r="B1605" s="13" t="s">
        <v>2496</v>
      </c>
      <c r="C1605" s="22"/>
      <c r="D1605" s="14" t="s">
        <v>2497</v>
      </c>
      <c r="E1605" s="14" t="s">
        <v>2430</v>
      </c>
      <c r="F1605" s="15" t="s">
        <v>22</v>
      </c>
      <c r="G1605" s="26"/>
      <c r="H1605" s="58"/>
      <c r="I1605" s="22"/>
      <c r="J1605" s="14" t="s">
        <v>23</v>
      </c>
      <c r="K1605" s="22"/>
      <c r="L1605" s="22"/>
      <c r="M1605" s="14" t="s">
        <v>1537</v>
      </c>
      <c r="N1605" s="14" t="s">
        <v>25</v>
      </c>
      <c r="O1605" s="22"/>
      <c r="P1605" s="14"/>
      <c r="Q1605" s="14"/>
      <c r="R1605" s="14" t="s">
        <v>2449</v>
      </c>
    </row>
    <row r="1606" spans="1:36" ht="15" customHeight="1">
      <c r="A1606" s="12">
        <v>1320</v>
      </c>
      <c r="B1606" s="13" t="s">
        <v>2498</v>
      </c>
      <c r="C1606" s="14"/>
      <c r="D1606" s="14" t="s">
        <v>2497</v>
      </c>
      <c r="E1606" s="14" t="s">
        <v>2430</v>
      </c>
      <c r="F1606" s="15" t="s">
        <v>22</v>
      </c>
      <c r="G1606" s="21"/>
      <c r="H1606" s="58">
        <v>0</v>
      </c>
      <c r="I1606" s="14"/>
      <c r="J1606" s="14" t="s">
        <v>23</v>
      </c>
      <c r="K1606" s="14"/>
      <c r="L1606" s="14"/>
      <c r="M1606" s="14" t="s">
        <v>1534</v>
      </c>
      <c r="N1606" s="14" t="s">
        <v>25</v>
      </c>
      <c r="O1606" s="14"/>
      <c r="P1606" s="14"/>
      <c r="Q1606" s="14"/>
      <c r="R1606" s="14" t="s">
        <v>2333</v>
      </c>
    </row>
    <row r="1607" spans="1:36" ht="15" customHeight="1">
      <c r="A1607" s="12">
        <v>2133</v>
      </c>
      <c r="B1607" s="13" t="s">
        <v>2499</v>
      </c>
      <c r="C1607" s="31"/>
      <c r="D1607" s="16">
        <v>532</v>
      </c>
      <c r="E1607" s="14" t="s">
        <v>2430</v>
      </c>
      <c r="F1607" s="15" t="s">
        <v>22</v>
      </c>
      <c r="G1607" s="18"/>
      <c r="H1607" s="58"/>
      <c r="I1607" s="16"/>
      <c r="J1607" s="14" t="s">
        <v>23</v>
      </c>
      <c r="K1607" s="18"/>
      <c r="L1607" s="18"/>
      <c r="M1607" s="18"/>
      <c r="N1607" s="18"/>
      <c r="O1607" s="18"/>
      <c r="P1607" s="18"/>
      <c r="Q1607" s="18"/>
      <c r="R1607" s="18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</row>
    <row r="1608" spans="1:36" ht="15" customHeight="1">
      <c r="A1608" s="12">
        <v>561</v>
      </c>
      <c r="B1608" s="13" t="s">
        <v>2500</v>
      </c>
      <c r="C1608" s="22"/>
      <c r="D1608" s="14" t="s">
        <v>2501</v>
      </c>
      <c r="E1608" s="14" t="s">
        <v>2430</v>
      </c>
      <c r="F1608" s="15" t="s">
        <v>22</v>
      </c>
      <c r="G1608" s="26"/>
      <c r="H1608" s="58"/>
      <c r="I1608" s="22"/>
      <c r="J1608" s="14" t="s">
        <v>23</v>
      </c>
      <c r="K1608" s="22"/>
      <c r="L1608" s="22"/>
      <c r="M1608" s="14" t="s">
        <v>1537</v>
      </c>
      <c r="N1608" s="14" t="s">
        <v>25</v>
      </c>
      <c r="O1608" s="22"/>
      <c r="P1608" s="14"/>
      <c r="Q1608" s="14"/>
      <c r="R1608" s="14" t="s">
        <v>2449</v>
      </c>
    </row>
    <row r="1609" spans="1:36" ht="15" customHeight="1">
      <c r="A1609" s="12">
        <v>1321</v>
      </c>
      <c r="B1609" s="13" t="s">
        <v>2502</v>
      </c>
      <c r="C1609" s="14"/>
      <c r="D1609" s="14" t="s">
        <v>2501</v>
      </c>
      <c r="E1609" s="14" t="s">
        <v>2430</v>
      </c>
      <c r="F1609" s="15" t="s">
        <v>22</v>
      </c>
      <c r="G1609" s="21"/>
      <c r="H1609" s="58">
        <v>4</v>
      </c>
      <c r="I1609" s="14"/>
      <c r="J1609" s="14" t="s">
        <v>23</v>
      </c>
      <c r="K1609" s="14"/>
      <c r="L1609" s="14"/>
      <c r="M1609" s="14" t="s">
        <v>1534</v>
      </c>
      <c r="N1609" s="25" t="s">
        <v>37</v>
      </c>
      <c r="O1609" s="14" t="s">
        <v>2503</v>
      </c>
      <c r="P1609" s="14"/>
      <c r="Q1609" s="14"/>
      <c r="R1609" s="14" t="s">
        <v>2333</v>
      </c>
    </row>
    <row r="1610" spans="1:36" ht="15" customHeight="1">
      <c r="A1610" s="12">
        <v>2134</v>
      </c>
      <c r="B1610" s="13" t="s">
        <v>2504</v>
      </c>
      <c r="C1610" s="31"/>
      <c r="D1610" s="16">
        <v>533</v>
      </c>
      <c r="E1610" s="14" t="s">
        <v>2430</v>
      </c>
      <c r="F1610" s="15" t="s">
        <v>22</v>
      </c>
      <c r="G1610" s="18"/>
      <c r="H1610" s="58">
        <v>4</v>
      </c>
      <c r="I1610" s="16"/>
      <c r="J1610" s="14" t="s">
        <v>23</v>
      </c>
      <c r="K1610" s="18"/>
      <c r="L1610" s="18"/>
      <c r="M1610" s="18"/>
      <c r="N1610" s="18"/>
      <c r="O1610" s="18"/>
      <c r="P1610" s="18"/>
      <c r="Q1610" s="18"/>
      <c r="R1610" s="18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</row>
    <row r="1611" spans="1:36" ht="15" customHeight="1">
      <c r="A1611" s="12">
        <v>562</v>
      </c>
      <c r="B1611" s="13" t="s">
        <v>2505</v>
      </c>
      <c r="C1611" s="22"/>
      <c r="D1611" s="14" t="s">
        <v>2506</v>
      </c>
      <c r="E1611" s="14" t="s">
        <v>2430</v>
      </c>
      <c r="F1611" s="15" t="s">
        <v>22</v>
      </c>
      <c r="G1611" s="26"/>
      <c r="H1611" s="58"/>
      <c r="I1611" s="22"/>
      <c r="J1611" s="14" t="s">
        <v>23</v>
      </c>
      <c r="K1611" s="22"/>
      <c r="L1611" s="22"/>
      <c r="M1611" s="14" t="s">
        <v>1537</v>
      </c>
      <c r="N1611" s="14" t="s">
        <v>25</v>
      </c>
      <c r="O1611" s="22"/>
      <c r="P1611" s="14"/>
      <c r="Q1611" s="14"/>
      <c r="R1611" s="14" t="s">
        <v>2449</v>
      </c>
    </row>
    <row r="1612" spans="1:36" ht="15" customHeight="1">
      <c r="A1612" s="12">
        <v>1322</v>
      </c>
      <c r="B1612" s="13" t="s">
        <v>2507</v>
      </c>
      <c r="C1612" s="14"/>
      <c r="D1612" s="14" t="s">
        <v>2506</v>
      </c>
      <c r="E1612" s="14" t="s">
        <v>2430</v>
      </c>
      <c r="F1612" s="15" t="s">
        <v>22</v>
      </c>
      <c r="G1612" s="21"/>
      <c r="H1612" s="58">
        <v>0</v>
      </c>
      <c r="I1612" s="14"/>
      <c r="J1612" s="14" t="s">
        <v>23</v>
      </c>
      <c r="K1612" s="14"/>
      <c r="L1612" s="14"/>
      <c r="M1612" s="14" t="s">
        <v>1534</v>
      </c>
      <c r="N1612" s="14" t="s">
        <v>25</v>
      </c>
      <c r="O1612" s="14"/>
      <c r="P1612" s="14"/>
      <c r="Q1612" s="14"/>
      <c r="R1612" s="14" t="s">
        <v>2333</v>
      </c>
    </row>
    <row r="1613" spans="1:36" ht="15" customHeight="1">
      <c r="A1613" s="12">
        <v>2135</v>
      </c>
      <c r="B1613" s="13" t="s">
        <v>2508</v>
      </c>
      <c r="C1613" s="31"/>
      <c r="D1613" s="16">
        <v>534</v>
      </c>
      <c r="E1613" s="14" t="s">
        <v>2430</v>
      </c>
      <c r="F1613" s="15" t="s">
        <v>22</v>
      </c>
      <c r="G1613" s="18"/>
      <c r="H1613" s="58"/>
      <c r="I1613" s="16"/>
      <c r="J1613" s="14" t="s">
        <v>23</v>
      </c>
      <c r="K1613" s="18"/>
      <c r="L1613" s="18"/>
      <c r="M1613" s="18"/>
      <c r="N1613" s="18"/>
      <c r="O1613" s="18"/>
      <c r="P1613" s="18"/>
      <c r="Q1613" s="18"/>
      <c r="R1613" s="18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</row>
    <row r="1614" spans="1:36" ht="15" customHeight="1">
      <c r="A1614" s="12">
        <v>563</v>
      </c>
      <c r="B1614" s="13" t="s">
        <v>2509</v>
      </c>
      <c r="C1614" s="22"/>
      <c r="D1614" s="14" t="s">
        <v>2510</v>
      </c>
      <c r="E1614" s="14" t="s">
        <v>2430</v>
      </c>
      <c r="F1614" s="15" t="s">
        <v>22</v>
      </c>
      <c r="G1614" s="26"/>
      <c r="H1614" s="58"/>
      <c r="I1614" s="22"/>
      <c r="J1614" s="14" t="s">
        <v>23</v>
      </c>
      <c r="K1614" s="22"/>
      <c r="L1614" s="22"/>
      <c r="M1614" s="14" t="s">
        <v>1537</v>
      </c>
      <c r="N1614" s="14" t="s">
        <v>25</v>
      </c>
      <c r="O1614" s="22"/>
      <c r="P1614" s="14"/>
      <c r="Q1614" s="14"/>
      <c r="R1614" s="14" t="s">
        <v>2449</v>
      </c>
    </row>
    <row r="1615" spans="1:36" ht="24" customHeight="1">
      <c r="A1615" s="12">
        <v>1557</v>
      </c>
      <c r="B1615" s="13" t="s">
        <v>2511</v>
      </c>
      <c r="C1615" s="14"/>
      <c r="D1615" s="14" t="s">
        <v>2510</v>
      </c>
      <c r="E1615" s="14" t="s">
        <v>2430</v>
      </c>
      <c r="F1615" s="15" t="s">
        <v>22</v>
      </c>
      <c r="G1615" s="14"/>
      <c r="H1615" s="58">
        <v>2</v>
      </c>
      <c r="I1615" s="14"/>
      <c r="J1615" s="14" t="s">
        <v>23</v>
      </c>
      <c r="K1615" s="14"/>
      <c r="L1615" s="14"/>
      <c r="M1615" s="14" t="s">
        <v>650</v>
      </c>
      <c r="N1615" s="25" t="s">
        <v>37</v>
      </c>
      <c r="O1615" s="14" t="s">
        <v>191</v>
      </c>
      <c r="P1615" s="14"/>
      <c r="Q1615" s="14"/>
      <c r="R1615" s="14" t="s">
        <v>2338</v>
      </c>
    </row>
    <row r="1616" spans="1:36" ht="15" customHeight="1">
      <c r="A1616" s="12">
        <v>2136</v>
      </c>
      <c r="B1616" s="13" t="s">
        <v>2512</v>
      </c>
      <c r="C1616" s="31"/>
      <c r="D1616" s="16">
        <v>535</v>
      </c>
      <c r="E1616" s="14" t="s">
        <v>2430</v>
      </c>
      <c r="F1616" s="15" t="s">
        <v>22</v>
      </c>
      <c r="G1616" s="18"/>
      <c r="H1616" s="58"/>
      <c r="I1616" s="16"/>
      <c r="J1616" s="14" t="s">
        <v>23</v>
      </c>
      <c r="K1616" s="18"/>
      <c r="L1616" s="18"/>
      <c r="M1616" s="18"/>
      <c r="N1616" s="18"/>
      <c r="O1616" s="18"/>
      <c r="P1616" s="18"/>
      <c r="Q1616" s="18"/>
      <c r="R1616" s="18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</row>
    <row r="1617" spans="1:36" ht="15" customHeight="1">
      <c r="A1617" s="12">
        <v>564</v>
      </c>
      <c r="B1617" s="13" t="s">
        <v>2513</v>
      </c>
      <c r="C1617" s="22"/>
      <c r="D1617" s="14" t="s">
        <v>2514</v>
      </c>
      <c r="E1617" s="14" t="s">
        <v>2430</v>
      </c>
      <c r="F1617" s="15" t="s">
        <v>22</v>
      </c>
      <c r="G1617" s="26"/>
      <c r="H1617" s="58"/>
      <c r="I1617" s="22"/>
      <c r="J1617" s="14" t="s">
        <v>23</v>
      </c>
      <c r="K1617" s="22"/>
      <c r="L1617" s="22"/>
      <c r="M1617" s="14" t="s">
        <v>1537</v>
      </c>
      <c r="N1617" s="25" t="s">
        <v>37</v>
      </c>
      <c r="O1617" s="22" t="s">
        <v>80</v>
      </c>
      <c r="P1617" s="14"/>
      <c r="Q1617" s="14"/>
      <c r="R1617" s="14" t="s">
        <v>2449</v>
      </c>
    </row>
    <row r="1618" spans="1:36" ht="15" customHeight="1">
      <c r="A1618" s="12">
        <v>1558</v>
      </c>
      <c r="B1618" s="13" t="s">
        <v>2515</v>
      </c>
      <c r="C1618" s="14"/>
      <c r="D1618" s="14" t="s">
        <v>2514</v>
      </c>
      <c r="E1618" s="14" t="s">
        <v>2430</v>
      </c>
      <c r="F1618" s="15" t="s">
        <v>22</v>
      </c>
      <c r="G1618" s="14"/>
      <c r="H1618" s="58">
        <v>4</v>
      </c>
      <c r="I1618" s="14"/>
      <c r="J1618" s="14" t="s">
        <v>23</v>
      </c>
      <c r="K1618" s="14"/>
      <c r="L1618" s="14"/>
      <c r="M1618" s="14" t="s">
        <v>650</v>
      </c>
      <c r="N1618" s="25" t="s">
        <v>37</v>
      </c>
      <c r="O1618" s="14" t="s">
        <v>2516</v>
      </c>
      <c r="P1618" s="14"/>
      <c r="Q1618" s="14"/>
      <c r="R1618" s="14" t="s">
        <v>2338</v>
      </c>
    </row>
    <row r="1619" spans="1:36" ht="15" customHeight="1">
      <c r="A1619" s="12">
        <v>2137</v>
      </c>
      <c r="B1619" s="13" t="s">
        <v>2517</v>
      </c>
      <c r="C1619" s="31"/>
      <c r="D1619" s="16">
        <v>536</v>
      </c>
      <c r="E1619" s="14" t="s">
        <v>2430</v>
      </c>
      <c r="F1619" s="15" t="s">
        <v>22</v>
      </c>
      <c r="G1619" s="18"/>
      <c r="H1619" s="58">
        <v>4</v>
      </c>
      <c r="I1619" s="16"/>
      <c r="J1619" s="14" t="s">
        <v>23</v>
      </c>
      <c r="K1619" s="18"/>
      <c r="L1619" s="18"/>
      <c r="M1619" s="18"/>
      <c r="N1619" s="18"/>
      <c r="O1619" s="18"/>
      <c r="P1619" s="18"/>
      <c r="Q1619" s="18"/>
      <c r="R1619" s="18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</row>
    <row r="1620" spans="1:36" ht="15" customHeight="1">
      <c r="A1620" s="12">
        <v>565</v>
      </c>
      <c r="B1620" s="13" t="s">
        <v>2518</v>
      </c>
      <c r="C1620" s="22"/>
      <c r="D1620" s="14" t="s">
        <v>2519</v>
      </c>
      <c r="E1620" s="14" t="s">
        <v>2430</v>
      </c>
      <c r="F1620" s="15" t="s">
        <v>22</v>
      </c>
      <c r="G1620" s="26"/>
      <c r="H1620" s="58"/>
      <c r="I1620" s="22"/>
      <c r="J1620" s="14" t="s">
        <v>23</v>
      </c>
      <c r="K1620" s="22"/>
      <c r="L1620" s="22"/>
      <c r="M1620" s="14" t="s">
        <v>1537</v>
      </c>
      <c r="N1620" s="14" t="s">
        <v>25</v>
      </c>
      <c r="O1620" s="22"/>
      <c r="P1620" s="14"/>
      <c r="Q1620" s="14"/>
      <c r="R1620" s="14" t="s">
        <v>2449</v>
      </c>
    </row>
    <row r="1621" spans="1:36" ht="15" customHeight="1">
      <c r="A1621" s="12">
        <v>1559</v>
      </c>
      <c r="B1621" s="13" t="s">
        <v>2520</v>
      </c>
      <c r="C1621" s="14"/>
      <c r="D1621" s="14" t="s">
        <v>2519</v>
      </c>
      <c r="E1621" s="14" t="s">
        <v>2430</v>
      </c>
      <c r="F1621" s="15" t="s">
        <v>22</v>
      </c>
      <c r="G1621" s="14"/>
      <c r="H1621" s="58">
        <v>0</v>
      </c>
      <c r="I1621" s="14"/>
      <c r="J1621" s="14" t="s">
        <v>23</v>
      </c>
      <c r="K1621" s="14"/>
      <c r="L1621" s="14"/>
      <c r="M1621" s="14" t="s">
        <v>650</v>
      </c>
      <c r="N1621" s="14" t="s">
        <v>25</v>
      </c>
      <c r="O1621" s="14"/>
      <c r="P1621" s="14"/>
      <c r="Q1621" s="14"/>
      <c r="R1621" s="14" t="s">
        <v>2338</v>
      </c>
    </row>
    <row r="1622" spans="1:36" ht="15" customHeight="1">
      <c r="A1622" s="12">
        <v>2138</v>
      </c>
      <c r="B1622" s="13" t="s">
        <v>2521</v>
      </c>
      <c r="C1622" s="31"/>
      <c r="D1622" s="16">
        <v>537</v>
      </c>
      <c r="E1622" s="14" t="s">
        <v>2430</v>
      </c>
      <c r="F1622" s="15" t="s">
        <v>22</v>
      </c>
      <c r="G1622" s="18"/>
      <c r="H1622" s="58"/>
      <c r="I1622" s="16"/>
      <c r="J1622" s="14" t="s">
        <v>23</v>
      </c>
      <c r="K1622" s="18"/>
      <c r="L1622" s="18"/>
      <c r="M1622" s="18"/>
      <c r="N1622" s="18"/>
      <c r="O1622" s="18"/>
      <c r="P1622" s="18"/>
      <c r="Q1622" s="18"/>
      <c r="R1622" s="18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</row>
    <row r="1623" spans="1:36" ht="15" customHeight="1">
      <c r="A1623" s="12">
        <v>1323</v>
      </c>
      <c r="B1623" s="13" t="s">
        <v>2522</v>
      </c>
      <c r="C1623" s="14"/>
      <c r="D1623" s="14" t="s">
        <v>2523</v>
      </c>
      <c r="E1623" s="14" t="s">
        <v>2430</v>
      </c>
      <c r="F1623" s="15" t="s">
        <v>22</v>
      </c>
      <c r="G1623" s="21"/>
      <c r="H1623" s="58">
        <v>4</v>
      </c>
      <c r="I1623" s="14"/>
      <c r="J1623" s="14" t="s">
        <v>23</v>
      </c>
      <c r="K1623" s="14"/>
      <c r="L1623" s="14"/>
      <c r="M1623" s="14" t="s">
        <v>1534</v>
      </c>
      <c r="N1623" s="25" t="s">
        <v>37</v>
      </c>
      <c r="O1623" s="14" t="s">
        <v>356</v>
      </c>
      <c r="P1623" s="14"/>
      <c r="Q1623" s="14"/>
      <c r="R1623" s="14" t="s">
        <v>2333</v>
      </c>
    </row>
    <row r="1624" spans="1:36" ht="15" customHeight="1">
      <c r="A1624" s="12">
        <v>2139</v>
      </c>
      <c r="B1624" s="13" t="s">
        <v>2524</v>
      </c>
      <c r="C1624" s="31"/>
      <c r="D1624" s="16">
        <v>538</v>
      </c>
      <c r="E1624" s="14" t="s">
        <v>2430</v>
      </c>
      <c r="F1624" s="15" t="s">
        <v>22</v>
      </c>
      <c r="G1624" s="18"/>
      <c r="H1624" s="58">
        <v>3</v>
      </c>
      <c r="I1624" s="16"/>
      <c r="J1624" s="14" t="s">
        <v>23</v>
      </c>
      <c r="K1624" s="18"/>
      <c r="L1624" s="18"/>
      <c r="M1624" s="18"/>
      <c r="N1624" s="18"/>
      <c r="O1624" s="18"/>
      <c r="P1624" s="18"/>
      <c r="Q1624" s="18"/>
      <c r="R1624" s="18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</row>
    <row r="1625" spans="1:36" ht="15" customHeight="1">
      <c r="A1625" s="12">
        <v>566</v>
      </c>
      <c r="B1625" s="13" t="s">
        <v>2525</v>
      </c>
      <c r="C1625" s="22"/>
      <c r="D1625" s="14" t="s">
        <v>2526</v>
      </c>
      <c r="E1625" s="14" t="s">
        <v>2430</v>
      </c>
      <c r="F1625" s="15" t="s">
        <v>22</v>
      </c>
      <c r="G1625" s="26"/>
      <c r="H1625" s="58"/>
      <c r="I1625" s="22"/>
      <c r="J1625" s="14" t="s">
        <v>23</v>
      </c>
      <c r="K1625" s="22"/>
      <c r="L1625" s="22"/>
      <c r="M1625" s="14" t="s">
        <v>1537</v>
      </c>
      <c r="N1625" s="14" t="s">
        <v>25</v>
      </c>
      <c r="O1625" s="22"/>
      <c r="P1625" s="14"/>
      <c r="Q1625" s="14"/>
      <c r="R1625" s="14" t="s">
        <v>2449</v>
      </c>
    </row>
    <row r="1626" spans="1:36" ht="15" customHeight="1">
      <c r="A1626" s="12">
        <v>1324</v>
      </c>
      <c r="B1626" s="13" t="s">
        <v>2527</v>
      </c>
      <c r="C1626" s="14"/>
      <c r="D1626" s="14" t="s">
        <v>2526</v>
      </c>
      <c r="E1626" s="14" t="s">
        <v>2430</v>
      </c>
      <c r="F1626" s="15" t="s">
        <v>22</v>
      </c>
      <c r="G1626" s="21"/>
      <c r="H1626" s="58">
        <v>4</v>
      </c>
      <c r="I1626" s="14"/>
      <c r="J1626" s="14" t="s">
        <v>23</v>
      </c>
      <c r="K1626" s="14"/>
      <c r="L1626" s="14"/>
      <c r="M1626" s="14" t="s">
        <v>1534</v>
      </c>
      <c r="N1626" s="25" t="s">
        <v>37</v>
      </c>
      <c r="O1626" s="14" t="s">
        <v>2528</v>
      </c>
      <c r="P1626" s="14"/>
      <c r="Q1626" s="14"/>
      <c r="R1626" s="14" t="s">
        <v>2333</v>
      </c>
    </row>
    <row r="1627" spans="1:36" ht="15" customHeight="1">
      <c r="A1627" s="12">
        <v>2140</v>
      </c>
      <c r="B1627" s="13" t="s">
        <v>2529</v>
      </c>
      <c r="C1627" s="31"/>
      <c r="D1627" s="16">
        <v>539</v>
      </c>
      <c r="E1627" s="14" t="s">
        <v>2430</v>
      </c>
      <c r="F1627" s="15" t="s">
        <v>22</v>
      </c>
      <c r="G1627" s="18"/>
      <c r="H1627" s="58">
        <v>4</v>
      </c>
      <c r="I1627" s="16"/>
      <c r="J1627" s="14" t="s">
        <v>23</v>
      </c>
      <c r="K1627" s="18"/>
      <c r="L1627" s="18"/>
      <c r="M1627" s="18"/>
      <c r="N1627" s="18"/>
      <c r="O1627" s="18"/>
      <c r="P1627" s="18"/>
      <c r="Q1627" s="18"/>
      <c r="R1627" s="18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</row>
    <row r="1628" spans="1:36" ht="15" customHeight="1">
      <c r="A1628" s="12">
        <v>567</v>
      </c>
      <c r="B1628" s="13" t="s">
        <v>2530</v>
      </c>
      <c r="C1628" s="22"/>
      <c r="D1628" s="14" t="s">
        <v>2531</v>
      </c>
      <c r="E1628" s="14" t="s">
        <v>2430</v>
      </c>
      <c r="F1628" s="15" t="s">
        <v>22</v>
      </c>
      <c r="G1628" s="26"/>
      <c r="H1628" s="58"/>
      <c r="I1628" s="22"/>
      <c r="J1628" s="14" t="s">
        <v>23</v>
      </c>
      <c r="K1628" s="22"/>
      <c r="L1628" s="22"/>
      <c r="M1628" s="14" t="s">
        <v>1537</v>
      </c>
      <c r="N1628" s="25" t="s">
        <v>37</v>
      </c>
      <c r="O1628" s="22" t="s">
        <v>52</v>
      </c>
      <c r="P1628" s="14"/>
      <c r="Q1628" s="14"/>
      <c r="R1628" s="14" t="s">
        <v>2449</v>
      </c>
    </row>
    <row r="1629" spans="1:36" ht="15" customHeight="1">
      <c r="A1629" s="12">
        <v>1325</v>
      </c>
      <c r="B1629" s="13" t="s">
        <v>2532</v>
      </c>
      <c r="C1629" s="14"/>
      <c r="D1629" s="14" t="s">
        <v>2531</v>
      </c>
      <c r="E1629" s="14" t="s">
        <v>2430</v>
      </c>
      <c r="F1629" s="15" t="s">
        <v>22</v>
      </c>
      <c r="G1629" s="21"/>
      <c r="H1629" s="58">
        <v>0</v>
      </c>
      <c r="I1629" s="14"/>
      <c r="J1629" s="14" t="s">
        <v>23</v>
      </c>
      <c r="K1629" s="14"/>
      <c r="L1629" s="14"/>
      <c r="M1629" s="14" t="s">
        <v>1534</v>
      </c>
      <c r="N1629" s="14" t="s">
        <v>25</v>
      </c>
      <c r="O1629" s="14"/>
      <c r="P1629" s="14"/>
      <c r="Q1629" s="14"/>
      <c r="R1629" s="14" t="s">
        <v>2333</v>
      </c>
    </row>
    <row r="1630" spans="1:36" ht="15" customHeight="1">
      <c r="A1630" s="12">
        <v>2141</v>
      </c>
      <c r="B1630" s="13" t="s">
        <v>2533</v>
      </c>
      <c r="C1630" s="31"/>
      <c r="D1630" s="16">
        <v>540</v>
      </c>
      <c r="E1630" s="14" t="s">
        <v>2430</v>
      </c>
      <c r="F1630" s="15" t="s">
        <v>22</v>
      </c>
      <c r="G1630" s="18"/>
      <c r="H1630" s="58"/>
      <c r="I1630" s="16"/>
      <c r="J1630" s="14" t="s">
        <v>23</v>
      </c>
      <c r="K1630" s="18"/>
      <c r="L1630" s="18"/>
      <c r="M1630" s="18"/>
      <c r="N1630" s="18"/>
      <c r="O1630" s="18"/>
      <c r="P1630" s="18"/>
      <c r="Q1630" s="18"/>
      <c r="R1630" s="18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</row>
    <row r="1631" spans="1:36" ht="15" customHeight="1">
      <c r="A1631" s="12">
        <v>568</v>
      </c>
      <c r="B1631" s="13" t="s">
        <v>2534</v>
      </c>
      <c r="C1631" s="22"/>
      <c r="D1631" s="14" t="s">
        <v>2535</v>
      </c>
      <c r="E1631" s="14" t="s">
        <v>2430</v>
      </c>
      <c r="F1631" s="15" t="s">
        <v>22</v>
      </c>
      <c r="G1631" s="26"/>
      <c r="H1631" s="58"/>
      <c r="I1631" s="22"/>
      <c r="J1631" s="14" t="s">
        <v>23</v>
      </c>
      <c r="K1631" s="22"/>
      <c r="L1631" s="22"/>
      <c r="M1631" s="14" t="s">
        <v>1537</v>
      </c>
      <c r="N1631" s="14" t="s">
        <v>25</v>
      </c>
      <c r="O1631" s="22"/>
      <c r="P1631" s="14"/>
      <c r="Q1631" s="14"/>
      <c r="R1631" s="14" t="s">
        <v>2449</v>
      </c>
    </row>
    <row r="1632" spans="1:36" ht="15" customHeight="1">
      <c r="A1632" s="12">
        <v>1326</v>
      </c>
      <c r="B1632" s="13" t="s">
        <v>2536</v>
      </c>
      <c r="C1632" s="14"/>
      <c r="D1632" s="14" t="s">
        <v>2535</v>
      </c>
      <c r="E1632" s="14" t="s">
        <v>2430</v>
      </c>
      <c r="F1632" s="15" t="s">
        <v>22</v>
      </c>
      <c r="G1632" s="21"/>
      <c r="H1632" s="58">
        <v>2</v>
      </c>
      <c r="I1632" s="14"/>
      <c r="J1632" s="14" t="s">
        <v>23</v>
      </c>
      <c r="K1632" s="14"/>
      <c r="L1632" s="14"/>
      <c r="M1632" s="14" t="s">
        <v>1534</v>
      </c>
      <c r="N1632" s="25" t="s">
        <v>37</v>
      </c>
      <c r="O1632" s="14" t="s">
        <v>934</v>
      </c>
      <c r="P1632" s="14"/>
      <c r="Q1632" s="14"/>
      <c r="R1632" s="14" t="s">
        <v>2333</v>
      </c>
    </row>
    <row r="1633" spans="1:36" ht="15" customHeight="1">
      <c r="A1633" s="12">
        <v>2142</v>
      </c>
      <c r="B1633" s="13" t="s">
        <v>2537</v>
      </c>
      <c r="C1633" s="31"/>
      <c r="D1633" s="16">
        <v>541</v>
      </c>
      <c r="E1633" s="14" t="s">
        <v>2430</v>
      </c>
      <c r="F1633" s="15" t="s">
        <v>22</v>
      </c>
      <c r="G1633" s="18"/>
      <c r="H1633" s="58">
        <v>3</v>
      </c>
      <c r="I1633" s="16"/>
      <c r="J1633" s="14" t="s">
        <v>23</v>
      </c>
      <c r="K1633" s="18"/>
      <c r="L1633" s="18"/>
      <c r="M1633" s="18"/>
      <c r="N1633" s="18"/>
      <c r="O1633" s="18"/>
      <c r="P1633" s="18"/>
      <c r="Q1633" s="18"/>
      <c r="R1633" s="18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</row>
    <row r="1634" spans="1:36" ht="15" customHeight="1">
      <c r="A1634" s="12">
        <v>569</v>
      </c>
      <c r="B1634" s="13" t="s">
        <v>2538</v>
      </c>
      <c r="C1634" s="22"/>
      <c r="D1634" s="14" t="s">
        <v>2539</v>
      </c>
      <c r="E1634" s="14" t="s">
        <v>2430</v>
      </c>
      <c r="F1634" s="15" t="s">
        <v>22</v>
      </c>
      <c r="G1634" s="26"/>
      <c r="H1634" s="58"/>
      <c r="I1634" s="22"/>
      <c r="J1634" s="14" t="s">
        <v>23</v>
      </c>
      <c r="K1634" s="22"/>
      <c r="L1634" s="22"/>
      <c r="M1634" s="14" t="s">
        <v>1537</v>
      </c>
      <c r="N1634" s="14" t="s">
        <v>25</v>
      </c>
      <c r="O1634" s="22"/>
      <c r="P1634" s="14"/>
      <c r="Q1634" s="14"/>
      <c r="R1634" s="14" t="s">
        <v>2449</v>
      </c>
    </row>
    <row r="1635" spans="1:36" ht="15" customHeight="1">
      <c r="A1635" s="12">
        <v>1327</v>
      </c>
      <c r="B1635" s="13" t="s">
        <v>2540</v>
      </c>
      <c r="C1635" s="14"/>
      <c r="D1635" s="14" t="s">
        <v>2539</v>
      </c>
      <c r="E1635" s="14" t="s">
        <v>2430</v>
      </c>
      <c r="F1635" s="15" t="s">
        <v>22</v>
      </c>
      <c r="G1635" s="21"/>
      <c r="H1635" s="58">
        <v>1</v>
      </c>
      <c r="I1635" s="14"/>
      <c r="J1635" s="14" t="s">
        <v>23</v>
      </c>
      <c r="K1635" s="14"/>
      <c r="L1635" s="14"/>
      <c r="M1635" s="14" t="s">
        <v>1534</v>
      </c>
      <c r="N1635" s="14" t="s">
        <v>25</v>
      </c>
      <c r="O1635" s="14"/>
      <c r="P1635" s="14"/>
      <c r="Q1635" s="14"/>
      <c r="R1635" s="14" t="s">
        <v>2333</v>
      </c>
    </row>
    <row r="1636" spans="1:36" ht="15" customHeight="1">
      <c r="A1636" s="12">
        <v>2143</v>
      </c>
      <c r="B1636" s="13" t="s">
        <v>2541</v>
      </c>
      <c r="C1636" s="31"/>
      <c r="D1636" s="16">
        <v>542</v>
      </c>
      <c r="E1636" s="14" t="s">
        <v>2430</v>
      </c>
      <c r="F1636" s="15" t="s">
        <v>22</v>
      </c>
      <c r="G1636" s="18"/>
      <c r="H1636" s="58"/>
      <c r="I1636" s="16"/>
      <c r="J1636" s="14" t="s">
        <v>23</v>
      </c>
      <c r="K1636" s="18"/>
      <c r="L1636" s="18"/>
      <c r="M1636" s="18"/>
      <c r="N1636" s="18"/>
      <c r="O1636" s="18"/>
      <c r="P1636" s="18"/>
      <c r="Q1636" s="18"/>
      <c r="R1636" s="18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</row>
    <row r="1637" spans="1:36" ht="15" customHeight="1">
      <c r="A1637" s="12">
        <v>570</v>
      </c>
      <c r="B1637" s="13" t="s">
        <v>2542</v>
      </c>
      <c r="C1637" s="22"/>
      <c r="D1637" s="14" t="s">
        <v>2543</v>
      </c>
      <c r="E1637" s="14" t="s">
        <v>2430</v>
      </c>
      <c r="F1637" s="15" t="s">
        <v>22</v>
      </c>
      <c r="G1637" s="26"/>
      <c r="H1637" s="58"/>
      <c r="I1637" s="22"/>
      <c r="J1637" s="14" t="s">
        <v>23</v>
      </c>
      <c r="K1637" s="22"/>
      <c r="L1637" s="22"/>
      <c r="M1637" s="14" t="s">
        <v>1537</v>
      </c>
      <c r="N1637" s="14" t="s">
        <v>25</v>
      </c>
      <c r="O1637" s="22"/>
      <c r="P1637" s="14"/>
      <c r="Q1637" s="14"/>
      <c r="R1637" s="14" t="s">
        <v>2449</v>
      </c>
    </row>
    <row r="1638" spans="1:36" ht="15" customHeight="1">
      <c r="A1638" s="12">
        <v>1328</v>
      </c>
      <c r="B1638" s="13" t="s">
        <v>2544</v>
      </c>
      <c r="C1638" s="14"/>
      <c r="D1638" s="14" t="s">
        <v>2543</v>
      </c>
      <c r="E1638" s="14" t="s">
        <v>2430</v>
      </c>
      <c r="F1638" s="15" t="s">
        <v>22</v>
      </c>
      <c r="G1638" s="21"/>
      <c r="H1638" s="58">
        <v>0</v>
      </c>
      <c r="I1638" s="14"/>
      <c r="J1638" s="14" t="s">
        <v>23</v>
      </c>
      <c r="K1638" s="14"/>
      <c r="L1638" s="14"/>
      <c r="M1638" s="14" t="s">
        <v>1534</v>
      </c>
      <c r="N1638" s="14" t="s">
        <v>25</v>
      </c>
      <c r="O1638" s="14"/>
      <c r="P1638" s="14"/>
      <c r="Q1638" s="14"/>
      <c r="R1638" s="14" t="s">
        <v>2333</v>
      </c>
    </row>
    <row r="1639" spans="1:36" ht="15" customHeight="1">
      <c r="A1639" s="12">
        <v>2144</v>
      </c>
      <c r="B1639" s="13" t="s">
        <v>2545</v>
      </c>
      <c r="C1639" s="31"/>
      <c r="D1639" s="16">
        <v>543</v>
      </c>
      <c r="E1639" s="14" t="s">
        <v>2430</v>
      </c>
      <c r="F1639" s="15" t="s">
        <v>22</v>
      </c>
      <c r="G1639" s="18"/>
      <c r="H1639" s="58"/>
      <c r="I1639" s="16"/>
      <c r="J1639" s="14" t="s">
        <v>23</v>
      </c>
      <c r="K1639" s="18"/>
      <c r="L1639" s="18"/>
      <c r="M1639" s="18"/>
      <c r="N1639" s="18"/>
      <c r="O1639" s="18"/>
      <c r="P1639" s="18"/>
      <c r="Q1639" s="18"/>
      <c r="R1639" s="18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</row>
    <row r="1640" spans="1:36" ht="15" customHeight="1">
      <c r="A1640" s="12">
        <v>571</v>
      </c>
      <c r="B1640" s="13" t="s">
        <v>2546</v>
      </c>
      <c r="C1640" s="22"/>
      <c r="D1640" s="14" t="s">
        <v>2547</v>
      </c>
      <c r="E1640" s="14" t="s">
        <v>2430</v>
      </c>
      <c r="F1640" s="15" t="s">
        <v>22</v>
      </c>
      <c r="G1640" s="26"/>
      <c r="H1640" s="58"/>
      <c r="I1640" s="22"/>
      <c r="J1640" s="14" t="s">
        <v>23</v>
      </c>
      <c r="K1640" s="22"/>
      <c r="L1640" s="22"/>
      <c r="M1640" s="14" t="s">
        <v>1537</v>
      </c>
      <c r="N1640" s="14" t="s">
        <v>25</v>
      </c>
      <c r="O1640" s="22"/>
      <c r="P1640" s="14"/>
      <c r="Q1640" s="14"/>
      <c r="R1640" s="14" t="s">
        <v>2449</v>
      </c>
    </row>
    <row r="1641" spans="1:36" ht="15" customHeight="1">
      <c r="A1641" s="12">
        <v>1329</v>
      </c>
      <c r="B1641" s="13" t="s">
        <v>2548</v>
      </c>
      <c r="C1641" s="14"/>
      <c r="D1641" s="14" t="s">
        <v>2547</v>
      </c>
      <c r="E1641" s="14" t="s">
        <v>2430</v>
      </c>
      <c r="F1641" s="15" t="s">
        <v>22</v>
      </c>
      <c r="G1641" s="21"/>
      <c r="H1641" s="58">
        <v>1</v>
      </c>
      <c r="I1641" s="14"/>
      <c r="J1641" s="14" t="s">
        <v>23</v>
      </c>
      <c r="K1641" s="14"/>
      <c r="L1641" s="14"/>
      <c r="M1641" s="14" t="s">
        <v>1534</v>
      </c>
      <c r="N1641" s="14" t="s">
        <v>25</v>
      </c>
      <c r="O1641" s="14"/>
      <c r="P1641" s="14"/>
      <c r="Q1641" s="14"/>
      <c r="R1641" s="14" t="s">
        <v>2333</v>
      </c>
    </row>
    <row r="1642" spans="1:36" ht="15" customHeight="1">
      <c r="A1642" s="12">
        <v>2145</v>
      </c>
      <c r="B1642" s="13" t="s">
        <v>2549</v>
      </c>
      <c r="C1642" s="31"/>
      <c r="D1642" s="16">
        <v>544</v>
      </c>
      <c r="E1642" s="14" t="s">
        <v>2430</v>
      </c>
      <c r="F1642" s="15" t="s">
        <v>22</v>
      </c>
      <c r="G1642" s="18"/>
      <c r="H1642" s="58"/>
      <c r="I1642" s="16"/>
      <c r="J1642" s="14" t="s">
        <v>23</v>
      </c>
      <c r="K1642" s="18"/>
      <c r="L1642" s="18"/>
      <c r="M1642" s="18"/>
      <c r="N1642" s="18"/>
      <c r="O1642" s="18"/>
      <c r="P1642" s="18"/>
      <c r="Q1642" s="18"/>
      <c r="R1642" s="18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</row>
    <row r="1643" spans="1:36" ht="15" customHeight="1">
      <c r="A1643" s="12">
        <v>572</v>
      </c>
      <c r="B1643" s="13" t="s">
        <v>2550</v>
      </c>
      <c r="C1643" s="22"/>
      <c r="D1643" s="14" t="s">
        <v>2551</v>
      </c>
      <c r="E1643" s="14" t="s">
        <v>2430</v>
      </c>
      <c r="F1643" s="15" t="s">
        <v>22</v>
      </c>
      <c r="G1643" s="26"/>
      <c r="H1643" s="58"/>
      <c r="I1643" s="22"/>
      <c r="J1643" s="14" t="s">
        <v>23</v>
      </c>
      <c r="K1643" s="22"/>
      <c r="L1643" s="22"/>
      <c r="M1643" s="14" t="s">
        <v>1537</v>
      </c>
      <c r="N1643" s="25" t="s">
        <v>37</v>
      </c>
      <c r="O1643" s="22" t="s">
        <v>52</v>
      </c>
      <c r="P1643" s="14"/>
      <c r="Q1643" s="14"/>
      <c r="R1643" s="14" t="s">
        <v>2449</v>
      </c>
    </row>
    <row r="1644" spans="1:36" ht="15" customHeight="1">
      <c r="A1644" s="12">
        <v>1330</v>
      </c>
      <c r="B1644" s="13" t="s">
        <v>2552</v>
      </c>
      <c r="C1644" s="14"/>
      <c r="D1644" s="14" t="s">
        <v>2551</v>
      </c>
      <c r="E1644" s="14" t="s">
        <v>2430</v>
      </c>
      <c r="F1644" s="15" t="s">
        <v>22</v>
      </c>
      <c r="G1644" s="21"/>
      <c r="H1644" s="58">
        <v>0</v>
      </c>
      <c r="I1644" s="14"/>
      <c r="J1644" s="14" t="s">
        <v>23</v>
      </c>
      <c r="K1644" s="14"/>
      <c r="L1644" s="14"/>
      <c r="M1644" s="14" t="s">
        <v>1534</v>
      </c>
      <c r="N1644" s="25" t="s">
        <v>289</v>
      </c>
      <c r="O1644" s="14" t="s">
        <v>1555</v>
      </c>
      <c r="P1644" s="14"/>
      <c r="Q1644" s="14"/>
      <c r="R1644" s="14" t="s">
        <v>2333</v>
      </c>
    </row>
    <row r="1645" spans="1:36" ht="15" customHeight="1">
      <c r="A1645" s="12">
        <v>2146</v>
      </c>
      <c r="B1645" s="13" t="s">
        <v>2553</v>
      </c>
      <c r="C1645" s="31"/>
      <c r="D1645" s="16">
        <v>545</v>
      </c>
      <c r="E1645" s="14" t="s">
        <v>2430</v>
      </c>
      <c r="F1645" s="15" t="s">
        <v>22</v>
      </c>
      <c r="G1645" s="18"/>
      <c r="H1645" s="58">
        <v>4</v>
      </c>
      <c r="I1645" s="16"/>
      <c r="J1645" s="14" t="s">
        <v>23</v>
      </c>
      <c r="K1645" s="18"/>
      <c r="L1645" s="18"/>
      <c r="M1645" s="18"/>
      <c r="N1645" s="18"/>
      <c r="O1645" s="18"/>
      <c r="P1645" s="18"/>
      <c r="Q1645" s="18"/>
      <c r="R1645" s="18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</row>
    <row r="1646" spans="1:36" ht="15" customHeight="1">
      <c r="A1646" s="12">
        <v>573</v>
      </c>
      <c r="B1646" s="13" t="s">
        <v>2554</v>
      </c>
      <c r="C1646" s="22"/>
      <c r="D1646" s="14" t="s">
        <v>2555</v>
      </c>
      <c r="E1646" s="14" t="s">
        <v>2430</v>
      </c>
      <c r="F1646" s="15" t="s">
        <v>22</v>
      </c>
      <c r="G1646" s="26"/>
      <c r="H1646" s="58"/>
      <c r="I1646" s="22"/>
      <c r="J1646" s="14" t="s">
        <v>23</v>
      </c>
      <c r="K1646" s="22"/>
      <c r="L1646" s="22"/>
      <c r="M1646" s="14" t="s">
        <v>1537</v>
      </c>
      <c r="N1646" s="14" t="s">
        <v>25</v>
      </c>
      <c r="O1646" s="22"/>
      <c r="P1646" s="14"/>
      <c r="Q1646" s="14"/>
      <c r="R1646" s="14" t="s">
        <v>2449</v>
      </c>
    </row>
    <row r="1647" spans="1:36" ht="15" customHeight="1">
      <c r="A1647" s="12">
        <v>1331</v>
      </c>
      <c r="B1647" s="13" t="s">
        <v>2556</v>
      </c>
      <c r="C1647" s="14"/>
      <c r="D1647" s="14" t="s">
        <v>2555</v>
      </c>
      <c r="E1647" s="14" t="s">
        <v>2430</v>
      </c>
      <c r="F1647" s="15" t="s">
        <v>22</v>
      </c>
      <c r="G1647" s="21"/>
      <c r="H1647" s="58">
        <v>3</v>
      </c>
      <c r="I1647" s="14"/>
      <c r="J1647" s="14" t="s">
        <v>23</v>
      </c>
      <c r="K1647" s="14"/>
      <c r="L1647" s="14"/>
      <c r="M1647" s="14" t="s">
        <v>1534</v>
      </c>
      <c r="N1647" s="14" t="s">
        <v>25</v>
      </c>
      <c r="O1647" s="14"/>
      <c r="P1647" s="14"/>
      <c r="Q1647" s="14"/>
      <c r="R1647" s="14" t="s">
        <v>2333</v>
      </c>
    </row>
    <row r="1648" spans="1:36" ht="15" customHeight="1">
      <c r="A1648" s="12">
        <v>2147</v>
      </c>
      <c r="B1648" s="13" t="s">
        <v>2557</v>
      </c>
      <c r="C1648" s="31"/>
      <c r="D1648" s="16">
        <v>546</v>
      </c>
      <c r="E1648" s="14" t="s">
        <v>2430</v>
      </c>
      <c r="F1648" s="15" t="s">
        <v>22</v>
      </c>
      <c r="G1648" s="18"/>
      <c r="H1648" s="58"/>
      <c r="I1648" s="16"/>
      <c r="J1648" s="14" t="s">
        <v>23</v>
      </c>
      <c r="K1648" s="18"/>
      <c r="L1648" s="18"/>
      <c r="M1648" s="18"/>
      <c r="N1648" s="18"/>
      <c r="O1648" s="18"/>
      <c r="P1648" s="18"/>
      <c r="Q1648" s="18"/>
      <c r="R1648" s="18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</row>
    <row r="1649" spans="1:36" ht="15" customHeight="1">
      <c r="A1649" s="12">
        <v>1332</v>
      </c>
      <c r="B1649" s="13" t="s">
        <v>2558</v>
      </c>
      <c r="C1649" s="14"/>
      <c r="D1649" s="14" t="s">
        <v>2559</v>
      </c>
      <c r="E1649" s="14" t="s">
        <v>2430</v>
      </c>
      <c r="F1649" s="15" t="s">
        <v>22</v>
      </c>
      <c r="G1649" s="21"/>
      <c r="H1649" s="58">
        <v>1</v>
      </c>
      <c r="I1649" s="14"/>
      <c r="J1649" s="14" t="s">
        <v>23</v>
      </c>
      <c r="K1649" s="14"/>
      <c r="L1649" s="14"/>
      <c r="M1649" s="14" t="s">
        <v>1534</v>
      </c>
      <c r="N1649" s="14" t="s">
        <v>25</v>
      </c>
      <c r="O1649" s="14"/>
      <c r="P1649" s="14"/>
      <c r="Q1649" s="14"/>
      <c r="R1649" s="14" t="s">
        <v>2333</v>
      </c>
    </row>
    <row r="1650" spans="1:36" ht="15" customHeight="1">
      <c r="A1650" s="12">
        <v>2148</v>
      </c>
      <c r="B1650" s="13" t="s">
        <v>2560</v>
      </c>
      <c r="C1650" s="31"/>
      <c r="D1650" s="16">
        <v>547</v>
      </c>
      <c r="E1650" s="14" t="s">
        <v>2430</v>
      </c>
      <c r="F1650" s="15" t="s">
        <v>22</v>
      </c>
      <c r="G1650" s="18"/>
      <c r="H1650" s="58"/>
      <c r="I1650" s="16"/>
      <c r="J1650" s="14" t="s">
        <v>23</v>
      </c>
      <c r="K1650" s="18"/>
      <c r="L1650" s="18"/>
      <c r="M1650" s="18"/>
      <c r="N1650" s="18"/>
      <c r="O1650" s="18"/>
      <c r="P1650" s="18"/>
      <c r="Q1650" s="18"/>
      <c r="R1650" s="18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</row>
    <row r="1651" spans="1:36" ht="15" customHeight="1">
      <c r="A1651" s="12">
        <v>574</v>
      </c>
      <c r="B1651" s="13" t="s">
        <v>2561</v>
      </c>
      <c r="C1651" s="22"/>
      <c r="D1651" s="14" t="s">
        <v>2562</v>
      </c>
      <c r="E1651" s="14" t="s">
        <v>2430</v>
      </c>
      <c r="F1651" s="15" t="s">
        <v>22</v>
      </c>
      <c r="G1651" s="26"/>
      <c r="H1651" s="58"/>
      <c r="I1651" s="22"/>
      <c r="J1651" s="14" t="s">
        <v>23</v>
      </c>
      <c r="K1651" s="22"/>
      <c r="L1651" s="22"/>
      <c r="M1651" s="14" t="s">
        <v>1537</v>
      </c>
      <c r="N1651" s="14" t="s">
        <v>25</v>
      </c>
      <c r="O1651" s="22"/>
      <c r="P1651" s="14"/>
      <c r="Q1651" s="14"/>
      <c r="R1651" s="14" t="s">
        <v>2449</v>
      </c>
    </row>
    <row r="1652" spans="1:36" ht="15" customHeight="1">
      <c r="A1652" s="12">
        <v>1333</v>
      </c>
      <c r="B1652" s="13" t="s">
        <v>2563</v>
      </c>
      <c r="C1652" s="14"/>
      <c r="D1652" s="14" t="s">
        <v>2562</v>
      </c>
      <c r="E1652" s="14" t="s">
        <v>2430</v>
      </c>
      <c r="F1652" s="15" t="s">
        <v>22</v>
      </c>
      <c r="G1652" s="21"/>
      <c r="H1652" s="58">
        <v>0</v>
      </c>
      <c r="I1652" s="14"/>
      <c r="J1652" s="14" t="s">
        <v>23</v>
      </c>
      <c r="K1652" s="14"/>
      <c r="L1652" s="14"/>
      <c r="M1652" s="14" t="s">
        <v>1534</v>
      </c>
      <c r="N1652" s="14" t="s">
        <v>25</v>
      </c>
      <c r="O1652" s="14"/>
      <c r="P1652" s="14"/>
      <c r="Q1652" s="14"/>
      <c r="R1652" s="14" t="s">
        <v>2333</v>
      </c>
    </row>
    <row r="1653" spans="1:36" ht="15" customHeight="1">
      <c r="A1653" s="12">
        <v>2149</v>
      </c>
      <c r="B1653" s="13" t="s">
        <v>2564</v>
      </c>
      <c r="C1653" s="31"/>
      <c r="D1653" s="16">
        <v>549</v>
      </c>
      <c r="E1653" s="14" t="s">
        <v>2430</v>
      </c>
      <c r="F1653" s="15" t="s">
        <v>22</v>
      </c>
      <c r="G1653" s="18"/>
      <c r="H1653" s="58"/>
      <c r="I1653" s="16"/>
      <c r="J1653" s="14" t="s">
        <v>23</v>
      </c>
      <c r="K1653" s="18"/>
      <c r="L1653" s="18"/>
      <c r="M1653" s="18"/>
      <c r="N1653" s="18"/>
      <c r="O1653" s="18"/>
      <c r="P1653" s="18"/>
      <c r="Q1653" s="18"/>
      <c r="R1653" s="18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</row>
    <row r="1654" spans="1:36" ht="15" customHeight="1">
      <c r="A1654" s="12">
        <v>1334</v>
      </c>
      <c r="B1654" s="13" t="s">
        <v>2565</v>
      </c>
      <c r="C1654" s="14"/>
      <c r="D1654" s="14" t="s">
        <v>2566</v>
      </c>
      <c r="E1654" s="14" t="s">
        <v>2430</v>
      </c>
      <c r="F1654" s="15" t="s">
        <v>22</v>
      </c>
      <c r="G1654" s="21"/>
      <c r="H1654" s="58">
        <v>2</v>
      </c>
      <c r="I1654" s="14"/>
      <c r="J1654" s="14" t="s">
        <v>23</v>
      </c>
      <c r="K1654" s="14"/>
      <c r="L1654" s="14"/>
      <c r="M1654" s="14" t="s">
        <v>1534</v>
      </c>
      <c r="N1654" s="14" t="s">
        <v>25</v>
      </c>
      <c r="O1654" s="14"/>
      <c r="P1654" s="14"/>
      <c r="Q1654" s="14"/>
      <c r="R1654" s="14" t="s">
        <v>2333</v>
      </c>
    </row>
    <row r="1655" spans="1:36" ht="15" customHeight="1">
      <c r="A1655" s="12">
        <v>2150</v>
      </c>
      <c r="B1655" s="13" t="s">
        <v>2567</v>
      </c>
      <c r="C1655" s="31"/>
      <c r="D1655" s="16">
        <v>550</v>
      </c>
      <c r="E1655" s="14" t="s">
        <v>2430</v>
      </c>
      <c r="F1655" s="15" t="s">
        <v>22</v>
      </c>
      <c r="G1655" s="18"/>
      <c r="H1655" s="58">
        <v>1</v>
      </c>
      <c r="I1655" s="16"/>
      <c r="J1655" s="14" t="s">
        <v>23</v>
      </c>
      <c r="K1655" s="18"/>
      <c r="L1655" s="18"/>
      <c r="M1655" s="18"/>
      <c r="N1655" s="18"/>
      <c r="O1655" s="18"/>
      <c r="P1655" s="18"/>
      <c r="Q1655" s="18"/>
      <c r="R1655" s="18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</row>
    <row r="1656" spans="1:36" ht="15" customHeight="1">
      <c r="A1656" s="12">
        <v>575</v>
      </c>
      <c r="B1656" s="13" t="s">
        <v>2568</v>
      </c>
      <c r="C1656" s="22"/>
      <c r="D1656" s="14" t="s">
        <v>2569</v>
      </c>
      <c r="E1656" s="14" t="s">
        <v>2430</v>
      </c>
      <c r="F1656" s="15" t="s">
        <v>22</v>
      </c>
      <c r="G1656" s="26"/>
      <c r="H1656" s="58"/>
      <c r="I1656" s="22"/>
      <c r="J1656" s="14" t="s">
        <v>23</v>
      </c>
      <c r="K1656" s="22"/>
      <c r="L1656" s="22"/>
      <c r="M1656" s="14" t="s">
        <v>1537</v>
      </c>
      <c r="N1656" s="14" t="s">
        <v>25</v>
      </c>
      <c r="O1656" s="22"/>
      <c r="P1656" s="14"/>
      <c r="Q1656" s="14"/>
      <c r="R1656" s="14" t="s">
        <v>2449</v>
      </c>
    </row>
    <row r="1657" spans="1:36" ht="15" customHeight="1">
      <c r="A1657" s="12">
        <v>1560</v>
      </c>
      <c r="B1657" s="13" t="s">
        <v>2570</v>
      </c>
      <c r="C1657" s="14"/>
      <c r="D1657" s="14" t="s">
        <v>2569</v>
      </c>
      <c r="E1657" s="14" t="s">
        <v>2430</v>
      </c>
      <c r="F1657" s="15" t="s">
        <v>22</v>
      </c>
      <c r="G1657" s="14"/>
      <c r="H1657" s="58">
        <v>1</v>
      </c>
      <c r="I1657" s="14"/>
      <c r="J1657" s="14" t="s">
        <v>23</v>
      </c>
      <c r="K1657" s="14"/>
      <c r="L1657" s="14"/>
      <c r="M1657" s="14" t="s">
        <v>650</v>
      </c>
      <c r="N1657" s="14" t="s">
        <v>25</v>
      </c>
      <c r="O1657" s="14"/>
      <c r="P1657" s="14"/>
      <c r="Q1657" s="14"/>
      <c r="R1657" s="14" t="s">
        <v>2338</v>
      </c>
    </row>
    <row r="1658" spans="1:36" ht="15" customHeight="1">
      <c r="A1658" s="12">
        <v>2151</v>
      </c>
      <c r="B1658" s="13" t="s">
        <v>2571</v>
      </c>
      <c r="C1658" s="31"/>
      <c r="D1658" s="16">
        <v>551</v>
      </c>
      <c r="E1658" s="14" t="s">
        <v>2430</v>
      </c>
      <c r="F1658" s="15" t="s">
        <v>22</v>
      </c>
      <c r="G1658" s="18"/>
      <c r="H1658" s="58"/>
      <c r="I1658" s="16"/>
      <c r="J1658" s="14" t="s">
        <v>23</v>
      </c>
      <c r="K1658" s="18"/>
      <c r="L1658" s="18"/>
      <c r="M1658" s="18"/>
      <c r="N1658" s="18"/>
      <c r="O1658" s="18"/>
      <c r="P1658" s="18"/>
      <c r="Q1658" s="18"/>
      <c r="R1658" s="18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</row>
    <row r="1659" spans="1:36" ht="15" customHeight="1">
      <c r="A1659" s="12">
        <v>576</v>
      </c>
      <c r="B1659" s="13" t="s">
        <v>2572</v>
      </c>
      <c r="C1659" s="22"/>
      <c r="D1659" s="14" t="s">
        <v>2573</v>
      </c>
      <c r="E1659" s="14" t="s">
        <v>2430</v>
      </c>
      <c r="F1659" s="15" t="s">
        <v>22</v>
      </c>
      <c r="G1659" s="26"/>
      <c r="H1659" s="58"/>
      <c r="I1659" s="22"/>
      <c r="J1659" s="14" t="s">
        <v>23</v>
      </c>
      <c r="K1659" s="22"/>
      <c r="L1659" s="22"/>
      <c r="M1659" s="14" t="s">
        <v>1537</v>
      </c>
      <c r="N1659" s="14" t="s">
        <v>25</v>
      </c>
      <c r="O1659" s="22"/>
      <c r="P1659" s="14"/>
      <c r="Q1659" s="14"/>
      <c r="R1659" s="14" t="s">
        <v>2449</v>
      </c>
    </row>
    <row r="1660" spans="1:36" ht="15" customHeight="1">
      <c r="A1660" s="12">
        <v>1561</v>
      </c>
      <c r="B1660" s="13" t="s">
        <v>2574</v>
      </c>
      <c r="C1660" s="14"/>
      <c r="D1660" s="14" t="s">
        <v>2573</v>
      </c>
      <c r="E1660" s="14" t="s">
        <v>2430</v>
      </c>
      <c r="F1660" s="15" t="s">
        <v>22</v>
      </c>
      <c r="G1660" s="14"/>
      <c r="H1660" s="58">
        <v>0</v>
      </c>
      <c r="I1660" s="14"/>
      <c r="J1660" s="14" t="s">
        <v>23</v>
      </c>
      <c r="K1660" s="14"/>
      <c r="L1660" s="14"/>
      <c r="M1660" s="14" t="s">
        <v>650</v>
      </c>
      <c r="N1660" s="25" t="s">
        <v>289</v>
      </c>
      <c r="O1660" s="14" t="s">
        <v>2575</v>
      </c>
      <c r="P1660" s="14"/>
      <c r="Q1660" s="14"/>
      <c r="R1660" s="14" t="s">
        <v>2338</v>
      </c>
    </row>
    <row r="1661" spans="1:36" ht="15" customHeight="1">
      <c r="A1661" s="12">
        <v>2152</v>
      </c>
      <c r="B1661" s="13" t="s">
        <v>2576</v>
      </c>
      <c r="C1661" s="31"/>
      <c r="D1661" s="16">
        <v>552</v>
      </c>
      <c r="E1661" s="14" t="s">
        <v>2430</v>
      </c>
      <c r="F1661" s="15" t="s">
        <v>22</v>
      </c>
      <c r="G1661" s="18"/>
      <c r="H1661" s="58"/>
      <c r="I1661" s="16"/>
      <c r="J1661" s="14" t="s">
        <v>23</v>
      </c>
      <c r="K1661" s="18"/>
      <c r="L1661" s="18"/>
      <c r="M1661" s="18"/>
      <c r="N1661" s="18"/>
      <c r="O1661" s="18"/>
      <c r="P1661" s="18"/>
      <c r="Q1661" s="18"/>
      <c r="R1661" s="18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</row>
    <row r="1662" spans="1:36" ht="15" customHeight="1">
      <c r="A1662" s="12">
        <v>577</v>
      </c>
      <c r="B1662" s="13" t="s">
        <v>2577</v>
      </c>
      <c r="C1662" s="22"/>
      <c r="D1662" s="14" t="s">
        <v>2578</v>
      </c>
      <c r="E1662" s="14" t="s">
        <v>2430</v>
      </c>
      <c r="F1662" s="15" t="s">
        <v>22</v>
      </c>
      <c r="G1662" s="26"/>
      <c r="H1662" s="58"/>
      <c r="I1662" s="22"/>
      <c r="J1662" s="14" t="s">
        <v>23</v>
      </c>
      <c r="K1662" s="22"/>
      <c r="L1662" s="22"/>
      <c r="M1662" s="14" t="s">
        <v>1537</v>
      </c>
      <c r="N1662" s="14" t="s">
        <v>25</v>
      </c>
      <c r="O1662" s="22"/>
      <c r="P1662" s="14"/>
      <c r="Q1662" s="14"/>
      <c r="R1662" s="14" t="s">
        <v>2449</v>
      </c>
    </row>
    <row r="1663" spans="1:36" ht="15" customHeight="1">
      <c r="A1663" s="12">
        <v>1562</v>
      </c>
      <c r="B1663" s="13" t="s">
        <v>2579</v>
      </c>
      <c r="C1663" s="14"/>
      <c r="D1663" s="14" t="s">
        <v>2578</v>
      </c>
      <c r="E1663" s="14" t="s">
        <v>2430</v>
      </c>
      <c r="F1663" s="15" t="s">
        <v>22</v>
      </c>
      <c r="G1663" s="14"/>
      <c r="H1663" s="58">
        <v>0</v>
      </c>
      <c r="I1663" s="14"/>
      <c r="J1663" s="14" t="s">
        <v>23</v>
      </c>
      <c r="K1663" s="14"/>
      <c r="L1663" s="14"/>
      <c r="M1663" s="14" t="s">
        <v>650</v>
      </c>
      <c r="N1663" s="14" t="s">
        <v>25</v>
      </c>
      <c r="O1663" s="14"/>
      <c r="P1663" s="14"/>
      <c r="Q1663" s="14"/>
      <c r="R1663" s="14" t="s">
        <v>2338</v>
      </c>
    </row>
    <row r="1664" spans="1:36" ht="15" customHeight="1">
      <c r="A1664" s="12">
        <v>2153</v>
      </c>
      <c r="B1664" s="13" t="s">
        <v>2580</v>
      </c>
      <c r="C1664" s="31"/>
      <c r="D1664" s="16">
        <v>553</v>
      </c>
      <c r="E1664" s="14" t="s">
        <v>2430</v>
      </c>
      <c r="F1664" s="15" t="s">
        <v>22</v>
      </c>
      <c r="G1664" s="18"/>
      <c r="H1664" s="58"/>
      <c r="I1664" s="16"/>
      <c r="J1664" s="14" t="s">
        <v>23</v>
      </c>
      <c r="K1664" s="18"/>
      <c r="L1664" s="18"/>
      <c r="M1664" s="18"/>
      <c r="N1664" s="18"/>
      <c r="O1664" s="18"/>
      <c r="P1664" s="18"/>
      <c r="Q1664" s="18"/>
      <c r="R1664" s="18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</row>
    <row r="1665" spans="1:36" ht="15" customHeight="1">
      <c r="A1665" s="12">
        <v>578</v>
      </c>
      <c r="B1665" s="13" t="s">
        <v>2581</v>
      </c>
      <c r="C1665" s="22"/>
      <c r="D1665" s="14" t="s">
        <v>2582</v>
      </c>
      <c r="E1665" s="14" t="s">
        <v>2430</v>
      </c>
      <c r="F1665" s="15" t="s">
        <v>22</v>
      </c>
      <c r="G1665" s="26"/>
      <c r="H1665" s="58"/>
      <c r="I1665" s="22"/>
      <c r="J1665" s="14" t="s">
        <v>23</v>
      </c>
      <c r="K1665" s="22"/>
      <c r="L1665" s="22"/>
      <c r="M1665" s="14" t="s">
        <v>1537</v>
      </c>
      <c r="N1665" s="25" t="s">
        <v>37</v>
      </c>
      <c r="O1665" s="22" t="s">
        <v>45</v>
      </c>
      <c r="P1665" s="14"/>
      <c r="Q1665" s="14"/>
      <c r="R1665" s="14" t="s">
        <v>2449</v>
      </c>
    </row>
    <row r="1666" spans="1:36" ht="15" customHeight="1">
      <c r="A1666" s="12">
        <v>1563</v>
      </c>
      <c r="B1666" s="13" t="s">
        <v>2583</v>
      </c>
      <c r="C1666" s="14"/>
      <c r="D1666" s="14" t="s">
        <v>2582</v>
      </c>
      <c r="E1666" s="14" t="s">
        <v>2430</v>
      </c>
      <c r="F1666" s="15" t="s">
        <v>22</v>
      </c>
      <c r="G1666" s="14"/>
      <c r="H1666" s="58">
        <v>4</v>
      </c>
      <c r="I1666" s="14"/>
      <c r="J1666" s="14" t="s">
        <v>23</v>
      </c>
      <c r="K1666" s="14"/>
      <c r="L1666" s="14"/>
      <c r="M1666" s="14" t="s">
        <v>650</v>
      </c>
      <c r="N1666" s="25" t="s">
        <v>289</v>
      </c>
      <c r="O1666" s="14" t="s">
        <v>2149</v>
      </c>
      <c r="P1666" s="14"/>
      <c r="Q1666" s="14"/>
      <c r="R1666" s="14" t="s">
        <v>2338</v>
      </c>
    </row>
    <row r="1667" spans="1:36" ht="15" customHeight="1">
      <c r="A1667" s="12">
        <v>2154</v>
      </c>
      <c r="B1667" s="13" t="s">
        <v>2584</v>
      </c>
      <c r="C1667" s="31"/>
      <c r="D1667" s="16">
        <v>554</v>
      </c>
      <c r="E1667" s="14" t="s">
        <v>2430</v>
      </c>
      <c r="F1667" s="15" t="s">
        <v>22</v>
      </c>
      <c r="G1667" s="18"/>
      <c r="H1667" s="58">
        <v>4</v>
      </c>
      <c r="I1667" s="16"/>
      <c r="J1667" s="14" t="s">
        <v>23</v>
      </c>
      <c r="K1667" s="18"/>
      <c r="L1667" s="18"/>
      <c r="M1667" s="18"/>
      <c r="N1667" s="18"/>
      <c r="O1667" s="18"/>
      <c r="P1667" s="18"/>
      <c r="Q1667" s="18"/>
      <c r="R1667" s="18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</row>
    <row r="1668" spans="1:36" ht="15" customHeight="1">
      <c r="A1668" s="12">
        <v>579</v>
      </c>
      <c r="B1668" s="13" t="s">
        <v>2585</v>
      </c>
      <c r="C1668" s="22"/>
      <c r="D1668" s="14" t="s">
        <v>2586</v>
      </c>
      <c r="E1668" s="14" t="s">
        <v>2430</v>
      </c>
      <c r="F1668" s="15" t="s">
        <v>22</v>
      </c>
      <c r="G1668" s="26"/>
      <c r="H1668" s="58"/>
      <c r="I1668" s="22"/>
      <c r="J1668" s="14" t="s">
        <v>23</v>
      </c>
      <c r="K1668" s="22"/>
      <c r="L1668" s="22"/>
      <c r="M1668" s="14" t="s">
        <v>1537</v>
      </c>
      <c r="N1668" s="14" t="s">
        <v>25</v>
      </c>
      <c r="O1668" s="22"/>
      <c r="P1668" s="14"/>
      <c r="Q1668" s="14"/>
      <c r="R1668" s="14" t="s">
        <v>2449</v>
      </c>
    </row>
    <row r="1669" spans="1:36" ht="15" customHeight="1">
      <c r="A1669" s="12">
        <v>1335</v>
      </c>
      <c r="B1669" s="13" t="s">
        <v>2587</v>
      </c>
      <c r="C1669" s="14"/>
      <c r="D1669" s="14" t="s">
        <v>2586</v>
      </c>
      <c r="E1669" s="14" t="s">
        <v>2430</v>
      </c>
      <c r="F1669" s="15" t="s">
        <v>22</v>
      </c>
      <c r="G1669" s="21"/>
      <c r="H1669" s="58">
        <v>2</v>
      </c>
      <c r="I1669" s="14"/>
      <c r="J1669" s="14" t="s">
        <v>23</v>
      </c>
      <c r="K1669" s="14"/>
      <c r="L1669" s="14"/>
      <c r="M1669" s="14" t="s">
        <v>1534</v>
      </c>
      <c r="N1669" s="14" t="s">
        <v>25</v>
      </c>
      <c r="O1669" s="14"/>
      <c r="P1669" s="14"/>
      <c r="Q1669" s="14"/>
      <c r="R1669" s="14" t="s">
        <v>2333</v>
      </c>
    </row>
    <row r="1670" spans="1:36" ht="15" customHeight="1">
      <c r="A1670" s="12">
        <v>2155</v>
      </c>
      <c r="B1670" s="13" t="s">
        <v>2588</v>
      </c>
      <c r="C1670" s="31"/>
      <c r="D1670" s="16">
        <v>555</v>
      </c>
      <c r="E1670" s="14" t="s">
        <v>2430</v>
      </c>
      <c r="F1670" s="15" t="s">
        <v>22</v>
      </c>
      <c r="G1670" s="18"/>
      <c r="H1670" s="58">
        <v>2</v>
      </c>
      <c r="I1670" s="16"/>
      <c r="J1670" s="14" t="s">
        <v>23</v>
      </c>
      <c r="K1670" s="18"/>
      <c r="L1670" s="18"/>
      <c r="M1670" s="18"/>
      <c r="N1670" s="18"/>
      <c r="O1670" s="18"/>
      <c r="P1670" s="18"/>
      <c r="Q1670" s="18"/>
      <c r="R1670" s="18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</row>
    <row r="1671" spans="1:36" ht="15" customHeight="1">
      <c r="A1671" s="12">
        <v>580</v>
      </c>
      <c r="B1671" s="13" t="s">
        <v>2589</v>
      </c>
      <c r="C1671" s="22"/>
      <c r="D1671" s="14" t="s">
        <v>2590</v>
      </c>
      <c r="E1671" s="14" t="s">
        <v>2430</v>
      </c>
      <c r="F1671" s="15" t="s">
        <v>22</v>
      </c>
      <c r="G1671" s="26"/>
      <c r="H1671" s="58"/>
      <c r="I1671" s="22"/>
      <c r="J1671" s="14" t="s">
        <v>23</v>
      </c>
      <c r="K1671" s="22"/>
      <c r="L1671" s="22"/>
      <c r="M1671" s="14" t="s">
        <v>1537</v>
      </c>
      <c r="N1671" s="25" t="s">
        <v>37</v>
      </c>
      <c r="O1671" s="22" t="s">
        <v>189</v>
      </c>
      <c r="P1671" s="14"/>
      <c r="Q1671" s="14"/>
      <c r="R1671" s="14" t="s">
        <v>2449</v>
      </c>
    </row>
    <row r="1672" spans="1:36" ht="15" customHeight="1">
      <c r="A1672" s="12">
        <v>1336</v>
      </c>
      <c r="B1672" s="13" t="s">
        <v>2591</v>
      </c>
      <c r="C1672" s="14"/>
      <c r="D1672" s="14" t="s">
        <v>2590</v>
      </c>
      <c r="E1672" s="14" t="s">
        <v>2430</v>
      </c>
      <c r="F1672" s="15" t="s">
        <v>22</v>
      </c>
      <c r="G1672" s="21"/>
      <c r="H1672" s="58">
        <v>4</v>
      </c>
      <c r="I1672" s="14"/>
      <c r="J1672" s="14" t="s">
        <v>23</v>
      </c>
      <c r="K1672" s="14"/>
      <c r="L1672" s="14"/>
      <c r="M1672" s="14" t="s">
        <v>1534</v>
      </c>
      <c r="N1672" s="25" t="s">
        <v>37</v>
      </c>
      <c r="O1672" s="14" t="s">
        <v>2592</v>
      </c>
      <c r="P1672" s="14"/>
      <c r="Q1672" s="14"/>
      <c r="R1672" s="14" t="s">
        <v>2333</v>
      </c>
    </row>
    <row r="1673" spans="1:36" ht="15" customHeight="1">
      <c r="A1673" s="12">
        <v>2156</v>
      </c>
      <c r="B1673" s="13" t="s">
        <v>2593</v>
      </c>
      <c r="C1673" s="31"/>
      <c r="D1673" s="16">
        <v>556</v>
      </c>
      <c r="E1673" s="14" t="s">
        <v>2430</v>
      </c>
      <c r="F1673" s="15" t="s">
        <v>22</v>
      </c>
      <c r="G1673" s="18"/>
      <c r="H1673" s="58">
        <v>4</v>
      </c>
      <c r="I1673" s="16"/>
      <c r="J1673" s="14" t="s">
        <v>23</v>
      </c>
      <c r="K1673" s="18"/>
      <c r="L1673" s="18"/>
      <c r="M1673" s="18"/>
      <c r="N1673" s="18"/>
      <c r="O1673" s="18"/>
      <c r="P1673" s="18"/>
      <c r="Q1673" s="18"/>
      <c r="R1673" s="18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</row>
    <row r="1674" spans="1:36" ht="15" customHeight="1">
      <c r="A1674" s="12">
        <v>581</v>
      </c>
      <c r="B1674" s="13" t="s">
        <v>2594</v>
      </c>
      <c r="C1674" s="22"/>
      <c r="D1674" s="14" t="s">
        <v>2595</v>
      </c>
      <c r="E1674" s="14" t="s">
        <v>2430</v>
      </c>
      <c r="F1674" s="15" t="s">
        <v>22</v>
      </c>
      <c r="G1674" s="26"/>
      <c r="H1674" s="58"/>
      <c r="I1674" s="22"/>
      <c r="J1674" s="14" t="s">
        <v>23</v>
      </c>
      <c r="K1674" s="22"/>
      <c r="L1674" s="22"/>
      <c r="M1674" s="14" t="s">
        <v>1537</v>
      </c>
      <c r="N1674" s="25" t="s">
        <v>37</v>
      </c>
      <c r="O1674" s="22" t="s">
        <v>45</v>
      </c>
      <c r="P1674" s="14"/>
      <c r="Q1674" s="14"/>
      <c r="R1674" s="14" t="s">
        <v>2449</v>
      </c>
    </row>
    <row r="1675" spans="1:36" ht="15" customHeight="1">
      <c r="A1675" s="12">
        <v>1337</v>
      </c>
      <c r="B1675" s="13" t="s">
        <v>2596</v>
      </c>
      <c r="C1675" s="14"/>
      <c r="D1675" s="14" t="s">
        <v>2595</v>
      </c>
      <c r="E1675" s="14" t="s">
        <v>2430</v>
      </c>
      <c r="F1675" s="15" t="s">
        <v>22</v>
      </c>
      <c r="G1675" s="21"/>
      <c r="H1675" s="58">
        <v>3</v>
      </c>
      <c r="I1675" s="14"/>
      <c r="J1675" s="14" t="s">
        <v>23</v>
      </c>
      <c r="K1675" s="14"/>
      <c r="L1675" s="14"/>
      <c r="M1675" s="14" t="s">
        <v>1534</v>
      </c>
      <c r="N1675" s="25" t="s">
        <v>289</v>
      </c>
      <c r="O1675" s="14" t="s">
        <v>2597</v>
      </c>
      <c r="P1675" s="14"/>
      <c r="Q1675" s="14"/>
      <c r="R1675" s="14" t="s">
        <v>2333</v>
      </c>
    </row>
    <row r="1676" spans="1:36" ht="15" customHeight="1">
      <c r="A1676" s="12">
        <v>2157</v>
      </c>
      <c r="B1676" s="13" t="s">
        <v>2598</v>
      </c>
      <c r="C1676" s="31"/>
      <c r="D1676" s="16">
        <v>557</v>
      </c>
      <c r="E1676" s="14" t="s">
        <v>2430</v>
      </c>
      <c r="F1676" s="15" t="s">
        <v>22</v>
      </c>
      <c r="G1676" s="18"/>
      <c r="H1676" s="58">
        <v>2</v>
      </c>
      <c r="I1676" s="16"/>
      <c r="J1676" s="14" t="s">
        <v>23</v>
      </c>
      <c r="K1676" s="18"/>
      <c r="L1676" s="18"/>
      <c r="M1676" s="18"/>
      <c r="N1676" s="18"/>
      <c r="O1676" s="18"/>
      <c r="P1676" s="18"/>
      <c r="Q1676" s="18"/>
      <c r="R1676" s="18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</row>
    <row r="1677" spans="1:36" ht="15" customHeight="1">
      <c r="A1677" s="12">
        <v>582</v>
      </c>
      <c r="B1677" s="13" t="s">
        <v>2599</v>
      </c>
      <c r="C1677" s="22"/>
      <c r="D1677" s="14" t="s">
        <v>2600</v>
      </c>
      <c r="E1677" s="14" t="s">
        <v>2430</v>
      </c>
      <c r="F1677" s="15" t="s">
        <v>22</v>
      </c>
      <c r="G1677" s="26"/>
      <c r="H1677" s="58"/>
      <c r="I1677" s="22"/>
      <c r="J1677" s="14" t="s">
        <v>23</v>
      </c>
      <c r="K1677" s="22"/>
      <c r="L1677" s="22"/>
      <c r="M1677" s="14" t="s">
        <v>1537</v>
      </c>
      <c r="N1677" s="14" t="s">
        <v>25</v>
      </c>
      <c r="O1677" s="22"/>
      <c r="P1677" s="14"/>
      <c r="Q1677" s="14"/>
      <c r="R1677" s="14" t="s">
        <v>2449</v>
      </c>
    </row>
    <row r="1678" spans="1:36" ht="15" customHeight="1">
      <c r="A1678" s="12">
        <v>1338</v>
      </c>
      <c r="B1678" s="13" t="s">
        <v>2601</v>
      </c>
      <c r="C1678" s="14"/>
      <c r="D1678" s="14" t="s">
        <v>2600</v>
      </c>
      <c r="E1678" s="14" t="s">
        <v>2430</v>
      </c>
      <c r="F1678" s="15" t="s">
        <v>22</v>
      </c>
      <c r="G1678" s="21"/>
      <c r="H1678" s="58">
        <v>1</v>
      </c>
      <c r="I1678" s="14"/>
      <c r="J1678" s="14" t="s">
        <v>23</v>
      </c>
      <c r="K1678" s="14"/>
      <c r="L1678" s="14"/>
      <c r="M1678" s="14" t="s">
        <v>1534</v>
      </c>
      <c r="N1678" s="14" t="s">
        <v>25</v>
      </c>
      <c r="O1678" s="14"/>
      <c r="P1678" s="14"/>
      <c r="Q1678" s="14"/>
      <c r="R1678" s="14" t="s">
        <v>2333</v>
      </c>
    </row>
    <row r="1679" spans="1:36" ht="15" customHeight="1">
      <c r="A1679" s="12">
        <v>2158</v>
      </c>
      <c r="B1679" s="13" t="s">
        <v>2602</v>
      </c>
      <c r="C1679" s="31"/>
      <c r="D1679" s="16">
        <v>558</v>
      </c>
      <c r="E1679" s="14" t="s">
        <v>2430</v>
      </c>
      <c r="F1679" s="15" t="s">
        <v>22</v>
      </c>
      <c r="G1679" s="18"/>
      <c r="H1679" s="58"/>
      <c r="I1679" s="16"/>
      <c r="J1679" s="14" t="s">
        <v>23</v>
      </c>
      <c r="K1679" s="18"/>
      <c r="L1679" s="18"/>
      <c r="M1679" s="18"/>
      <c r="N1679" s="18"/>
      <c r="O1679" s="18"/>
      <c r="P1679" s="18"/>
      <c r="Q1679" s="18"/>
      <c r="R1679" s="18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</row>
    <row r="1680" spans="1:36" ht="15" customHeight="1">
      <c r="A1680" s="12">
        <v>583</v>
      </c>
      <c r="B1680" s="13" t="s">
        <v>2603</v>
      </c>
      <c r="C1680" s="22"/>
      <c r="D1680" s="14" t="s">
        <v>2604</v>
      </c>
      <c r="E1680" s="14" t="s">
        <v>2430</v>
      </c>
      <c r="F1680" s="15" t="s">
        <v>22</v>
      </c>
      <c r="G1680" s="26"/>
      <c r="H1680" s="58"/>
      <c r="I1680" s="22"/>
      <c r="J1680" s="14" t="s">
        <v>23</v>
      </c>
      <c r="K1680" s="22"/>
      <c r="L1680" s="22"/>
      <c r="M1680" s="14" t="s">
        <v>1537</v>
      </c>
      <c r="N1680" s="14" t="s">
        <v>25</v>
      </c>
      <c r="O1680" s="22"/>
      <c r="P1680" s="14"/>
      <c r="Q1680" s="14"/>
      <c r="R1680" s="14" t="s">
        <v>2449</v>
      </c>
    </row>
    <row r="1681" spans="1:36" ht="15" customHeight="1">
      <c r="A1681" s="12">
        <v>1339</v>
      </c>
      <c r="B1681" s="13" t="s">
        <v>2605</v>
      </c>
      <c r="C1681" s="14"/>
      <c r="D1681" s="14" t="s">
        <v>2604</v>
      </c>
      <c r="E1681" s="14" t="s">
        <v>2430</v>
      </c>
      <c r="F1681" s="15" t="s">
        <v>22</v>
      </c>
      <c r="G1681" s="21"/>
      <c r="H1681" s="58">
        <v>4</v>
      </c>
      <c r="I1681" s="14"/>
      <c r="J1681" s="14" t="s">
        <v>23</v>
      </c>
      <c r="K1681" s="14"/>
      <c r="L1681" s="14"/>
      <c r="M1681" s="14" t="s">
        <v>1534</v>
      </c>
      <c r="N1681" s="25" t="s">
        <v>37</v>
      </c>
      <c r="O1681" s="14" t="s">
        <v>2606</v>
      </c>
      <c r="P1681" s="14"/>
      <c r="Q1681" s="14"/>
      <c r="R1681" s="14" t="s">
        <v>2333</v>
      </c>
    </row>
    <row r="1682" spans="1:36" ht="15" customHeight="1">
      <c r="A1682" s="12">
        <v>2159</v>
      </c>
      <c r="B1682" s="13" t="s">
        <v>2607</v>
      </c>
      <c r="C1682" s="31"/>
      <c r="D1682" s="16">
        <v>559</v>
      </c>
      <c r="E1682" s="14" t="s">
        <v>2430</v>
      </c>
      <c r="F1682" s="15" t="s">
        <v>22</v>
      </c>
      <c r="G1682" s="18"/>
      <c r="H1682" s="58">
        <v>4</v>
      </c>
      <c r="I1682" s="16"/>
      <c r="J1682" s="14" t="s">
        <v>23</v>
      </c>
      <c r="K1682" s="18"/>
      <c r="L1682" s="18"/>
      <c r="M1682" s="18"/>
      <c r="N1682" s="18"/>
      <c r="O1682" s="18"/>
      <c r="P1682" s="18"/>
      <c r="Q1682" s="18"/>
      <c r="R1682" s="18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</row>
    <row r="1683" spans="1:36" ht="15" customHeight="1">
      <c r="A1683" s="12">
        <v>584</v>
      </c>
      <c r="B1683" s="13" t="s">
        <v>2608</v>
      </c>
      <c r="C1683" s="22"/>
      <c r="D1683" s="14" t="s">
        <v>2609</v>
      </c>
      <c r="E1683" s="14" t="s">
        <v>2430</v>
      </c>
      <c r="F1683" s="15" t="s">
        <v>22</v>
      </c>
      <c r="G1683" s="26"/>
      <c r="H1683" s="58"/>
      <c r="I1683" s="22"/>
      <c r="J1683" s="14" t="s">
        <v>23</v>
      </c>
      <c r="K1683" s="22"/>
      <c r="L1683" s="22"/>
      <c r="M1683" s="14" t="s">
        <v>1537</v>
      </c>
      <c r="N1683" s="14" t="s">
        <v>25</v>
      </c>
      <c r="O1683" s="22"/>
      <c r="P1683" s="14"/>
      <c r="Q1683" s="14"/>
      <c r="R1683" s="14" t="s">
        <v>2449</v>
      </c>
    </row>
    <row r="1684" spans="1:36" ht="15" customHeight="1">
      <c r="A1684" s="12">
        <v>618</v>
      </c>
      <c r="B1684" s="13" t="s">
        <v>2610</v>
      </c>
      <c r="C1684" s="22"/>
      <c r="D1684" s="22" t="s">
        <v>2609</v>
      </c>
      <c r="E1684" s="14" t="s">
        <v>2430</v>
      </c>
      <c r="F1684" s="15" t="s">
        <v>22</v>
      </c>
      <c r="G1684" s="26"/>
      <c r="H1684" s="58"/>
      <c r="I1684" s="22"/>
      <c r="J1684" s="14" t="s">
        <v>23</v>
      </c>
      <c r="K1684" s="22"/>
      <c r="L1684" s="22"/>
      <c r="M1684" s="22" t="s">
        <v>654</v>
      </c>
      <c r="N1684" s="14" t="s">
        <v>25</v>
      </c>
      <c r="O1684" s="22"/>
      <c r="P1684" s="14"/>
      <c r="Q1684" s="14"/>
      <c r="R1684" s="14" t="s">
        <v>2449</v>
      </c>
    </row>
    <row r="1685" spans="1:36" ht="15" customHeight="1">
      <c r="A1685" s="12">
        <v>1340</v>
      </c>
      <c r="B1685" s="13" t="s">
        <v>2611</v>
      </c>
      <c r="C1685" s="14"/>
      <c r="D1685" s="14" t="s">
        <v>2609</v>
      </c>
      <c r="E1685" s="14" t="s">
        <v>2430</v>
      </c>
      <c r="F1685" s="15" t="s">
        <v>22</v>
      </c>
      <c r="G1685" s="21"/>
      <c r="H1685" s="58">
        <v>3</v>
      </c>
      <c r="I1685" s="14"/>
      <c r="J1685" s="14" t="s">
        <v>23</v>
      </c>
      <c r="K1685" s="14"/>
      <c r="L1685" s="14"/>
      <c r="M1685" s="14" t="s">
        <v>1534</v>
      </c>
      <c r="N1685" s="25" t="s">
        <v>37</v>
      </c>
      <c r="O1685" s="14" t="s">
        <v>2612</v>
      </c>
      <c r="P1685" s="14"/>
      <c r="Q1685" s="14"/>
      <c r="R1685" s="14" t="s">
        <v>2333</v>
      </c>
    </row>
    <row r="1686" spans="1:36" ht="15" customHeight="1">
      <c r="A1686" s="12">
        <v>2160</v>
      </c>
      <c r="B1686" s="13" t="s">
        <v>2613</v>
      </c>
      <c r="C1686" s="31"/>
      <c r="D1686" s="16">
        <v>560</v>
      </c>
      <c r="E1686" s="14" t="s">
        <v>2430</v>
      </c>
      <c r="F1686" s="15" t="s">
        <v>22</v>
      </c>
      <c r="G1686" s="18"/>
      <c r="H1686" s="58">
        <v>2</v>
      </c>
      <c r="I1686" s="16"/>
      <c r="J1686" s="14" t="s">
        <v>23</v>
      </c>
      <c r="K1686" s="18"/>
      <c r="L1686" s="18"/>
      <c r="M1686" s="18"/>
      <c r="N1686" s="18"/>
      <c r="O1686" s="18"/>
      <c r="P1686" s="18"/>
      <c r="Q1686" s="18"/>
      <c r="R1686" s="18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</row>
    <row r="1687" spans="1:36" ht="15" customHeight="1">
      <c r="A1687" s="12">
        <v>585</v>
      </c>
      <c r="B1687" s="13" t="s">
        <v>2614</v>
      </c>
      <c r="C1687" s="22"/>
      <c r="D1687" s="14" t="s">
        <v>2615</v>
      </c>
      <c r="E1687" s="14" t="s">
        <v>2430</v>
      </c>
      <c r="F1687" s="15" t="s">
        <v>22</v>
      </c>
      <c r="G1687" s="26"/>
      <c r="H1687" s="58"/>
      <c r="I1687" s="22"/>
      <c r="J1687" s="14" t="s">
        <v>23</v>
      </c>
      <c r="K1687" s="22"/>
      <c r="L1687" s="22"/>
      <c r="M1687" s="14" t="s">
        <v>1537</v>
      </c>
      <c r="N1687" s="14" t="s">
        <v>25</v>
      </c>
      <c r="O1687" s="22"/>
      <c r="P1687" s="14"/>
      <c r="Q1687" s="14"/>
      <c r="R1687" s="14" t="s">
        <v>2449</v>
      </c>
    </row>
    <row r="1688" spans="1:36" ht="15" customHeight="1">
      <c r="A1688" s="12">
        <v>1340</v>
      </c>
      <c r="B1688" s="13" t="s">
        <v>2616</v>
      </c>
      <c r="C1688" s="14"/>
      <c r="D1688" s="14" t="s">
        <v>2615</v>
      </c>
      <c r="E1688" s="14" t="s">
        <v>2430</v>
      </c>
      <c r="F1688" s="15" t="s">
        <v>22</v>
      </c>
      <c r="G1688" s="21"/>
      <c r="H1688" s="58">
        <v>2</v>
      </c>
      <c r="I1688" s="14"/>
      <c r="J1688" s="14" t="s">
        <v>23</v>
      </c>
      <c r="K1688" s="14"/>
      <c r="L1688" s="14"/>
      <c r="M1688" s="14" t="s">
        <v>1534</v>
      </c>
      <c r="N1688" s="14" t="s">
        <v>25</v>
      </c>
      <c r="O1688" s="14"/>
      <c r="P1688" s="14"/>
      <c r="Q1688" s="14"/>
      <c r="R1688" s="14" t="s">
        <v>2333</v>
      </c>
    </row>
    <row r="1689" spans="1:36" ht="15" customHeight="1">
      <c r="A1689" s="12">
        <v>2161</v>
      </c>
      <c r="B1689" s="13" t="s">
        <v>2617</v>
      </c>
      <c r="C1689" s="31"/>
      <c r="D1689" s="16">
        <v>561</v>
      </c>
      <c r="E1689" s="14" t="s">
        <v>2430</v>
      </c>
      <c r="F1689" s="15" t="s">
        <v>22</v>
      </c>
      <c r="G1689" s="18"/>
      <c r="H1689" s="58">
        <v>3</v>
      </c>
      <c r="I1689" s="16"/>
      <c r="J1689" s="14" t="s">
        <v>23</v>
      </c>
      <c r="K1689" s="18"/>
      <c r="L1689" s="18"/>
      <c r="M1689" s="18"/>
      <c r="N1689" s="18"/>
      <c r="O1689" s="18"/>
      <c r="P1689" s="18"/>
      <c r="Q1689" s="18"/>
      <c r="R1689" s="18"/>
    </row>
    <row r="1690" spans="1:36" ht="15" customHeight="1">
      <c r="A1690" s="12">
        <v>586</v>
      </c>
      <c r="B1690" s="13" t="s">
        <v>2618</v>
      </c>
      <c r="C1690" s="22"/>
      <c r="D1690" s="14" t="s">
        <v>2619</v>
      </c>
      <c r="E1690" s="14" t="s">
        <v>2430</v>
      </c>
      <c r="F1690" s="15" t="s">
        <v>22</v>
      </c>
      <c r="G1690" s="26"/>
      <c r="H1690" s="58"/>
      <c r="I1690" s="22"/>
      <c r="J1690" s="14" t="s">
        <v>23</v>
      </c>
      <c r="K1690" s="22"/>
      <c r="L1690" s="22"/>
      <c r="M1690" s="14" t="s">
        <v>1537</v>
      </c>
      <c r="N1690" s="25" t="s">
        <v>37</v>
      </c>
      <c r="O1690" s="22" t="s">
        <v>38</v>
      </c>
      <c r="P1690" s="14"/>
      <c r="Q1690" s="14"/>
      <c r="R1690" s="14" t="s">
        <v>2449</v>
      </c>
    </row>
    <row r="1691" spans="1:36" ht="15" customHeight="1">
      <c r="A1691" s="12">
        <v>1564</v>
      </c>
      <c r="B1691" s="13" t="s">
        <v>2620</v>
      </c>
      <c r="C1691" s="14"/>
      <c r="D1691" s="14" t="s">
        <v>2619</v>
      </c>
      <c r="E1691" s="14" t="s">
        <v>2430</v>
      </c>
      <c r="F1691" s="15" t="s">
        <v>22</v>
      </c>
      <c r="G1691" s="14"/>
      <c r="H1691" s="58">
        <v>4</v>
      </c>
      <c r="I1691" s="14"/>
      <c r="J1691" s="14" t="s">
        <v>23</v>
      </c>
      <c r="K1691" s="14"/>
      <c r="L1691" s="14"/>
      <c r="M1691" s="14" t="s">
        <v>650</v>
      </c>
      <c r="N1691" s="25" t="s">
        <v>37</v>
      </c>
      <c r="O1691" s="14" t="s">
        <v>637</v>
      </c>
      <c r="P1691" s="14"/>
      <c r="Q1691" s="14"/>
      <c r="R1691" s="14" t="s">
        <v>2338</v>
      </c>
    </row>
    <row r="1692" spans="1:36" ht="15" customHeight="1">
      <c r="A1692" s="12">
        <v>2162</v>
      </c>
      <c r="B1692" s="13" t="s">
        <v>2621</v>
      </c>
      <c r="C1692" s="31"/>
      <c r="D1692" s="16">
        <v>562</v>
      </c>
      <c r="E1692" s="14" t="s">
        <v>2430</v>
      </c>
      <c r="F1692" s="15" t="s">
        <v>22</v>
      </c>
      <c r="G1692" s="18"/>
      <c r="H1692" s="58">
        <v>2</v>
      </c>
      <c r="I1692" s="16"/>
      <c r="J1692" s="14" t="s">
        <v>23</v>
      </c>
      <c r="K1692" s="18"/>
      <c r="L1692" s="18"/>
      <c r="M1692" s="18"/>
      <c r="N1692" s="18"/>
      <c r="O1692" s="18"/>
      <c r="P1692" s="18"/>
      <c r="Q1692" s="18"/>
      <c r="R1692" s="18"/>
    </row>
    <row r="1693" spans="1:36" ht="15" customHeight="1">
      <c r="A1693" s="12">
        <v>1565</v>
      </c>
      <c r="B1693" s="13" t="s">
        <v>2622</v>
      </c>
      <c r="C1693" s="14"/>
      <c r="D1693" s="14" t="s">
        <v>2623</v>
      </c>
      <c r="E1693" s="14" t="s">
        <v>2430</v>
      </c>
      <c r="F1693" s="15" t="s">
        <v>22</v>
      </c>
      <c r="G1693" s="14"/>
      <c r="H1693" s="58">
        <v>1</v>
      </c>
      <c r="I1693" s="14"/>
      <c r="J1693" s="14" t="s">
        <v>23</v>
      </c>
      <c r="K1693" s="14"/>
      <c r="L1693" s="14"/>
      <c r="M1693" s="14" t="s">
        <v>650</v>
      </c>
      <c r="N1693" s="14" t="s">
        <v>25</v>
      </c>
      <c r="O1693" s="14"/>
      <c r="P1693" s="14"/>
      <c r="Q1693" s="14"/>
      <c r="R1693" s="14" t="s">
        <v>2338</v>
      </c>
    </row>
    <row r="1694" spans="1:36" ht="15" customHeight="1">
      <c r="A1694" s="12">
        <v>619</v>
      </c>
      <c r="B1694" s="13" t="s">
        <v>2624</v>
      </c>
      <c r="C1694" s="22"/>
      <c r="D1694" s="22" t="s">
        <v>2625</v>
      </c>
      <c r="E1694" s="22" t="s">
        <v>2626</v>
      </c>
      <c r="F1694" s="15" t="s">
        <v>22</v>
      </c>
      <c r="G1694" s="26"/>
      <c r="H1694" s="58"/>
      <c r="I1694" s="22"/>
      <c r="J1694" s="14" t="s">
        <v>23</v>
      </c>
      <c r="K1694" s="22"/>
      <c r="L1694" s="22"/>
      <c r="M1694" s="22" t="s">
        <v>654</v>
      </c>
      <c r="N1694" s="14" t="s">
        <v>25</v>
      </c>
      <c r="O1694" s="22"/>
      <c r="P1694" s="14"/>
      <c r="Q1694" s="14"/>
      <c r="R1694" s="14" t="s">
        <v>2449</v>
      </c>
    </row>
    <row r="1695" spans="1:36" ht="15" customHeight="1">
      <c r="A1695" s="12">
        <v>1566</v>
      </c>
      <c r="B1695" s="13" t="s">
        <v>2627</v>
      </c>
      <c r="C1695" s="14"/>
      <c r="D1695" s="14" t="s">
        <v>2625</v>
      </c>
      <c r="E1695" s="14" t="s">
        <v>2430</v>
      </c>
      <c r="F1695" s="15" t="s">
        <v>22</v>
      </c>
      <c r="G1695" s="14"/>
      <c r="H1695" s="58">
        <v>0</v>
      </c>
      <c r="I1695" s="14"/>
      <c r="J1695" s="14" t="s">
        <v>23</v>
      </c>
      <c r="K1695" s="14"/>
      <c r="L1695" s="14"/>
      <c r="M1695" s="14" t="s">
        <v>650</v>
      </c>
      <c r="N1695" s="14" t="s">
        <v>25</v>
      </c>
      <c r="O1695" s="14"/>
      <c r="P1695" s="14"/>
      <c r="Q1695" s="14"/>
      <c r="R1695" s="14" t="s">
        <v>2338</v>
      </c>
    </row>
    <row r="1696" spans="1:36" ht="15" customHeight="1">
      <c r="A1696" s="12">
        <v>2163</v>
      </c>
      <c r="B1696" s="13" t="s">
        <v>2628</v>
      </c>
      <c r="C1696" s="31"/>
      <c r="D1696" s="16">
        <v>564</v>
      </c>
      <c r="E1696" s="14" t="s">
        <v>2430</v>
      </c>
      <c r="F1696" s="15" t="s">
        <v>22</v>
      </c>
      <c r="G1696" s="3"/>
      <c r="H1696" s="58">
        <v>1</v>
      </c>
      <c r="I1696" s="16"/>
      <c r="J1696" s="14" t="s">
        <v>23</v>
      </c>
      <c r="K1696" s="18"/>
      <c r="L1696" s="18"/>
      <c r="M1696" s="18"/>
      <c r="N1696" s="18"/>
      <c r="O1696" s="18"/>
      <c r="P1696" s="18"/>
      <c r="Q1696" s="18"/>
      <c r="R1696" s="18"/>
    </row>
    <row r="1697" spans="1:1027" ht="15" customHeight="1">
      <c r="A1697" s="12">
        <v>620</v>
      </c>
      <c r="B1697" s="13" t="s">
        <v>2629</v>
      </c>
      <c r="C1697" s="22"/>
      <c r="D1697" s="22" t="s">
        <v>2630</v>
      </c>
      <c r="E1697" s="14" t="s">
        <v>2430</v>
      </c>
      <c r="F1697" s="15" t="s">
        <v>22</v>
      </c>
      <c r="G1697" s="26"/>
      <c r="H1697" s="58"/>
      <c r="I1697" s="22"/>
      <c r="J1697" s="14" t="s">
        <v>23</v>
      </c>
      <c r="K1697" s="22"/>
      <c r="L1697" s="22"/>
      <c r="M1697" s="22" t="s">
        <v>654</v>
      </c>
      <c r="N1697" s="14" t="s">
        <v>25</v>
      </c>
      <c r="O1697" s="22"/>
      <c r="P1697" s="14"/>
      <c r="Q1697" s="14"/>
      <c r="R1697" s="14" t="s">
        <v>2449</v>
      </c>
    </row>
    <row r="1698" spans="1:1027" ht="15" customHeight="1">
      <c r="A1698" s="12">
        <v>1567</v>
      </c>
      <c r="B1698" s="13" t="s">
        <v>2631</v>
      </c>
      <c r="C1698" s="14"/>
      <c r="D1698" s="14" t="s">
        <v>2630</v>
      </c>
      <c r="E1698" s="14" t="s">
        <v>2430</v>
      </c>
      <c r="F1698" s="15" t="s">
        <v>22</v>
      </c>
      <c r="G1698" s="14"/>
      <c r="H1698" s="58">
        <v>1</v>
      </c>
      <c r="I1698" s="14"/>
      <c r="J1698" s="14" t="s">
        <v>23</v>
      </c>
      <c r="K1698" s="14"/>
      <c r="L1698" s="14"/>
      <c r="M1698" s="14" t="s">
        <v>650</v>
      </c>
      <c r="N1698" s="25" t="s">
        <v>37</v>
      </c>
      <c r="O1698" s="14" t="s">
        <v>637</v>
      </c>
      <c r="P1698" s="14"/>
      <c r="Q1698" s="14"/>
      <c r="R1698" s="14" t="s">
        <v>2338</v>
      </c>
    </row>
    <row r="1699" spans="1:1027" ht="15" customHeight="1">
      <c r="A1699" s="12">
        <v>2164</v>
      </c>
      <c r="B1699" s="13" t="s">
        <v>2632</v>
      </c>
      <c r="C1699" s="31"/>
      <c r="D1699" s="16">
        <v>565</v>
      </c>
      <c r="E1699" s="14" t="s">
        <v>2430</v>
      </c>
      <c r="F1699" s="15" t="s">
        <v>22</v>
      </c>
      <c r="G1699" s="18"/>
      <c r="H1699" s="58">
        <v>1</v>
      </c>
      <c r="I1699" s="16"/>
      <c r="J1699" s="14" t="s">
        <v>23</v>
      </c>
      <c r="K1699" s="18"/>
      <c r="L1699" s="18"/>
      <c r="M1699" s="18"/>
      <c r="N1699" s="18"/>
      <c r="O1699" s="18"/>
      <c r="P1699" s="18"/>
      <c r="Q1699" s="18"/>
      <c r="R1699" s="18"/>
    </row>
    <row r="1700" spans="1:1027" ht="15" customHeight="1">
      <c r="A1700" s="12">
        <v>621</v>
      </c>
      <c r="B1700" s="13" t="s">
        <v>2633</v>
      </c>
      <c r="C1700" s="22"/>
      <c r="D1700" s="22" t="s">
        <v>2634</v>
      </c>
      <c r="E1700" s="14" t="s">
        <v>2430</v>
      </c>
      <c r="F1700" s="15" t="s">
        <v>22</v>
      </c>
      <c r="G1700" s="26"/>
      <c r="H1700" s="58"/>
      <c r="I1700" s="22"/>
      <c r="J1700" s="14" t="s">
        <v>23</v>
      </c>
      <c r="K1700" s="22"/>
      <c r="L1700" s="22"/>
      <c r="M1700" s="22" t="s">
        <v>654</v>
      </c>
      <c r="N1700" s="14" t="s">
        <v>25</v>
      </c>
      <c r="O1700" s="22"/>
      <c r="P1700" s="14"/>
      <c r="Q1700" s="14"/>
      <c r="R1700" s="14" t="s">
        <v>2449</v>
      </c>
    </row>
    <row r="1701" spans="1:1027" ht="15" customHeight="1">
      <c r="A1701" s="12">
        <v>1342</v>
      </c>
      <c r="B1701" s="13" t="s">
        <v>2635</v>
      </c>
      <c r="C1701" s="14"/>
      <c r="D1701" s="14" t="s">
        <v>2634</v>
      </c>
      <c r="E1701" s="14" t="s">
        <v>2430</v>
      </c>
      <c r="F1701" s="15" t="s">
        <v>22</v>
      </c>
      <c r="G1701" s="21"/>
      <c r="H1701" s="58">
        <v>4</v>
      </c>
      <c r="I1701" s="14"/>
      <c r="J1701" s="14" t="s">
        <v>23</v>
      </c>
      <c r="K1701" s="14"/>
      <c r="L1701" s="14"/>
      <c r="M1701" s="14" t="s">
        <v>1534</v>
      </c>
      <c r="N1701" s="25" t="s">
        <v>37</v>
      </c>
      <c r="O1701" s="14" t="s">
        <v>2636</v>
      </c>
      <c r="P1701" s="14"/>
      <c r="Q1701" s="14"/>
      <c r="R1701" s="14" t="s">
        <v>2333</v>
      </c>
    </row>
    <row r="1702" spans="1:1027" ht="13.5" customHeight="1">
      <c r="A1702" s="12">
        <v>2165</v>
      </c>
      <c r="B1702" s="13" t="s">
        <v>2637</v>
      </c>
      <c r="C1702" s="31"/>
      <c r="D1702" s="16">
        <v>566</v>
      </c>
      <c r="E1702" s="14" t="s">
        <v>2430</v>
      </c>
      <c r="F1702" s="15" t="s">
        <v>22</v>
      </c>
      <c r="G1702" s="18"/>
      <c r="H1702" s="58">
        <v>2</v>
      </c>
      <c r="I1702" s="16"/>
      <c r="J1702" s="14" t="s">
        <v>23</v>
      </c>
      <c r="K1702" s="18"/>
      <c r="L1702" s="18"/>
      <c r="M1702" s="18"/>
      <c r="N1702" s="18"/>
      <c r="O1702" s="18"/>
      <c r="P1702" s="18"/>
      <c r="Q1702" s="18"/>
      <c r="R1702" s="18"/>
    </row>
    <row r="1703" spans="1:1027" ht="15" customHeight="1">
      <c r="A1703" s="12">
        <v>15</v>
      </c>
      <c r="B1703" s="13" t="s">
        <v>2638</v>
      </c>
      <c r="C1703" s="14"/>
      <c r="D1703" s="14" t="s">
        <v>2639</v>
      </c>
      <c r="E1703" s="14" t="s">
        <v>2430</v>
      </c>
      <c r="F1703" s="15" t="s">
        <v>22</v>
      </c>
      <c r="G1703" s="14"/>
      <c r="H1703" s="58"/>
      <c r="I1703" s="14"/>
      <c r="J1703" s="14" t="s">
        <v>23</v>
      </c>
      <c r="K1703" s="15"/>
      <c r="L1703" s="15"/>
      <c r="M1703" s="14" t="s">
        <v>24</v>
      </c>
      <c r="N1703" s="14" t="s">
        <v>25</v>
      </c>
      <c r="O1703" s="14"/>
      <c r="P1703" s="14"/>
      <c r="Q1703" s="14"/>
      <c r="R1703" s="17">
        <v>43599</v>
      </c>
      <c r="S1703" s="12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  <c r="HY1703" s="3"/>
      <c r="HZ1703" s="3"/>
      <c r="IA1703" s="3"/>
      <c r="IB1703" s="3"/>
      <c r="IC1703" s="3"/>
      <c r="ID1703" s="3"/>
      <c r="IE1703" s="3"/>
      <c r="IF1703" s="3"/>
      <c r="IG1703" s="3"/>
      <c r="IH1703" s="3"/>
      <c r="II1703" s="3"/>
      <c r="IJ1703" s="3"/>
      <c r="IK1703" s="3"/>
      <c r="IL1703" s="3"/>
      <c r="IM1703" s="3"/>
      <c r="IN1703" s="3"/>
      <c r="IO1703" s="3"/>
      <c r="IP1703" s="3"/>
      <c r="IQ1703" s="3"/>
      <c r="IR1703" s="3"/>
      <c r="IS1703" s="3"/>
      <c r="IT1703" s="3"/>
      <c r="IU1703" s="3"/>
      <c r="IV1703" s="3"/>
      <c r="IW1703" s="3"/>
      <c r="IX1703" s="3"/>
      <c r="IY1703" s="3"/>
      <c r="IZ1703" s="3"/>
      <c r="JA1703" s="3"/>
      <c r="JB1703" s="3"/>
      <c r="JC1703" s="3"/>
      <c r="JD1703" s="3"/>
      <c r="JE1703" s="3"/>
      <c r="JF1703" s="3"/>
      <c r="JG1703" s="3"/>
      <c r="JH1703" s="3"/>
      <c r="JI1703" s="3"/>
      <c r="JJ1703" s="3"/>
      <c r="JK1703" s="3"/>
      <c r="JL1703" s="3"/>
      <c r="JM1703" s="3"/>
      <c r="JN1703" s="3"/>
      <c r="JO1703" s="3"/>
      <c r="JP1703" s="3"/>
      <c r="JQ1703" s="3"/>
      <c r="JR1703" s="3"/>
      <c r="JS1703" s="3"/>
      <c r="JT1703" s="3"/>
      <c r="JU1703" s="3"/>
      <c r="JV1703" s="3"/>
      <c r="JW1703" s="3"/>
      <c r="JX1703" s="3"/>
      <c r="JY1703" s="3"/>
      <c r="JZ1703" s="3"/>
      <c r="KA1703" s="3"/>
      <c r="KB1703" s="3"/>
      <c r="KC1703" s="3"/>
      <c r="KD1703" s="3"/>
      <c r="KE1703" s="3"/>
      <c r="KF1703" s="3"/>
      <c r="KG1703" s="3"/>
      <c r="KH1703" s="3"/>
      <c r="KI1703" s="3"/>
      <c r="KJ1703" s="3"/>
      <c r="KK1703" s="3"/>
      <c r="KL1703" s="3"/>
      <c r="KM1703" s="3"/>
      <c r="KN1703" s="3"/>
      <c r="KO1703" s="3"/>
      <c r="KP1703" s="3"/>
      <c r="KQ1703" s="3"/>
      <c r="KR1703" s="3"/>
      <c r="KS1703" s="3"/>
      <c r="KT1703" s="3"/>
      <c r="KU1703" s="3"/>
      <c r="KV1703" s="3"/>
      <c r="KW1703" s="3"/>
      <c r="KX1703" s="3"/>
      <c r="KY1703" s="3"/>
      <c r="KZ1703" s="3"/>
      <c r="LA1703" s="3"/>
      <c r="LB1703" s="3"/>
      <c r="LC1703" s="3"/>
      <c r="LD1703" s="3"/>
      <c r="LE1703" s="3"/>
      <c r="LF1703" s="3"/>
      <c r="LG1703" s="3"/>
      <c r="LH1703" s="3"/>
      <c r="LI1703" s="3"/>
      <c r="LJ1703" s="3"/>
      <c r="LK1703" s="3"/>
      <c r="LL1703" s="3"/>
      <c r="LM1703" s="3"/>
      <c r="LN1703" s="3"/>
      <c r="LO1703" s="3"/>
      <c r="LP1703" s="3"/>
      <c r="LQ1703" s="3"/>
      <c r="LR1703" s="3"/>
      <c r="LS1703" s="3"/>
      <c r="LT1703" s="3"/>
      <c r="LU1703" s="3"/>
      <c r="LV1703" s="3"/>
      <c r="LW1703" s="3"/>
      <c r="LX1703" s="3"/>
      <c r="LY1703" s="3"/>
      <c r="LZ1703" s="3"/>
      <c r="MA1703" s="3"/>
      <c r="MB1703" s="3"/>
      <c r="MC1703" s="3"/>
      <c r="MD1703" s="3"/>
      <c r="ME1703" s="3"/>
      <c r="MF1703" s="3"/>
      <c r="MG1703" s="3"/>
      <c r="MH1703" s="3"/>
      <c r="MI1703" s="3"/>
      <c r="MJ1703" s="3"/>
      <c r="MK1703" s="3"/>
      <c r="ML1703" s="3"/>
      <c r="MM1703" s="3"/>
      <c r="MN1703" s="3"/>
      <c r="MO1703" s="3"/>
      <c r="MP1703" s="3"/>
      <c r="MQ1703" s="3"/>
      <c r="MR1703" s="3"/>
      <c r="MS1703" s="3"/>
      <c r="MT1703" s="3"/>
      <c r="MU1703" s="3"/>
      <c r="MV1703" s="3"/>
      <c r="MW1703" s="3"/>
      <c r="MX1703" s="3"/>
      <c r="MY1703" s="3"/>
      <c r="MZ1703" s="3"/>
      <c r="NA1703" s="3"/>
      <c r="NB1703" s="3"/>
      <c r="NC1703" s="3"/>
      <c r="ND1703" s="3"/>
      <c r="NE1703" s="3"/>
      <c r="NF1703" s="3"/>
      <c r="NG1703" s="3"/>
      <c r="NH1703" s="3"/>
      <c r="NI1703" s="3"/>
      <c r="NJ1703" s="3"/>
      <c r="NK1703" s="3"/>
      <c r="NL1703" s="3"/>
      <c r="NM1703" s="3"/>
      <c r="NN1703" s="3"/>
      <c r="NO1703" s="3"/>
      <c r="NP1703" s="3"/>
      <c r="NQ1703" s="3"/>
      <c r="NR1703" s="3"/>
      <c r="NS1703" s="3"/>
      <c r="NT1703" s="3"/>
      <c r="NU1703" s="3"/>
      <c r="NV1703" s="3"/>
      <c r="NW1703" s="3"/>
      <c r="NX1703" s="3"/>
      <c r="NY1703" s="3"/>
      <c r="NZ1703" s="3"/>
      <c r="OA1703" s="3"/>
      <c r="OB1703" s="3"/>
      <c r="OC1703" s="3"/>
      <c r="OD1703" s="3"/>
      <c r="OE1703" s="3"/>
      <c r="OF1703" s="3"/>
      <c r="OG1703" s="3"/>
      <c r="OH1703" s="3"/>
      <c r="OI1703" s="3"/>
      <c r="OJ1703" s="3"/>
      <c r="OK1703" s="3"/>
      <c r="OL1703" s="3"/>
      <c r="OM1703" s="3"/>
      <c r="ON1703" s="3"/>
      <c r="OO1703" s="3"/>
      <c r="OP1703" s="3"/>
      <c r="OQ1703" s="3"/>
      <c r="OR1703" s="3"/>
      <c r="OS1703" s="3"/>
      <c r="OT1703" s="3"/>
      <c r="OU1703" s="3"/>
      <c r="OV1703" s="3"/>
      <c r="OW1703" s="3"/>
      <c r="OX1703" s="3"/>
      <c r="OY1703" s="3"/>
      <c r="OZ1703" s="3"/>
      <c r="PA1703" s="3"/>
      <c r="PB1703" s="3"/>
      <c r="PC1703" s="3"/>
      <c r="PD1703" s="3"/>
      <c r="PE1703" s="3"/>
      <c r="PF1703" s="3"/>
      <c r="PG1703" s="3"/>
      <c r="PH1703" s="3"/>
      <c r="PI1703" s="3"/>
      <c r="PJ1703" s="3"/>
      <c r="PK1703" s="3"/>
      <c r="PL1703" s="3"/>
      <c r="PM1703" s="3"/>
      <c r="PN1703" s="3"/>
      <c r="PO1703" s="3"/>
      <c r="PP1703" s="3"/>
      <c r="PQ1703" s="3"/>
      <c r="PR1703" s="3"/>
      <c r="PS1703" s="3"/>
      <c r="PT1703" s="3"/>
      <c r="PU1703" s="3"/>
      <c r="PV1703" s="3"/>
      <c r="PW1703" s="3"/>
      <c r="PX1703" s="3"/>
      <c r="PY1703" s="3"/>
      <c r="PZ1703" s="3"/>
      <c r="QA1703" s="3"/>
      <c r="QB1703" s="3"/>
      <c r="QC1703" s="3"/>
      <c r="QD1703" s="3"/>
      <c r="QE1703" s="3"/>
      <c r="QF1703" s="3"/>
      <c r="QG1703" s="3"/>
      <c r="QH1703" s="3"/>
      <c r="QI1703" s="3"/>
      <c r="QJ1703" s="3"/>
      <c r="QK1703" s="3"/>
      <c r="QL1703" s="3"/>
      <c r="QM1703" s="3"/>
      <c r="QN1703" s="3"/>
      <c r="QO1703" s="3"/>
      <c r="QP1703" s="3"/>
      <c r="QQ1703" s="3"/>
      <c r="QR1703" s="3"/>
      <c r="QS1703" s="3"/>
      <c r="QT1703" s="3"/>
      <c r="QU1703" s="3"/>
      <c r="QV1703" s="3"/>
      <c r="QW1703" s="3"/>
      <c r="QX1703" s="3"/>
      <c r="QY1703" s="3"/>
      <c r="QZ1703" s="3"/>
      <c r="RA1703" s="3"/>
      <c r="RB1703" s="3"/>
      <c r="RC1703" s="3"/>
      <c r="RD1703" s="3"/>
      <c r="RE1703" s="3"/>
      <c r="RF1703" s="3"/>
      <c r="RG1703" s="3"/>
      <c r="RH1703" s="3"/>
      <c r="RI1703" s="3"/>
      <c r="RJ1703" s="3"/>
      <c r="RK1703" s="3"/>
      <c r="RL1703" s="3"/>
      <c r="RM1703" s="3"/>
      <c r="RN1703" s="3"/>
      <c r="RO1703" s="3"/>
      <c r="RP1703" s="3"/>
      <c r="RQ1703" s="3"/>
      <c r="RR1703" s="3"/>
      <c r="RS1703" s="3"/>
      <c r="RT1703" s="3"/>
      <c r="RU1703" s="3"/>
      <c r="RV1703" s="3"/>
      <c r="RW1703" s="3"/>
      <c r="RX1703" s="3"/>
      <c r="RY1703" s="3"/>
      <c r="RZ1703" s="3"/>
      <c r="SA1703" s="3"/>
      <c r="SB1703" s="3"/>
      <c r="SC1703" s="3"/>
      <c r="SD1703" s="3"/>
      <c r="SE1703" s="3"/>
      <c r="SF1703" s="3"/>
      <c r="SG1703" s="3"/>
      <c r="SH1703" s="3"/>
      <c r="SI1703" s="3"/>
      <c r="SJ1703" s="3"/>
      <c r="SK1703" s="3"/>
      <c r="SL1703" s="3"/>
      <c r="SM1703" s="3"/>
      <c r="SN1703" s="3"/>
      <c r="SO1703" s="3"/>
      <c r="SP1703" s="3"/>
      <c r="SQ1703" s="3"/>
      <c r="SR1703" s="3"/>
      <c r="SS1703" s="3"/>
      <c r="ST1703" s="3"/>
      <c r="SU1703" s="3"/>
      <c r="SV1703" s="3"/>
      <c r="SW1703" s="3"/>
      <c r="SX1703" s="3"/>
      <c r="SY1703" s="3"/>
      <c r="SZ1703" s="3"/>
      <c r="TA1703" s="3"/>
      <c r="TB1703" s="3"/>
      <c r="TC1703" s="3"/>
      <c r="TD1703" s="3"/>
      <c r="TE1703" s="3"/>
      <c r="TF1703" s="3"/>
      <c r="TG1703" s="3"/>
      <c r="TH1703" s="3"/>
      <c r="TI1703" s="3"/>
      <c r="TJ1703" s="3"/>
      <c r="TK1703" s="3"/>
      <c r="TL1703" s="3"/>
      <c r="TM1703" s="3"/>
      <c r="TN1703" s="3"/>
      <c r="TO1703" s="3"/>
      <c r="TP1703" s="3"/>
      <c r="TQ1703" s="3"/>
      <c r="TR1703" s="3"/>
      <c r="TS1703" s="3"/>
      <c r="TT1703" s="3"/>
      <c r="TU1703" s="3"/>
      <c r="TV1703" s="3"/>
      <c r="TW1703" s="3"/>
      <c r="TX1703" s="3"/>
      <c r="TY1703" s="3"/>
      <c r="TZ1703" s="3"/>
      <c r="UA1703" s="3"/>
      <c r="UB1703" s="3"/>
      <c r="UC1703" s="3"/>
      <c r="UD1703" s="3"/>
      <c r="UE1703" s="3"/>
      <c r="UF1703" s="3"/>
      <c r="UG1703" s="3"/>
      <c r="UH1703" s="3"/>
      <c r="UI1703" s="3"/>
      <c r="UJ1703" s="3"/>
      <c r="UK1703" s="3"/>
      <c r="UL1703" s="3"/>
      <c r="UM1703" s="3"/>
      <c r="UN1703" s="3"/>
      <c r="UO1703" s="3"/>
      <c r="UP1703" s="3"/>
      <c r="UQ1703" s="3"/>
      <c r="UR1703" s="3"/>
      <c r="US1703" s="3"/>
      <c r="UT1703" s="3"/>
      <c r="UU1703" s="3"/>
      <c r="UV1703" s="3"/>
      <c r="UW1703" s="3"/>
      <c r="UX1703" s="3"/>
      <c r="UY1703" s="3"/>
      <c r="UZ1703" s="3"/>
      <c r="VA1703" s="3"/>
      <c r="VB1703" s="3"/>
      <c r="VC1703" s="3"/>
      <c r="VD1703" s="3"/>
      <c r="VE1703" s="3"/>
      <c r="VF1703" s="3"/>
      <c r="VG1703" s="3"/>
      <c r="VH1703" s="3"/>
      <c r="VI1703" s="3"/>
      <c r="VJ1703" s="3"/>
      <c r="VK1703" s="3"/>
      <c r="VL1703" s="3"/>
      <c r="VM1703" s="3"/>
      <c r="VN1703" s="3"/>
      <c r="VO1703" s="3"/>
      <c r="VP1703" s="3"/>
      <c r="VQ1703" s="3"/>
      <c r="VR1703" s="3"/>
      <c r="VS1703" s="3"/>
      <c r="VT1703" s="3"/>
      <c r="VU1703" s="3"/>
      <c r="VV1703" s="3"/>
      <c r="VW1703" s="3"/>
      <c r="VX1703" s="3"/>
      <c r="VY1703" s="3"/>
      <c r="VZ1703" s="3"/>
      <c r="WA1703" s="3"/>
      <c r="WB1703" s="3"/>
      <c r="WC1703" s="3"/>
      <c r="WD1703" s="3"/>
      <c r="WE1703" s="3"/>
      <c r="WF1703" s="3"/>
      <c r="WG1703" s="3"/>
      <c r="WH1703" s="3"/>
      <c r="WI1703" s="3"/>
      <c r="WJ1703" s="3"/>
      <c r="WK1703" s="3"/>
      <c r="WL1703" s="3"/>
      <c r="WM1703" s="3"/>
      <c r="WN1703" s="3"/>
      <c r="WO1703" s="3"/>
      <c r="WP1703" s="3"/>
      <c r="WQ1703" s="3"/>
      <c r="WR1703" s="3"/>
      <c r="WS1703" s="3"/>
      <c r="WT1703" s="3"/>
      <c r="WU1703" s="3"/>
      <c r="WV1703" s="3"/>
      <c r="WW1703" s="3"/>
      <c r="WX1703" s="3"/>
      <c r="WY1703" s="3"/>
      <c r="WZ1703" s="3"/>
      <c r="XA1703" s="3"/>
      <c r="XB1703" s="3"/>
      <c r="XC1703" s="3"/>
      <c r="XD1703" s="3"/>
      <c r="XE1703" s="3"/>
      <c r="XF1703" s="3"/>
      <c r="XG1703" s="3"/>
      <c r="XH1703" s="3"/>
      <c r="XI1703" s="3"/>
      <c r="XJ1703" s="3"/>
      <c r="XK1703" s="3"/>
      <c r="XL1703" s="3"/>
      <c r="XM1703" s="3"/>
      <c r="XN1703" s="3"/>
      <c r="XO1703" s="3"/>
      <c r="XP1703" s="3"/>
      <c r="XQ1703" s="3"/>
      <c r="XR1703" s="3"/>
      <c r="XS1703" s="3"/>
      <c r="XT1703" s="3"/>
      <c r="XU1703" s="3"/>
      <c r="XV1703" s="3"/>
      <c r="XW1703" s="3"/>
      <c r="XX1703" s="3"/>
      <c r="XY1703" s="3"/>
      <c r="XZ1703" s="3"/>
      <c r="YA1703" s="3"/>
      <c r="YB1703" s="3"/>
      <c r="YC1703" s="3"/>
      <c r="YD1703" s="3"/>
      <c r="YE1703" s="3"/>
      <c r="YF1703" s="3"/>
      <c r="YG1703" s="3"/>
      <c r="YH1703" s="3"/>
      <c r="YI1703" s="3"/>
      <c r="YJ1703" s="3"/>
      <c r="YK1703" s="3"/>
      <c r="YL1703" s="3"/>
      <c r="YM1703" s="3"/>
      <c r="YN1703" s="3"/>
      <c r="YO1703" s="3"/>
      <c r="YP1703" s="3"/>
      <c r="YQ1703" s="3"/>
      <c r="YR1703" s="3"/>
      <c r="YS1703" s="3"/>
      <c r="YT1703" s="3"/>
      <c r="YU1703" s="3"/>
      <c r="YV1703" s="3"/>
      <c r="YW1703" s="3"/>
      <c r="YX1703" s="3"/>
      <c r="YY1703" s="3"/>
      <c r="YZ1703" s="3"/>
      <c r="ZA1703" s="3"/>
      <c r="ZB1703" s="3"/>
      <c r="ZC1703" s="3"/>
      <c r="ZD1703" s="3"/>
      <c r="ZE1703" s="3"/>
      <c r="ZF1703" s="3"/>
      <c r="ZG1703" s="3"/>
      <c r="ZH1703" s="3"/>
      <c r="ZI1703" s="3"/>
      <c r="ZJ1703" s="3"/>
      <c r="ZK1703" s="3"/>
      <c r="ZL1703" s="3"/>
      <c r="ZM1703" s="3"/>
      <c r="ZN1703" s="3"/>
      <c r="ZO1703" s="3"/>
      <c r="ZP1703" s="3"/>
      <c r="ZQ1703" s="3"/>
      <c r="ZR1703" s="3"/>
      <c r="ZS1703" s="3"/>
      <c r="ZT1703" s="3"/>
      <c r="ZU1703" s="3"/>
      <c r="ZV1703" s="3"/>
      <c r="ZW1703" s="3"/>
      <c r="ZX1703" s="3"/>
      <c r="ZY1703" s="3"/>
      <c r="ZZ1703" s="3"/>
      <c r="AAA1703" s="3"/>
      <c r="AAB1703" s="3"/>
      <c r="AAC1703" s="3"/>
      <c r="AAD1703" s="3"/>
      <c r="AAE1703" s="3"/>
      <c r="AAF1703" s="3"/>
      <c r="AAG1703" s="3"/>
      <c r="AAH1703" s="3"/>
      <c r="AAI1703" s="3"/>
      <c r="AAJ1703" s="3"/>
      <c r="AAK1703" s="3"/>
      <c r="AAL1703" s="3"/>
      <c r="AAM1703" s="3"/>
      <c r="AAN1703" s="3"/>
      <c r="AAO1703" s="3"/>
      <c r="AAP1703" s="3"/>
      <c r="AAQ1703" s="3"/>
      <c r="AAR1703" s="3"/>
      <c r="AAS1703" s="3"/>
      <c r="AAT1703" s="3"/>
      <c r="AAU1703" s="3"/>
      <c r="AAV1703" s="3"/>
      <c r="AAW1703" s="3"/>
      <c r="AAX1703" s="3"/>
      <c r="AAY1703" s="3"/>
      <c r="AAZ1703" s="3"/>
      <c r="ABA1703" s="3"/>
      <c r="ABB1703" s="3"/>
      <c r="ABC1703" s="3"/>
      <c r="ABD1703" s="3"/>
      <c r="ABE1703" s="3"/>
      <c r="ABF1703" s="3"/>
      <c r="ABG1703" s="3"/>
      <c r="ABH1703" s="3"/>
      <c r="ABI1703" s="3"/>
      <c r="ABJ1703" s="3"/>
      <c r="ABK1703" s="3"/>
      <c r="ABL1703" s="3"/>
      <c r="ABM1703" s="3"/>
      <c r="ABN1703" s="3"/>
      <c r="ABO1703" s="3"/>
      <c r="ABP1703" s="3"/>
      <c r="ABQ1703" s="3"/>
      <c r="ABR1703" s="3"/>
      <c r="ABS1703" s="3"/>
      <c r="ABT1703" s="3"/>
      <c r="ABU1703" s="3"/>
      <c r="ABV1703" s="3"/>
      <c r="ABW1703" s="3"/>
      <c r="ABX1703" s="3"/>
      <c r="ABY1703" s="3"/>
      <c r="ABZ1703" s="3"/>
      <c r="ACA1703" s="3"/>
      <c r="ACB1703" s="3"/>
      <c r="ACC1703" s="3"/>
      <c r="ACD1703" s="3"/>
      <c r="ACE1703" s="3"/>
      <c r="ACF1703" s="3"/>
      <c r="ACG1703" s="3"/>
      <c r="ACH1703" s="3"/>
      <c r="ACI1703" s="3"/>
      <c r="ACJ1703" s="3"/>
      <c r="ACK1703" s="3"/>
      <c r="ACL1703" s="3"/>
      <c r="ACM1703" s="3"/>
      <c r="ACN1703" s="3"/>
      <c r="ACO1703" s="3"/>
      <c r="ACP1703" s="3"/>
      <c r="ACQ1703" s="3"/>
      <c r="ACR1703" s="3"/>
      <c r="ACS1703" s="3"/>
      <c r="ACT1703" s="3"/>
      <c r="ACU1703" s="3"/>
      <c r="ACV1703" s="3"/>
      <c r="ACW1703" s="3"/>
      <c r="ACX1703" s="3"/>
      <c r="ACY1703" s="3"/>
      <c r="ACZ1703" s="3"/>
      <c r="ADA1703" s="3"/>
      <c r="ADB1703" s="3"/>
      <c r="ADC1703" s="3"/>
      <c r="ADD1703" s="3"/>
      <c r="ADE1703" s="3"/>
      <c r="ADF1703" s="3"/>
      <c r="ADG1703" s="3"/>
      <c r="ADH1703" s="3"/>
      <c r="ADI1703" s="3"/>
      <c r="ADJ1703" s="3"/>
      <c r="ADK1703" s="3"/>
      <c r="ADL1703" s="3"/>
      <c r="ADM1703" s="3"/>
      <c r="ADN1703" s="3"/>
      <c r="ADO1703" s="3"/>
      <c r="ADP1703" s="3"/>
      <c r="ADQ1703" s="3"/>
      <c r="ADR1703" s="3"/>
      <c r="ADS1703" s="3"/>
      <c r="ADT1703" s="3"/>
      <c r="ADU1703" s="3"/>
      <c r="ADV1703" s="3"/>
      <c r="ADW1703" s="3"/>
      <c r="ADX1703" s="3"/>
      <c r="ADY1703" s="3"/>
      <c r="ADZ1703" s="3"/>
      <c r="AEA1703" s="3"/>
      <c r="AEB1703" s="3"/>
      <c r="AEC1703" s="3"/>
      <c r="AED1703" s="3"/>
      <c r="AEE1703" s="3"/>
      <c r="AEF1703" s="3"/>
      <c r="AEG1703" s="3"/>
      <c r="AEH1703" s="3"/>
      <c r="AEI1703" s="3"/>
      <c r="AEJ1703" s="3"/>
      <c r="AEK1703" s="3"/>
      <c r="AEL1703" s="3"/>
      <c r="AEM1703" s="3"/>
      <c r="AEN1703" s="3"/>
      <c r="AEO1703" s="3"/>
      <c r="AEP1703" s="3"/>
      <c r="AEQ1703" s="3"/>
      <c r="AER1703" s="3"/>
      <c r="AES1703" s="3"/>
      <c r="AET1703" s="3"/>
      <c r="AEU1703" s="3"/>
      <c r="AEV1703" s="3"/>
      <c r="AEW1703" s="3"/>
      <c r="AEX1703" s="3"/>
      <c r="AEY1703" s="3"/>
      <c r="AEZ1703" s="3"/>
      <c r="AFA1703" s="3"/>
      <c r="AFB1703" s="3"/>
      <c r="AFC1703" s="3"/>
      <c r="AFD1703" s="3"/>
      <c r="AFE1703" s="3"/>
      <c r="AFF1703" s="3"/>
      <c r="AFG1703" s="3"/>
      <c r="AFH1703" s="3"/>
      <c r="AFI1703" s="3"/>
      <c r="AFJ1703" s="3"/>
      <c r="AFK1703" s="3"/>
      <c r="AFL1703" s="3"/>
      <c r="AFM1703" s="3"/>
      <c r="AFN1703" s="3"/>
      <c r="AFO1703" s="3"/>
      <c r="AFP1703" s="3"/>
      <c r="AFQ1703" s="3"/>
      <c r="AFR1703" s="3"/>
      <c r="AFS1703" s="3"/>
      <c r="AFT1703" s="3"/>
      <c r="AFU1703" s="3"/>
      <c r="AFV1703" s="3"/>
      <c r="AFW1703" s="3"/>
      <c r="AFX1703" s="3"/>
      <c r="AFY1703" s="3"/>
      <c r="AFZ1703" s="3"/>
      <c r="AGA1703" s="3"/>
      <c r="AGB1703" s="3"/>
      <c r="AGC1703" s="3"/>
      <c r="AGD1703" s="3"/>
      <c r="AGE1703" s="3"/>
      <c r="AGF1703" s="3"/>
      <c r="AGG1703" s="3"/>
      <c r="AGH1703" s="3"/>
      <c r="AGI1703" s="3"/>
      <c r="AGJ1703" s="3"/>
      <c r="AGK1703" s="3"/>
      <c r="AGL1703" s="3"/>
      <c r="AGM1703" s="3"/>
      <c r="AGN1703" s="3"/>
      <c r="AGO1703" s="3"/>
      <c r="AGP1703" s="3"/>
      <c r="AGQ1703" s="3"/>
      <c r="AGR1703" s="3"/>
      <c r="AGS1703" s="3"/>
      <c r="AGT1703" s="3"/>
      <c r="AGU1703" s="3"/>
      <c r="AGV1703" s="3"/>
      <c r="AGW1703" s="3"/>
      <c r="AGX1703" s="3"/>
      <c r="AGY1703" s="3"/>
      <c r="AGZ1703" s="3"/>
      <c r="AHA1703" s="3"/>
      <c r="AHB1703" s="3"/>
      <c r="AHC1703" s="3"/>
      <c r="AHD1703" s="3"/>
      <c r="AHE1703" s="3"/>
      <c r="AHF1703" s="3"/>
      <c r="AHG1703" s="3"/>
      <c r="AHH1703" s="3"/>
      <c r="AHI1703" s="3"/>
      <c r="AHJ1703" s="3"/>
      <c r="AHK1703" s="3"/>
      <c r="AHL1703" s="3"/>
      <c r="AHM1703" s="3"/>
      <c r="AHN1703" s="3"/>
      <c r="AHO1703" s="3"/>
      <c r="AHP1703" s="3"/>
      <c r="AHQ1703" s="3"/>
      <c r="AHR1703" s="3"/>
      <c r="AHS1703" s="3"/>
      <c r="AHT1703" s="3"/>
      <c r="AHU1703" s="3"/>
      <c r="AHV1703" s="3"/>
      <c r="AHW1703" s="3"/>
      <c r="AHX1703" s="3"/>
      <c r="AHY1703" s="3"/>
      <c r="AHZ1703" s="3"/>
      <c r="AIA1703" s="3"/>
      <c r="AIB1703" s="3"/>
      <c r="AIC1703" s="3"/>
      <c r="AID1703" s="3"/>
      <c r="AIE1703" s="3"/>
      <c r="AIF1703" s="3"/>
      <c r="AIG1703" s="3"/>
      <c r="AIH1703" s="3"/>
      <c r="AII1703" s="3"/>
      <c r="AIJ1703" s="3"/>
      <c r="AIK1703" s="3"/>
      <c r="AIL1703" s="3"/>
      <c r="AIM1703" s="3"/>
      <c r="AIN1703" s="3"/>
      <c r="AIO1703" s="3"/>
      <c r="AIP1703" s="3"/>
      <c r="AIQ1703" s="3"/>
      <c r="AIR1703" s="3"/>
      <c r="AIS1703" s="3"/>
      <c r="AIT1703" s="3"/>
      <c r="AIU1703" s="3"/>
      <c r="AIV1703" s="3"/>
      <c r="AIW1703" s="3"/>
      <c r="AIX1703" s="3"/>
      <c r="AIY1703" s="3"/>
      <c r="AIZ1703" s="3"/>
      <c r="AJA1703" s="3"/>
      <c r="AJB1703" s="3"/>
      <c r="AJC1703" s="3"/>
      <c r="AJD1703" s="3"/>
      <c r="AJE1703" s="3"/>
      <c r="AJF1703" s="3"/>
      <c r="AJG1703" s="3"/>
      <c r="AJH1703" s="3"/>
      <c r="AJI1703" s="3"/>
      <c r="AJJ1703" s="3"/>
      <c r="AJK1703" s="3"/>
      <c r="AJL1703" s="3"/>
      <c r="AJM1703" s="3"/>
      <c r="AJN1703" s="3"/>
      <c r="AJO1703" s="3"/>
      <c r="AJP1703" s="3"/>
      <c r="AJQ1703" s="3"/>
      <c r="AJR1703" s="3"/>
      <c r="AJS1703" s="3"/>
      <c r="AJT1703" s="3"/>
      <c r="AJU1703" s="3"/>
      <c r="AJV1703" s="3"/>
      <c r="AJW1703" s="3"/>
      <c r="AJX1703" s="3"/>
      <c r="AJY1703" s="3"/>
      <c r="AJZ1703" s="3"/>
      <c r="AKA1703" s="3"/>
      <c r="AKB1703" s="3"/>
      <c r="AKC1703" s="3"/>
      <c r="AKD1703" s="3"/>
      <c r="AKE1703" s="3"/>
      <c r="AKF1703" s="3"/>
      <c r="AKG1703" s="3"/>
      <c r="AKH1703" s="3"/>
      <c r="AKI1703" s="3"/>
      <c r="AKJ1703" s="3"/>
      <c r="AKK1703" s="3"/>
      <c r="AKL1703" s="3"/>
      <c r="AKM1703" s="3"/>
      <c r="AKN1703" s="3"/>
      <c r="AKO1703" s="3"/>
      <c r="AKP1703" s="3"/>
      <c r="AKQ1703" s="3"/>
      <c r="AKR1703" s="3"/>
      <c r="AKS1703" s="3"/>
      <c r="AKT1703" s="3"/>
      <c r="AKU1703" s="3"/>
      <c r="AKV1703" s="3"/>
      <c r="AKW1703" s="3"/>
      <c r="AKX1703" s="3"/>
      <c r="AKY1703" s="3"/>
      <c r="AKZ1703" s="3"/>
      <c r="ALA1703" s="3"/>
      <c r="ALB1703" s="3"/>
      <c r="ALC1703" s="3"/>
      <c r="ALD1703" s="3"/>
      <c r="ALE1703" s="3"/>
      <c r="ALF1703" s="3"/>
      <c r="ALG1703" s="3"/>
      <c r="ALH1703" s="3"/>
      <c r="ALI1703" s="3"/>
      <c r="ALJ1703" s="3"/>
      <c r="ALK1703" s="3"/>
      <c r="ALL1703" s="3"/>
      <c r="ALM1703" s="3"/>
      <c r="ALN1703" s="3"/>
      <c r="ALO1703" s="3"/>
      <c r="ALP1703" s="3"/>
      <c r="ALQ1703" s="3"/>
      <c r="ALR1703" s="3"/>
      <c r="ALS1703" s="3"/>
      <c r="ALT1703" s="3"/>
      <c r="ALU1703" s="3"/>
      <c r="ALV1703" s="3"/>
      <c r="ALW1703" s="3"/>
      <c r="ALX1703" s="3"/>
      <c r="ALY1703" s="3"/>
      <c r="ALZ1703" s="3"/>
      <c r="AMA1703" s="3"/>
      <c r="AMB1703" s="3"/>
      <c r="AMC1703" s="3"/>
      <c r="AMD1703" s="3"/>
      <c r="AME1703" s="3"/>
      <c r="AMF1703" s="3"/>
      <c r="AMG1703" s="3"/>
      <c r="AMH1703" s="3"/>
      <c r="AMI1703" s="3"/>
      <c r="AMJ1703" s="3"/>
      <c r="AMK1703" s="3"/>
      <c r="AML1703" s="3"/>
      <c r="AMM1703" s="3"/>
    </row>
    <row r="1704" spans="1:1027" ht="15" customHeight="1">
      <c r="A1704" s="12">
        <v>622</v>
      </c>
      <c r="B1704" s="13" t="s">
        <v>2640</v>
      </c>
      <c r="C1704" s="22"/>
      <c r="D1704" s="22" t="s">
        <v>2639</v>
      </c>
      <c r="E1704" s="14" t="s">
        <v>2430</v>
      </c>
      <c r="F1704" s="15" t="s">
        <v>22</v>
      </c>
      <c r="G1704" s="26"/>
      <c r="H1704" s="58"/>
      <c r="I1704" s="22"/>
      <c r="J1704" s="14" t="s">
        <v>23</v>
      </c>
      <c r="K1704" s="22"/>
      <c r="L1704" s="22"/>
      <c r="M1704" s="22" t="s">
        <v>654</v>
      </c>
      <c r="N1704" s="14" t="s">
        <v>25</v>
      </c>
      <c r="O1704" s="22"/>
      <c r="P1704" s="14"/>
      <c r="Q1704" s="14"/>
      <c r="R1704" s="14" t="s">
        <v>2449</v>
      </c>
    </row>
    <row r="1705" spans="1:1027" ht="15" customHeight="1">
      <c r="A1705" s="12">
        <v>1343</v>
      </c>
      <c r="B1705" s="13" t="s">
        <v>2641</v>
      </c>
      <c r="C1705" s="14"/>
      <c r="D1705" s="14" t="s">
        <v>2639</v>
      </c>
      <c r="E1705" s="14" t="s">
        <v>2430</v>
      </c>
      <c r="F1705" s="15" t="s">
        <v>22</v>
      </c>
      <c r="G1705" s="21"/>
      <c r="H1705" s="58">
        <v>0</v>
      </c>
      <c r="I1705" s="14"/>
      <c r="J1705" s="14" t="s">
        <v>23</v>
      </c>
      <c r="K1705" s="14"/>
      <c r="L1705" s="14"/>
      <c r="M1705" s="14" t="s">
        <v>1534</v>
      </c>
      <c r="N1705" s="14" t="s">
        <v>25</v>
      </c>
      <c r="O1705" s="14"/>
      <c r="P1705" s="14"/>
      <c r="Q1705" s="14"/>
      <c r="R1705" s="14" t="s">
        <v>2333</v>
      </c>
    </row>
    <row r="1706" spans="1:1027" ht="15" customHeight="1">
      <c r="A1706" s="12">
        <v>2166</v>
      </c>
      <c r="B1706" s="13" t="s">
        <v>2642</v>
      </c>
      <c r="C1706" s="31"/>
      <c r="D1706" s="16">
        <v>567</v>
      </c>
      <c r="E1706" s="14" t="s">
        <v>2430</v>
      </c>
      <c r="F1706" s="15" t="s">
        <v>22</v>
      </c>
      <c r="G1706" s="18"/>
      <c r="H1706" s="58"/>
      <c r="I1706" s="16"/>
      <c r="J1706" s="14" t="s">
        <v>23</v>
      </c>
      <c r="K1706" s="18"/>
      <c r="L1706" s="18"/>
      <c r="M1706" s="18"/>
      <c r="N1706" s="18"/>
      <c r="O1706" s="18"/>
      <c r="P1706" s="18"/>
      <c r="Q1706" s="18"/>
      <c r="R1706" s="18"/>
    </row>
    <row r="1707" spans="1:1027" ht="15" customHeight="1">
      <c r="A1707" s="12">
        <v>623</v>
      </c>
      <c r="B1707" s="13" t="s">
        <v>2643</v>
      </c>
      <c r="C1707" s="22"/>
      <c r="D1707" s="22" t="s">
        <v>2644</v>
      </c>
      <c r="E1707" s="14" t="s">
        <v>2430</v>
      </c>
      <c r="F1707" s="15" t="s">
        <v>22</v>
      </c>
      <c r="G1707" s="26"/>
      <c r="H1707" s="58"/>
      <c r="I1707" s="22"/>
      <c r="J1707" s="14" t="s">
        <v>23</v>
      </c>
      <c r="K1707" s="22"/>
      <c r="L1707" s="22"/>
      <c r="M1707" s="22" t="s">
        <v>654</v>
      </c>
      <c r="N1707" s="25" t="s">
        <v>37</v>
      </c>
      <c r="O1707" s="22" t="s">
        <v>38</v>
      </c>
      <c r="P1707" s="14"/>
      <c r="Q1707" s="14"/>
      <c r="R1707" s="14" t="s">
        <v>2449</v>
      </c>
    </row>
    <row r="1708" spans="1:1027" ht="15" customHeight="1">
      <c r="A1708" s="12">
        <v>1344</v>
      </c>
      <c r="B1708" s="13" t="s">
        <v>2645</v>
      </c>
      <c r="C1708" s="14"/>
      <c r="D1708" s="14" t="s">
        <v>2644</v>
      </c>
      <c r="E1708" s="14" t="s">
        <v>2430</v>
      </c>
      <c r="F1708" s="15" t="s">
        <v>22</v>
      </c>
      <c r="G1708" s="21"/>
      <c r="H1708" s="58">
        <v>4</v>
      </c>
      <c r="I1708" s="14"/>
      <c r="J1708" s="14" t="s">
        <v>23</v>
      </c>
      <c r="K1708" s="14"/>
      <c r="L1708" s="14"/>
      <c r="M1708" s="14" t="s">
        <v>1534</v>
      </c>
      <c r="N1708" s="25" t="s">
        <v>37</v>
      </c>
      <c r="O1708" s="14" t="s">
        <v>450</v>
      </c>
      <c r="P1708" s="14"/>
      <c r="Q1708" s="14"/>
      <c r="R1708" s="14" t="s">
        <v>2333</v>
      </c>
    </row>
    <row r="1709" spans="1:1027" ht="15" customHeight="1">
      <c r="A1709" s="12">
        <v>2167</v>
      </c>
      <c r="B1709" s="13" t="s">
        <v>2646</v>
      </c>
      <c r="C1709" s="31"/>
      <c r="D1709" s="16">
        <v>568</v>
      </c>
      <c r="E1709" s="14" t="s">
        <v>2430</v>
      </c>
      <c r="F1709" s="15" t="s">
        <v>22</v>
      </c>
      <c r="G1709" s="18"/>
      <c r="H1709" s="58">
        <v>4</v>
      </c>
      <c r="I1709" s="16"/>
      <c r="J1709" s="14" t="s">
        <v>23</v>
      </c>
      <c r="K1709" s="34"/>
      <c r="L1709" s="34"/>
      <c r="M1709" s="34"/>
      <c r="N1709" s="34"/>
      <c r="O1709" s="34"/>
      <c r="P1709" s="34"/>
      <c r="Q1709" s="34"/>
      <c r="R1709" s="34"/>
    </row>
    <row r="1710" spans="1:1027" ht="15" customHeight="1">
      <c r="A1710" s="12">
        <v>624</v>
      </c>
      <c r="B1710" s="13" t="s">
        <v>2647</v>
      </c>
      <c r="C1710" s="22"/>
      <c r="D1710" s="22" t="s">
        <v>2648</v>
      </c>
      <c r="E1710" s="14" t="s">
        <v>2430</v>
      </c>
      <c r="F1710" s="15" t="s">
        <v>22</v>
      </c>
      <c r="G1710" s="26"/>
      <c r="H1710" s="58"/>
      <c r="I1710" s="22"/>
      <c r="J1710" s="14" t="s">
        <v>23</v>
      </c>
      <c r="K1710" s="22"/>
      <c r="L1710" s="22"/>
      <c r="M1710" s="22" t="s">
        <v>654</v>
      </c>
      <c r="N1710" s="14" t="s">
        <v>25</v>
      </c>
      <c r="O1710" s="22"/>
      <c r="P1710" s="14"/>
      <c r="Q1710" s="14"/>
      <c r="R1710" s="14" t="s">
        <v>2449</v>
      </c>
    </row>
    <row r="1711" spans="1:1027" ht="15" customHeight="1">
      <c r="A1711" s="12">
        <v>1345</v>
      </c>
      <c r="B1711" s="13" t="s">
        <v>2649</v>
      </c>
      <c r="C1711" s="14"/>
      <c r="D1711" s="14" t="s">
        <v>2648</v>
      </c>
      <c r="E1711" s="14" t="s">
        <v>2430</v>
      </c>
      <c r="F1711" s="15" t="s">
        <v>22</v>
      </c>
      <c r="G1711" s="21"/>
      <c r="H1711" s="58">
        <v>1</v>
      </c>
      <c r="I1711" s="14"/>
      <c r="J1711" s="14" t="s">
        <v>23</v>
      </c>
      <c r="K1711" s="14"/>
      <c r="L1711" s="14"/>
      <c r="M1711" s="14" t="s">
        <v>1534</v>
      </c>
      <c r="N1711" s="14" t="s">
        <v>25</v>
      </c>
      <c r="O1711" s="14"/>
      <c r="P1711" s="14"/>
      <c r="Q1711" s="14"/>
      <c r="R1711" s="14" t="s">
        <v>2333</v>
      </c>
    </row>
    <row r="1712" spans="1:1027" ht="15" customHeight="1">
      <c r="A1712" s="12">
        <v>1435</v>
      </c>
      <c r="B1712" s="13" t="s">
        <v>2650</v>
      </c>
      <c r="C1712" s="14"/>
      <c r="D1712" s="14" t="s">
        <v>2648</v>
      </c>
      <c r="E1712" s="14" t="s">
        <v>2430</v>
      </c>
      <c r="F1712" s="15" t="s">
        <v>22</v>
      </c>
      <c r="G1712" s="21"/>
      <c r="H1712" s="58"/>
      <c r="I1712" s="14"/>
      <c r="J1712" s="14" t="s">
        <v>23</v>
      </c>
      <c r="K1712" s="14"/>
      <c r="L1712" s="14"/>
      <c r="M1712" s="14" t="s">
        <v>2651</v>
      </c>
      <c r="N1712" s="14" t="s">
        <v>25</v>
      </c>
      <c r="O1712" s="14"/>
      <c r="P1712" s="14"/>
      <c r="Q1712" s="14"/>
      <c r="R1712" s="14" t="s">
        <v>2652</v>
      </c>
    </row>
    <row r="1713" spans="1:18" ht="15" customHeight="1">
      <c r="A1713" s="12">
        <v>2168</v>
      </c>
      <c r="B1713" s="13" t="s">
        <v>2653</v>
      </c>
      <c r="C1713" s="31"/>
      <c r="D1713" s="16">
        <v>569</v>
      </c>
      <c r="E1713" s="14" t="s">
        <v>2430</v>
      </c>
      <c r="F1713" s="15" t="s">
        <v>22</v>
      </c>
      <c r="G1713" s="18"/>
      <c r="H1713" s="58"/>
      <c r="I1713" s="18"/>
      <c r="J1713" s="14" t="s">
        <v>23</v>
      </c>
      <c r="K1713" s="34"/>
      <c r="L1713" s="34"/>
      <c r="M1713" s="34"/>
      <c r="N1713" s="34"/>
      <c r="O1713" s="34"/>
      <c r="P1713" s="34"/>
      <c r="Q1713" s="34"/>
      <c r="R1713" s="34"/>
    </row>
    <row r="1714" spans="1:18" ht="15" customHeight="1">
      <c r="A1714" s="12">
        <v>625</v>
      </c>
      <c r="B1714" s="13" t="s">
        <v>2654</v>
      </c>
      <c r="C1714" s="22"/>
      <c r="D1714" s="22" t="s">
        <v>2655</v>
      </c>
      <c r="E1714" s="14" t="s">
        <v>2430</v>
      </c>
      <c r="F1714" s="15" t="s">
        <v>22</v>
      </c>
      <c r="G1714" s="26"/>
      <c r="H1714" s="58"/>
      <c r="I1714" s="22"/>
      <c r="J1714" s="14" t="s">
        <v>23</v>
      </c>
      <c r="K1714" s="22"/>
      <c r="L1714" s="22"/>
      <c r="M1714" s="22" t="s">
        <v>654</v>
      </c>
      <c r="N1714" s="14" t="s">
        <v>25</v>
      </c>
      <c r="O1714" s="22"/>
      <c r="P1714" s="14"/>
      <c r="Q1714" s="14"/>
      <c r="R1714" s="14" t="s">
        <v>2449</v>
      </c>
    </row>
    <row r="1715" spans="1:18" ht="15" customHeight="1">
      <c r="A1715" s="12">
        <v>1346</v>
      </c>
      <c r="B1715" s="13" t="s">
        <v>2656</v>
      </c>
      <c r="C1715" s="14"/>
      <c r="D1715" s="14" t="s">
        <v>2655</v>
      </c>
      <c r="E1715" s="14" t="s">
        <v>2430</v>
      </c>
      <c r="F1715" s="15" t="s">
        <v>22</v>
      </c>
      <c r="G1715" s="21"/>
      <c r="H1715" s="58">
        <v>3</v>
      </c>
      <c r="I1715" s="14"/>
      <c r="J1715" s="14" t="s">
        <v>23</v>
      </c>
      <c r="K1715" s="14"/>
      <c r="L1715" s="14"/>
      <c r="M1715" s="14" t="s">
        <v>1534</v>
      </c>
      <c r="N1715" s="25" t="s">
        <v>37</v>
      </c>
      <c r="O1715" s="14" t="s">
        <v>456</v>
      </c>
      <c r="P1715" s="14"/>
      <c r="Q1715" s="14"/>
      <c r="R1715" s="14" t="s">
        <v>2333</v>
      </c>
    </row>
    <row r="1716" spans="1:18" ht="15" customHeight="1">
      <c r="A1716" s="12">
        <v>2169</v>
      </c>
      <c r="B1716" s="13" t="s">
        <v>2657</v>
      </c>
      <c r="C1716" s="31"/>
      <c r="D1716" s="16">
        <v>570</v>
      </c>
      <c r="E1716" s="14" t="s">
        <v>2430</v>
      </c>
      <c r="F1716" s="15" t="s">
        <v>22</v>
      </c>
      <c r="G1716" s="18"/>
      <c r="H1716" s="58">
        <v>4</v>
      </c>
      <c r="I1716" s="18"/>
      <c r="J1716" s="14" t="s">
        <v>23</v>
      </c>
      <c r="K1716" s="34"/>
      <c r="L1716" s="34"/>
      <c r="M1716" s="34"/>
      <c r="N1716" s="34"/>
      <c r="O1716" s="34"/>
      <c r="P1716" s="34"/>
      <c r="Q1716" s="34"/>
      <c r="R1716" s="34"/>
    </row>
    <row r="1717" spans="1:18" ht="15" customHeight="1">
      <c r="A1717" s="12">
        <v>626</v>
      </c>
      <c r="B1717" s="13" t="s">
        <v>2658</v>
      </c>
      <c r="C1717" s="22"/>
      <c r="D1717" s="22" t="s">
        <v>2659</v>
      </c>
      <c r="E1717" s="14" t="s">
        <v>2430</v>
      </c>
      <c r="F1717" s="15" t="s">
        <v>22</v>
      </c>
      <c r="G1717" s="26"/>
      <c r="H1717" s="58"/>
      <c r="I1717" s="22"/>
      <c r="J1717" s="14" t="s">
        <v>23</v>
      </c>
      <c r="K1717" s="22"/>
      <c r="L1717" s="22"/>
      <c r="M1717" s="22" t="s">
        <v>654</v>
      </c>
      <c r="N1717" s="14" t="s">
        <v>25</v>
      </c>
      <c r="O1717" s="22"/>
      <c r="P1717" s="14"/>
      <c r="Q1717" s="14"/>
      <c r="R1717" s="14" t="s">
        <v>2449</v>
      </c>
    </row>
    <row r="1718" spans="1:18" ht="15" customHeight="1">
      <c r="A1718" s="12">
        <v>1347</v>
      </c>
      <c r="B1718" s="13" t="s">
        <v>2660</v>
      </c>
      <c r="C1718" s="14"/>
      <c r="D1718" s="14" t="s">
        <v>2659</v>
      </c>
      <c r="E1718" s="14" t="s">
        <v>2430</v>
      </c>
      <c r="F1718" s="15" t="s">
        <v>22</v>
      </c>
      <c r="G1718" s="21"/>
      <c r="H1718" s="58">
        <v>1</v>
      </c>
      <c r="I1718" s="14"/>
      <c r="J1718" s="14" t="s">
        <v>23</v>
      </c>
      <c r="K1718" s="14"/>
      <c r="L1718" s="14"/>
      <c r="M1718" s="14" t="s">
        <v>1534</v>
      </c>
      <c r="N1718" s="14" t="s">
        <v>25</v>
      </c>
      <c r="O1718" s="14"/>
      <c r="P1718" s="14"/>
      <c r="Q1718" s="14"/>
      <c r="R1718" s="14" t="s">
        <v>2333</v>
      </c>
    </row>
    <row r="1719" spans="1:18" ht="15" customHeight="1">
      <c r="A1719" s="12">
        <v>2170</v>
      </c>
      <c r="B1719" s="13" t="s">
        <v>2661</v>
      </c>
      <c r="C1719" s="31"/>
      <c r="D1719" s="16">
        <v>571</v>
      </c>
      <c r="E1719" s="14" t="s">
        <v>2430</v>
      </c>
      <c r="F1719" s="15" t="s">
        <v>22</v>
      </c>
      <c r="G1719" s="18"/>
      <c r="H1719" s="58"/>
      <c r="I1719" s="18"/>
      <c r="J1719" s="14" t="s">
        <v>23</v>
      </c>
      <c r="K1719" s="34"/>
      <c r="L1719" s="34"/>
      <c r="M1719" s="34"/>
      <c r="N1719" s="34"/>
      <c r="O1719" s="34"/>
      <c r="P1719" s="34"/>
      <c r="Q1719" s="34"/>
      <c r="R1719" s="34"/>
    </row>
    <row r="1720" spans="1:18" ht="15" customHeight="1">
      <c r="A1720" s="12">
        <v>627</v>
      </c>
      <c r="B1720" s="13" t="s">
        <v>2662</v>
      </c>
      <c r="C1720" s="22"/>
      <c r="D1720" s="22" t="s">
        <v>2663</v>
      </c>
      <c r="E1720" s="22" t="s">
        <v>2626</v>
      </c>
      <c r="F1720" s="15" t="s">
        <v>22</v>
      </c>
      <c r="G1720" s="26"/>
      <c r="H1720" s="58"/>
      <c r="I1720" s="22"/>
      <c r="J1720" s="14" t="s">
        <v>23</v>
      </c>
      <c r="K1720" s="22"/>
      <c r="L1720" s="22"/>
      <c r="M1720" s="22" t="s">
        <v>654</v>
      </c>
      <c r="N1720" s="25" t="s">
        <v>37</v>
      </c>
      <c r="O1720" s="22" t="s">
        <v>185</v>
      </c>
      <c r="P1720" s="14"/>
      <c r="Q1720" s="14"/>
      <c r="R1720" s="14" t="s">
        <v>2449</v>
      </c>
    </row>
    <row r="1721" spans="1:18" ht="15" customHeight="1">
      <c r="A1721" s="12">
        <v>1348</v>
      </c>
      <c r="B1721" s="13" t="s">
        <v>2664</v>
      </c>
      <c r="C1721" s="14"/>
      <c r="D1721" s="14" t="s">
        <v>2663</v>
      </c>
      <c r="E1721" s="14" t="s">
        <v>2626</v>
      </c>
      <c r="F1721" s="15" t="s">
        <v>22</v>
      </c>
      <c r="G1721" s="21"/>
      <c r="H1721" s="58">
        <v>2</v>
      </c>
      <c r="I1721" s="14"/>
      <c r="J1721" s="14" t="s">
        <v>23</v>
      </c>
      <c r="K1721" s="14"/>
      <c r="L1721" s="14"/>
      <c r="M1721" s="14" t="s">
        <v>1534</v>
      </c>
      <c r="N1721" s="14" t="s">
        <v>25</v>
      </c>
      <c r="O1721" s="14"/>
      <c r="P1721" s="14"/>
      <c r="Q1721" s="14"/>
      <c r="R1721" s="14" t="s">
        <v>2333</v>
      </c>
    </row>
    <row r="1722" spans="1:18" ht="15" customHeight="1">
      <c r="A1722" s="12">
        <v>2171</v>
      </c>
      <c r="B1722" s="13" t="s">
        <v>2665</v>
      </c>
      <c r="C1722" s="31"/>
      <c r="D1722" s="16">
        <v>572</v>
      </c>
      <c r="E1722" s="16" t="s">
        <v>2626</v>
      </c>
      <c r="F1722" s="15" t="s">
        <v>22</v>
      </c>
      <c r="G1722" s="18"/>
      <c r="H1722" s="58"/>
      <c r="I1722" s="18"/>
      <c r="J1722" s="14" t="s">
        <v>23</v>
      </c>
      <c r="K1722" s="34"/>
      <c r="L1722" s="34"/>
      <c r="M1722" s="34"/>
      <c r="N1722" s="34"/>
      <c r="O1722" s="34"/>
      <c r="P1722" s="34"/>
      <c r="Q1722" s="34"/>
      <c r="R1722" s="34"/>
    </row>
    <row r="1723" spans="1:18" ht="15" customHeight="1">
      <c r="A1723" s="12">
        <v>628</v>
      </c>
      <c r="B1723" s="13" t="s">
        <v>2666</v>
      </c>
      <c r="C1723" s="22"/>
      <c r="D1723" s="22" t="s">
        <v>2667</v>
      </c>
      <c r="E1723" s="22" t="s">
        <v>2430</v>
      </c>
      <c r="F1723" s="15" t="s">
        <v>22</v>
      </c>
      <c r="G1723" s="26"/>
      <c r="H1723" s="58"/>
      <c r="I1723" s="22"/>
      <c r="J1723" s="14" t="s">
        <v>23</v>
      </c>
      <c r="K1723" s="22"/>
      <c r="L1723" s="22"/>
      <c r="M1723" s="22" t="s">
        <v>654</v>
      </c>
      <c r="N1723" s="25" t="s">
        <v>37</v>
      </c>
      <c r="O1723" s="22" t="s">
        <v>138</v>
      </c>
      <c r="P1723" s="14"/>
      <c r="Q1723" s="14"/>
      <c r="R1723" s="14" t="s">
        <v>2449</v>
      </c>
    </row>
    <row r="1724" spans="1:18" ht="15" customHeight="1">
      <c r="A1724" s="12">
        <v>1349</v>
      </c>
      <c r="B1724" s="13" t="s">
        <v>2668</v>
      </c>
      <c r="C1724" s="14"/>
      <c r="D1724" s="14" t="s">
        <v>2667</v>
      </c>
      <c r="E1724" s="22" t="s">
        <v>2430</v>
      </c>
      <c r="F1724" s="15" t="s">
        <v>22</v>
      </c>
      <c r="G1724" s="21"/>
      <c r="H1724" s="58">
        <v>3</v>
      </c>
      <c r="I1724" s="14"/>
      <c r="J1724" s="14" t="s">
        <v>23</v>
      </c>
      <c r="K1724" s="14"/>
      <c r="L1724" s="14"/>
      <c r="M1724" s="14" t="s">
        <v>1534</v>
      </c>
      <c r="N1724" s="25" t="s">
        <v>37</v>
      </c>
      <c r="O1724" s="14" t="s">
        <v>2669</v>
      </c>
      <c r="P1724" s="14"/>
      <c r="Q1724" s="14"/>
      <c r="R1724" s="14" t="s">
        <v>2333</v>
      </c>
    </row>
    <row r="1725" spans="1:18" ht="15" customHeight="1">
      <c r="A1725" s="12">
        <v>2172</v>
      </c>
      <c r="B1725" s="13" t="s">
        <v>2670</v>
      </c>
      <c r="C1725" s="31"/>
      <c r="D1725" s="16">
        <v>573</v>
      </c>
      <c r="E1725" s="22" t="s">
        <v>2430</v>
      </c>
      <c r="F1725" s="15" t="s">
        <v>22</v>
      </c>
      <c r="G1725" s="18"/>
      <c r="H1725" s="58">
        <v>3</v>
      </c>
      <c r="I1725" s="18"/>
      <c r="J1725" s="14" t="s">
        <v>23</v>
      </c>
      <c r="K1725" s="34"/>
      <c r="L1725" s="34"/>
      <c r="M1725" s="34"/>
      <c r="N1725" s="34"/>
      <c r="O1725" s="34"/>
      <c r="P1725" s="34"/>
      <c r="Q1725" s="34"/>
      <c r="R1725" s="34"/>
    </row>
    <row r="1726" spans="1:18" ht="15" customHeight="1">
      <c r="A1726" s="12">
        <v>1350</v>
      </c>
      <c r="B1726" s="13" t="s">
        <v>2671</v>
      </c>
      <c r="C1726" s="14"/>
      <c r="D1726" s="14" t="s">
        <v>2672</v>
      </c>
      <c r="E1726" s="22" t="s">
        <v>2430</v>
      </c>
      <c r="F1726" s="15" t="s">
        <v>22</v>
      </c>
      <c r="G1726" s="21"/>
      <c r="H1726" s="58">
        <v>4</v>
      </c>
      <c r="I1726" s="14"/>
      <c r="J1726" s="14" t="s">
        <v>23</v>
      </c>
      <c r="K1726" s="14"/>
      <c r="L1726" s="14"/>
      <c r="M1726" s="14" t="s">
        <v>1534</v>
      </c>
      <c r="N1726" s="25" t="s">
        <v>37</v>
      </c>
      <c r="O1726" s="14" t="s">
        <v>729</v>
      </c>
      <c r="P1726" s="14"/>
      <c r="Q1726" s="14"/>
      <c r="R1726" s="14" t="s">
        <v>2333</v>
      </c>
    </row>
    <row r="1727" spans="1:18" ht="15" customHeight="1">
      <c r="A1727" s="12">
        <v>2173</v>
      </c>
      <c r="B1727" s="13" t="s">
        <v>2673</v>
      </c>
      <c r="C1727" s="31"/>
      <c r="D1727" s="16">
        <v>574</v>
      </c>
      <c r="E1727" s="22" t="s">
        <v>2430</v>
      </c>
      <c r="F1727" s="15" t="s">
        <v>22</v>
      </c>
      <c r="G1727" s="18"/>
      <c r="H1727" s="58">
        <v>4</v>
      </c>
      <c r="I1727" s="18"/>
      <c r="J1727" s="14" t="s">
        <v>23</v>
      </c>
      <c r="K1727" s="34"/>
      <c r="L1727" s="34"/>
      <c r="M1727" s="34"/>
      <c r="N1727" s="34"/>
      <c r="O1727" s="34"/>
      <c r="P1727" s="34"/>
      <c r="Q1727" s="34"/>
      <c r="R1727" s="34"/>
    </row>
    <row r="1728" spans="1:18" ht="15" customHeight="1">
      <c r="A1728" s="12">
        <v>629</v>
      </c>
      <c r="B1728" s="13" t="s">
        <v>2674</v>
      </c>
      <c r="C1728" s="22"/>
      <c r="D1728" s="18">
        <v>575</v>
      </c>
      <c r="E1728" s="22" t="s">
        <v>2430</v>
      </c>
      <c r="F1728" s="15" t="s">
        <v>22</v>
      </c>
      <c r="G1728" s="26"/>
      <c r="H1728" s="58"/>
      <c r="I1728" s="22"/>
      <c r="J1728" s="14" t="s">
        <v>23</v>
      </c>
      <c r="K1728" s="22"/>
      <c r="L1728" s="22"/>
      <c r="M1728" s="22" t="s">
        <v>654</v>
      </c>
      <c r="N1728" s="14" t="s">
        <v>25</v>
      </c>
      <c r="O1728" s="22"/>
      <c r="P1728" s="14"/>
      <c r="Q1728" s="14"/>
      <c r="R1728" s="14" t="s">
        <v>2449</v>
      </c>
    </row>
    <row r="1729" spans="1:18" ht="15" customHeight="1">
      <c r="A1729" s="12">
        <v>630</v>
      </c>
      <c r="B1729" s="13" t="s">
        <v>2675</v>
      </c>
      <c r="C1729" s="22"/>
      <c r="D1729" s="22" t="s">
        <v>2676</v>
      </c>
      <c r="E1729" s="22" t="s">
        <v>2430</v>
      </c>
      <c r="F1729" s="15" t="s">
        <v>22</v>
      </c>
      <c r="G1729" s="26"/>
      <c r="H1729" s="58"/>
      <c r="I1729" s="22"/>
      <c r="J1729" s="14" t="s">
        <v>23</v>
      </c>
      <c r="K1729" s="22"/>
      <c r="L1729" s="22"/>
      <c r="M1729" s="22" t="s">
        <v>654</v>
      </c>
      <c r="N1729" s="14" t="s">
        <v>25</v>
      </c>
      <c r="O1729" s="22"/>
      <c r="P1729" s="14"/>
      <c r="Q1729" s="14"/>
      <c r="R1729" s="14" t="s">
        <v>1820</v>
      </c>
    </row>
    <row r="1730" spans="1:18" ht="15" customHeight="1">
      <c r="A1730" s="12">
        <v>1351</v>
      </c>
      <c r="B1730" s="13" t="s">
        <v>2677</v>
      </c>
      <c r="C1730" s="14"/>
      <c r="D1730" s="14" t="s">
        <v>2676</v>
      </c>
      <c r="E1730" s="22" t="s">
        <v>2430</v>
      </c>
      <c r="F1730" s="15" t="s">
        <v>22</v>
      </c>
      <c r="G1730" s="21"/>
      <c r="H1730" s="58">
        <v>1</v>
      </c>
      <c r="I1730" s="14"/>
      <c r="J1730" s="14" t="s">
        <v>23</v>
      </c>
      <c r="K1730" s="14"/>
      <c r="L1730" s="14"/>
      <c r="M1730" s="14" t="s">
        <v>1534</v>
      </c>
      <c r="N1730" s="25" t="s">
        <v>37</v>
      </c>
      <c r="O1730" s="14" t="s">
        <v>2678</v>
      </c>
      <c r="P1730" s="14"/>
      <c r="Q1730" s="14"/>
      <c r="R1730" s="14" t="s">
        <v>2333</v>
      </c>
    </row>
    <row r="1731" spans="1:18" ht="15" customHeight="1">
      <c r="A1731" s="12">
        <v>2174</v>
      </c>
      <c r="B1731" s="13" t="s">
        <v>2679</v>
      </c>
      <c r="C1731" s="31"/>
      <c r="D1731" s="16">
        <v>575</v>
      </c>
      <c r="E1731" s="22" t="s">
        <v>2430</v>
      </c>
      <c r="F1731" s="15" t="s">
        <v>22</v>
      </c>
      <c r="G1731" s="18"/>
      <c r="H1731" s="58"/>
      <c r="I1731" s="18"/>
      <c r="J1731" s="14" t="s">
        <v>23</v>
      </c>
      <c r="K1731" s="34"/>
      <c r="L1731" s="34"/>
      <c r="M1731" s="34"/>
      <c r="N1731" s="34"/>
      <c r="O1731" s="34"/>
      <c r="P1731" s="34"/>
      <c r="Q1731" s="34"/>
      <c r="R1731" s="34"/>
    </row>
    <row r="1732" spans="1:18" ht="15" customHeight="1">
      <c r="A1732" s="12">
        <v>631</v>
      </c>
      <c r="B1732" s="13" t="s">
        <v>2680</v>
      </c>
      <c r="C1732" s="22"/>
      <c r="D1732" s="22" t="s">
        <v>2681</v>
      </c>
      <c r="E1732" s="22" t="s">
        <v>2430</v>
      </c>
      <c r="F1732" s="15" t="s">
        <v>22</v>
      </c>
      <c r="G1732" s="26"/>
      <c r="H1732" s="58"/>
      <c r="I1732" s="22"/>
      <c r="J1732" s="14" t="s">
        <v>23</v>
      </c>
      <c r="K1732" s="22"/>
      <c r="L1732" s="22"/>
      <c r="M1732" s="22" t="s">
        <v>654</v>
      </c>
      <c r="N1732" s="14" t="s">
        <v>25</v>
      </c>
      <c r="O1732" s="22"/>
      <c r="P1732" s="14"/>
      <c r="Q1732" s="14"/>
      <c r="R1732" s="14" t="s">
        <v>1820</v>
      </c>
    </row>
    <row r="1733" spans="1:18" ht="15" customHeight="1">
      <c r="A1733" s="12">
        <v>1352</v>
      </c>
      <c r="B1733" s="13" t="s">
        <v>2682</v>
      </c>
      <c r="C1733" s="14"/>
      <c r="D1733" s="14" t="s">
        <v>2681</v>
      </c>
      <c r="E1733" s="22" t="s">
        <v>2430</v>
      </c>
      <c r="F1733" s="15" t="s">
        <v>22</v>
      </c>
      <c r="G1733" s="21"/>
      <c r="H1733" s="58">
        <v>1</v>
      </c>
      <c r="I1733" s="14"/>
      <c r="J1733" s="14" t="s">
        <v>23</v>
      </c>
      <c r="K1733" s="14"/>
      <c r="L1733" s="14"/>
      <c r="M1733" s="14" t="s">
        <v>1534</v>
      </c>
      <c r="N1733" s="14" t="s">
        <v>25</v>
      </c>
      <c r="O1733" s="14"/>
      <c r="P1733" s="14"/>
      <c r="Q1733" s="14"/>
      <c r="R1733" s="14" t="s">
        <v>2333</v>
      </c>
    </row>
    <row r="1734" spans="1:18" ht="15" customHeight="1">
      <c r="A1734" s="12">
        <v>2175</v>
      </c>
      <c r="B1734" s="13" t="s">
        <v>2683</v>
      </c>
      <c r="C1734" s="31"/>
      <c r="D1734" s="16">
        <v>576</v>
      </c>
      <c r="E1734" s="22" t="s">
        <v>2430</v>
      </c>
      <c r="F1734" s="15" t="s">
        <v>22</v>
      </c>
      <c r="G1734" s="18"/>
      <c r="H1734" s="58"/>
      <c r="I1734" s="18"/>
      <c r="J1734" s="14" t="s">
        <v>23</v>
      </c>
      <c r="K1734" s="34"/>
      <c r="L1734" s="34"/>
      <c r="M1734" s="34"/>
      <c r="N1734" s="34"/>
      <c r="O1734" s="34"/>
      <c r="P1734" s="34"/>
      <c r="Q1734" s="34"/>
      <c r="R1734" s="34"/>
    </row>
    <row r="1735" spans="1:18" ht="15" customHeight="1">
      <c r="A1735" s="12">
        <v>632</v>
      </c>
      <c r="B1735" s="13" t="s">
        <v>2684</v>
      </c>
      <c r="C1735" s="22"/>
      <c r="D1735" s="22" t="s">
        <v>2685</v>
      </c>
      <c r="E1735" s="22" t="s">
        <v>2430</v>
      </c>
      <c r="F1735" s="15" t="s">
        <v>22</v>
      </c>
      <c r="G1735" s="26"/>
      <c r="H1735" s="58"/>
      <c r="I1735" s="22"/>
      <c r="J1735" s="14" t="s">
        <v>23</v>
      </c>
      <c r="K1735" s="22"/>
      <c r="L1735" s="22"/>
      <c r="M1735" s="22" t="s">
        <v>654</v>
      </c>
      <c r="N1735" s="14" t="s">
        <v>25</v>
      </c>
      <c r="O1735" s="22"/>
      <c r="P1735" s="14"/>
      <c r="Q1735" s="14"/>
      <c r="R1735" s="14" t="s">
        <v>1820</v>
      </c>
    </row>
    <row r="1736" spans="1:18" ht="15" customHeight="1">
      <c r="A1736" s="12">
        <v>1353</v>
      </c>
      <c r="B1736" s="13" t="s">
        <v>2686</v>
      </c>
      <c r="C1736" s="14"/>
      <c r="D1736" s="14" t="s">
        <v>2685</v>
      </c>
      <c r="E1736" s="22" t="s">
        <v>2430</v>
      </c>
      <c r="F1736" s="15" t="s">
        <v>22</v>
      </c>
      <c r="G1736" s="21"/>
      <c r="H1736" s="58"/>
      <c r="I1736" s="14"/>
      <c r="J1736" s="14" t="s">
        <v>23</v>
      </c>
      <c r="K1736" s="14"/>
      <c r="L1736" s="14"/>
      <c r="M1736" s="14" t="s">
        <v>1534</v>
      </c>
      <c r="N1736" s="14" t="s">
        <v>25</v>
      </c>
      <c r="O1736" s="14"/>
      <c r="P1736" s="14"/>
      <c r="Q1736" s="14"/>
      <c r="R1736" s="14" t="s">
        <v>2333</v>
      </c>
    </row>
    <row r="1737" spans="1:18" ht="15" customHeight="1">
      <c r="A1737" s="12">
        <v>2176</v>
      </c>
      <c r="B1737" s="13" t="s">
        <v>2687</v>
      </c>
      <c r="C1737" s="31"/>
      <c r="D1737" s="16">
        <v>577</v>
      </c>
      <c r="E1737" s="22" t="s">
        <v>2430</v>
      </c>
      <c r="F1737" s="15" t="s">
        <v>22</v>
      </c>
      <c r="G1737" s="18"/>
      <c r="H1737" s="58"/>
      <c r="I1737" s="18"/>
      <c r="J1737" s="14" t="s">
        <v>23</v>
      </c>
      <c r="K1737" s="34"/>
      <c r="L1737" s="34"/>
      <c r="M1737" s="34"/>
      <c r="N1737" s="34"/>
      <c r="O1737" s="34"/>
      <c r="P1737" s="34"/>
      <c r="Q1737" s="34"/>
      <c r="R1737" s="34"/>
    </row>
    <row r="1738" spans="1:18" ht="15" customHeight="1">
      <c r="A1738" s="12">
        <v>1354</v>
      </c>
      <c r="B1738" s="13" t="s">
        <v>2688</v>
      </c>
      <c r="C1738" s="14"/>
      <c r="D1738" s="14" t="s">
        <v>2689</v>
      </c>
      <c r="E1738" s="22" t="s">
        <v>2430</v>
      </c>
      <c r="F1738" s="15" t="s">
        <v>22</v>
      </c>
      <c r="G1738" s="21"/>
      <c r="H1738" s="58">
        <v>3</v>
      </c>
      <c r="I1738" s="14"/>
      <c r="J1738" s="14" t="s">
        <v>23</v>
      </c>
      <c r="K1738" s="14"/>
      <c r="L1738" s="14"/>
      <c r="M1738" s="14" t="s">
        <v>1534</v>
      </c>
      <c r="N1738" s="14" t="s">
        <v>25</v>
      </c>
      <c r="O1738" s="14"/>
      <c r="P1738" s="14"/>
      <c r="Q1738" s="14"/>
      <c r="R1738" s="14" t="s">
        <v>2333</v>
      </c>
    </row>
    <row r="1739" spans="1:18" ht="15" customHeight="1">
      <c r="A1739" s="12">
        <v>633</v>
      </c>
      <c r="B1739" s="13" t="s">
        <v>2690</v>
      </c>
      <c r="C1739" s="22"/>
      <c r="D1739" s="22" t="s">
        <v>2691</v>
      </c>
      <c r="E1739" s="22" t="s">
        <v>2430</v>
      </c>
      <c r="F1739" s="15" t="s">
        <v>22</v>
      </c>
      <c r="G1739" s="26"/>
      <c r="H1739" s="58"/>
      <c r="I1739" s="22"/>
      <c r="J1739" s="14" t="s">
        <v>23</v>
      </c>
      <c r="K1739" s="22"/>
      <c r="L1739" s="22"/>
      <c r="M1739" s="22" t="s">
        <v>654</v>
      </c>
      <c r="N1739" s="14" t="s">
        <v>25</v>
      </c>
      <c r="O1739" s="22"/>
      <c r="P1739" s="14"/>
      <c r="Q1739" s="14"/>
      <c r="R1739" s="14" t="s">
        <v>1820</v>
      </c>
    </row>
    <row r="1740" spans="1:18" ht="15" customHeight="1">
      <c r="A1740" s="12">
        <v>1355</v>
      </c>
      <c r="B1740" s="13" t="s">
        <v>2692</v>
      </c>
      <c r="C1740" s="14"/>
      <c r="D1740" s="14" t="s">
        <v>2691</v>
      </c>
      <c r="E1740" s="22" t="s">
        <v>2430</v>
      </c>
      <c r="F1740" s="15" t="s">
        <v>22</v>
      </c>
      <c r="G1740" s="21"/>
      <c r="H1740" s="58">
        <v>0</v>
      </c>
      <c r="I1740" s="14"/>
      <c r="J1740" s="14" t="s">
        <v>23</v>
      </c>
      <c r="K1740" s="14"/>
      <c r="L1740" s="14"/>
      <c r="M1740" s="14" t="s">
        <v>1534</v>
      </c>
      <c r="N1740" s="14" t="s">
        <v>25</v>
      </c>
      <c r="O1740" s="14"/>
      <c r="P1740" s="14"/>
      <c r="Q1740" s="14"/>
      <c r="R1740" s="14" t="s">
        <v>2333</v>
      </c>
    </row>
    <row r="1741" spans="1:18" ht="15" customHeight="1">
      <c r="A1741" s="12">
        <v>634</v>
      </c>
      <c r="B1741" s="13" t="s">
        <v>2693</v>
      </c>
      <c r="C1741" s="22"/>
      <c r="D1741" s="22" t="s">
        <v>2694</v>
      </c>
      <c r="E1741" s="22" t="s">
        <v>2430</v>
      </c>
      <c r="F1741" s="15" t="s">
        <v>22</v>
      </c>
      <c r="G1741" s="26"/>
      <c r="H1741" s="58"/>
      <c r="I1741" s="22"/>
      <c r="J1741" s="14" t="s">
        <v>23</v>
      </c>
      <c r="K1741" s="22"/>
      <c r="L1741" s="22"/>
      <c r="M1741" s="22" t="s">
        <v>654</v>
      </c>
      <c r="N1741" s="25" t="s">
        <v>37</v>
      </c>
      <c r="O1741" s="22" t="s">
        <v>52</v>
      </c>
      <c r="P1741" s="14"/>
      <c r="Q1741" s="14"/>
      <c r="R1741" s="14" t="s">
        <v>1820</v>
      </c>
    </row>
    <row r="1742" spans="1:18" ht="15" customHeight="1">
      <c r="A1742" s="12">
        <v>1568</v>
      </c>
      <c r="B1742" s="13" t="s">
        <v>2695</v>
      </c>
      <c r="C1742" s="14"/>
      <c r="D1742" s="14" t="s">
        <v>2694</v>
      </c>
      <c r="E1742" s="22" t="s">
        <v>2430</v>
      </c>
      <c r="F1742" s="15" t="s">
        <v>22</v>
      </c>
      <c r="G1742" s="14"/>
      <c r="H1742" s="58">
        <v>3</v>
      </c>
      <c r="I1742" s="14"/>
      <c r="J1742" s="14" t="s">
        <v>23</v>
      </c>
      <c r="K1742" s="14"/>
      <c r="L1742" s="14"/>
      <c r="M1742" s="14" t="s">
        <v>650</v>
      </c>
      <c r="N1742" s="25" t="s">
        <v>37</v>
      </c>
      <c r="O1742" s="14" t="s">
        <v>2696</v>
      </c>
      <c r="P1742" s="14"/>
      <c r="Q1742" s="14"/>
      <c r="R1742" s="14" t="s">
        <v>2338</v>
      </c>
    </row>
    <row r="1743" spans="1:18" ht="15" customHeight="1">
      <c r="A1743" s="12">
        <v>2177</v>
      </c>
      <c r="B1743" s="13" t="s">
        <v>2697</v>
      </c>
      <c r="C1743" s="31"/>
      <c r="D1743" s="16">
        <v>580</v>
      </c>
      <c r="E1743" s="22" t="s">
        <v>2430</v>
      </c>
      <c r="F1743" s="15" t="s">
        <v>22</v>
      </c>
      <c r="G1743" s="18"/>
      <c r="H1743" s="58">
        <v>3</v>
      </c>
      <c r="I1743" s="16"/>
      <c r="J1743" s="14" t="s">
        <v>23</v>
      </c>
      <c r="K1743" s="34"/>
      <c r="L1743" s="34"/>
      <c r="M1743" s="34"/>
      <c r="N1743" s="34"/>
      <c r="O1743" s="34"/>
      <c r="P1743" s="34"/>
      <c r="Q1743" s="34"/>
      <c r="R1743" s="34"/>
    </row>
    <row r="1744" spans="1:18" ht="15" customHeight="1">
      <c r="A1744" s="12">
        <v>635</v>
      </c>
      <c r="B1744" s="13" t="s">
        <v>2698</v>
      </c>
      <c r="C1744" s="22"/>
      <c r="D1744" s="22" t="s">
        <v>2699</v>
      </c>
      <c r="E1744" s="22" t="s">
        <v>2430</v>
      </c>
      <c r="F1744" s="15" t="s">
        <v>22</v>
      </c>
      <c r="G1744" s="26"/>
      <c r="H1744" s="58"/>
      <c r="I1744" s="22"/>
      <c r="J1744" s="14" t="s">
        <v>23</v>
      </c>
      <c r="K1744" s="22"/>
      <c r="L1744" s="22"/>
      <c r="M1744" s="22" t="s">
        <v>654</v>
      </c>
      <c r="N1744" s="14" t="s">
        <v>25</v>
      </c>
      <c r="O1744" s="22"/>
      <c r="P1744" s="14"/>
      <c r="Q1744" s="14"/>
      <c r="R1744" s="14" t="s">
        <v>1820</v>
      </c>
    </row>
    <row r="1745" spans="1:1027" ht="15" customHeight="1">
      <c r="A1745" s="12">
        <v>1569</v>
      </c>
      <c r="B1745" s="13" t="s">
        <v>2700</v>
      </c>
      <c r="C1745" s="14"/>
      <c r="D1745" s="14" t="s">
        <v>2699</v>
      </c>
      <c r="E1745" s="22" t="s">
        <v>2430</v>
      </c>
      <c r="F1745" s="15" t="s">
        <v>22</v>
      </c>
      <c r="G1745" s="14"/>
      <c r="H1745" s="58">
        <v>3</v>
      </c>
      <c r="I1745" s="14"/>
      <c r="J1745" s="14" t="s">
        <v>23</v>
      </c>
      <c r="K1745" s="14"/>
      <c r="L1745" s="14"/>
      <c r="M1745" s="14" t="s">
        <v>650</v>
      </c>
      <c r="N1745" s="25" t="s">
        <v>37</v>
      </c>
      <c r="O1745" s="14" t="s">
        <v>2701</v>
      </c>
      <c r="P1745" s="14"/>
      <c r="Q1745" s="14"/>
      <c r="R1745" s="14" t="s">
        <v>2338</v>
      </c>
    </row>
    <row r="1746" spans="1:1027" ht="15" customHeight="1">
      <c r="A1746" s="12">
        <v>2178</v>
      </c>
      <c r="B1746" s="13" t="s">
        <v>2702</v>
      </c>
      <c r="C1746" s="31"/>
      <c r="D1746" s="16">
        <v>581</v>
      </c>
      <c r="E1746" s="22" t="s">
        <v>2430</v>
      </c>
      <c r="F1746" s="15" t="s">
        <v>22</v>
      </c>
      <c r="G1746" s="18"/>
      <c r="H1746" s="58">
        <v>2</v>
      </c>
      <c r="I1746" s="16"/>
      <c r="J1746" s="14" t="s">
        <v>23</v>
      </c>
      <c r="K1746" s="34"/>
      <c r="L1746" s="34"/>
      <c r="M1746" s="34"/>
      <c r="N1746" s="34"/>
      <c r="O1746" s="34"/>
      <c r="P1746" s="34"/>
      <c r="Q1746" s="34"/>
      <c r="R1746" s="34"/>
    </row>
    <row r="1747" spans="1:1027" ht="15" customHeight="1">
      <c r="A1747" s="12">
        <v>636</v>
      </c>
      <c r="B1747" s="13" t="s">
        <v>2703</v>
      </c>
      <c r="C1747" s="22"/>
      <c r="D1747" s="22" t="s">
        <v>2704</v>
      </c>
      <c r="E1747" s="22" t="s">
        <v>2430</v>
      </c>
      <c r="F1747" s="15" t="s">
        <v>22</v>
      </c>
      <c r="G1747" s="26"/>
      <c r="H1747" s="58"/>
      <c r="I1747" s="22"/>
      <c r="J1747" s="14" t="s">
        <v>23</v>
      </c>
      <c r="K1747" s="22"/>
      <c r="L1747" s="22"/>
      <c r="M1747" s="22" t="s">
        <v>654</v>
      </c>
      <c r="N1747" s="25" t="s">
        <v>289</v>
      </c>
      <c r="O1747" s="22" t="s">
        <v>189</v>
      </c>
      <c r="P1747" s="14"/>
      <c r="Q1747" s="14"/>
      <c r="R1747" s="14" t="s">
        <v>1820</v>
      </c>
    </row>
    <row r="1748" spans="1:1027" ht="15" customHeight="1">
      <c r="A1748" s="12">
        <v>1570</v>
      </c>
      <c r="B1748" s="13" t="s">
        <v>2705</v>
      </c>
      <c r="C1748" s="14"/>
      <c r="D1748" s="14" t="s">
        <v>2704</v>
      </c>
      <c r="E1748" s="22" t="s">
        <v>2430</v>
      </c>
      <c r="F1748" s="15" t="s">
        <v>22</v>
      </c>
      <c r="G1748" s="14"/>
      <c r="H1748" s="58">
        <v>3</v>
      </c>
      <c r="I1748" s="14"/>
      <c r="J1748" s="14" t="s">
        <v>23</v>
      </c>
      <c r="K1748" s="14"/>
      <c r="L1748" s="14"/>
      <c r="M1748" s="14" t="s">
        <v>650</v>
      </c>
      <c r="N1748" s="25" t="s">
        <v>37</v>
      </c>
      <c r="O1748" s="14" t="s">
        <v>2706</v>
      </c>
      <c r="P1748" s="14"/>
      <c r="Q1748" s="14"/>
      <c r="R1748" s="14" t="s">
        <v>2338</v>
      </c>
    </row>
    <row r="1749" spans="1:1027" ht="15" customHeight="1">
      <c r="A1749" s="12">
        <v>2179</v>
      </c>
      <c r="B1749" s="13" t="s">
        <v>2707</v>
      </c>
      <c r="C1749" s="31"/>
      <c r="D1749" s="16">
        <v>582</v>
      </c>
      <c r="E1749" s="22" t="s">
        <v>2430</v>
      </c>
      <c r="F1749" s="15" t="s">
        <v>22</v>
      </c>
      <c r="G1749" s="18"/>
      <c r="H1749" s="58">
        <v>3</v>
      </c>
      <c r="I1749" s="16"/>
      <c r="J1749" s="14" t="s">
        <v>23</v>
      </c>
      <c r="K1749" s="34"/>
      <c r="L1749" s="34"/>
      <c r="M1749" s="34"/>
      <c r="N1749" s="34"/>
      <c r="O1749" s="34"/>
      <c r="P1749" s="34"/>
      <c r="Q1749" s="34"/>
      <c r="R1749" s="34"/>
    </row>
    <row r="1750" spans="1:1027" ht="15" customHeight="1">
      <c r="A1750" s="12">
        <v>637</v>
      </c>
      <c r="B1750" s="13" t="s">
        <v>2708</v>
      </c>
      <c r="C1750" s="22"/>
      <c r="D1750" s="22" t="s">
        <v>2709</v>
      </c>
      <c r="E1750" s="22" t="s">
        <v>2430</v>
      </c>
      <c r="F1750" s="15" t="s">
        <v>22</v>
      </c>
      <c r="G1750" s="26"/>
      <c r="H1750" s="58"/>
      <c r="I1750" s="22"/>
      <c r="J1750" s="14" t="s">
        <v>23</v>
      </c>
      <c r="K1750" s="22"/>
      <c r="L1750" s="22"/>
      <c r="M1750" s="22" t="s">
        <v>654</v>
      </c>
      <c r="N1750" s="14" t="s">
        <v>25</v>
      </c>
      <c r="O1750" s="22"/>
      <c r="P1750" s="14"/>
      <c r="Q1750" s="14"/>
      <c r="R1750" s="14" t="s">
        <v>1820</v>
      </c>
    </row>
    <row r="1751" spans="1:1027" ht="15" customHeight="1">
      <c r="A1751" s="12">
        <v>1571</v>
      </c>
      <c r="B1751" s="13" t="s">
        <v>2710</v>
      </c>
      <c r="C1751" s="14"/>
      <c r="D1751" s="14" t="s">
        <v>2709</v>
      </c>
      <c r="E1751" s="22" t="s">
        <v>2430</v>
      </c>
      <c r="F1751" s="15" t="s">
        <v>22</v>
      </c>
      <c r="G1751" s="14"/>
      <c r="H1751" s="58">
        <v>3</v>
      </c>
      <c r="I1751" s="14"/>
      <c r="J1751" s="14" t="s">
        <v>23</v>
      </c>
      <c r="K1751" s="14"/>
      <c r="L1751" s="14"/>
      <c r="M1751" s="14" t="s">
        <v>650</v>
      </c>
      <c r="N1751" s="25" t="s">
        <v>37</v>
      </c>
      <c r="O1751" s="14" t="s">
        <v>2711</v>
      </c>
      <c r="P1751" s="14"/>
      <c r="Q1751" s="14"/>
      <c r="R1751" s="14" t="s">
        <v>2338</v>
      </c>
    </row>
    <row r="1752" spans="1:1027" ht="15" customHeight="1">
      <c r="A1752" s="12">
        <v>2180</v>
      </c>
      <c r="B1752" s="13" t="s">
        <v>2712</v>
      </c>
      <c r="C1752" s="31"/>
      <c r="D1752" s="16">
        <v>583</v>
      </c>
      <c r="E1752" s="22" t="s">
        <v>2430</v>
      </c>
      <c r="F1752" s="15" t="s">
        <v>22</v>
      </c>
      <c r="G1752" s="18"/>
      <c r="H1752" s="58">
        <v>3</v>
      </c>
      <c r="I1752" s="16"/>
      <c r="J1752" s="14" t="s">
        <v>23</v>
      </c>
      <c r="K1752" s="34"/>
      <c r="L1752" s="34"/>
      <c r="M1752" s="34"/>
      <c r="N1752" s="34"/>
      <c r="O1752" s="34"/>
      <c r="P1752" s="34"/>
      <c r="Q1752" s="34"/>
      <c r="R1752" s="34"/>
    </row>
    <row r="1753" spans="1:1027" ht="15" customHeight="1">
      <c r="A1753" s="12">
        <v>718</v>
      </c>
      <c r="B1753" s="13" t="s">
        <v>2713</v>
      </c>
      <c r="C1753" s="14"/>
      <c r="D1753" s="14" t="s">
        <v>2714</v>
      </c>
      <c r="E1753" s="22" t="s">
        <v>2430</v>
      </c>
      <c r="F1753" s="15" t="s">
        <v>22</v>
      </c>
      <c r="G1753" s="21"/>
      <c r="H1753" s="58"/>
      <c r="I1753" s="14"/>
      <c r="J1753" s="14" t="s">
        <v>23</v>
      </c>
      <c r="K1753" s="14"/>
      <c r="L1753" s="14"/>
      <c r="M1753" s="14" t="s">
        <v>1819</v>
      </c>
      <c r="N1753" s="25" t="s">
        <v>37</v>
      </c>
      <c r="O1753" s="14" t="s">
        <v>45</v>
      </c>
      <c r="P1753" s="14"/>
      <c r="Q1753" s="14"/>
      <c r="R1753" s="14" t="s">
        <v>1820</v>
      </c>
    </row>
    <row r="1754" spans="1:1027" ht="15" customHeight="1">
      <c r="A1754" s="12">
        <v>1436</v>
      </c>
      <c r="B1754" s="13" t="s">
        <v>2715</v>
      </c>
      <c r="C1754" s="14"/>
      <c r="D1754" s="14" t="s">
        <v>2714</v>
      </c>
      <c r="E1754" s="22" t="s">
        <v>2430</v>
      </c>
      <c r="F1754" s="15" t="s">
        <v>22</v>
      </c>
      <c r="G1754" s="21"/>
      <c r="H1754" s="58">
        <v>3</v>
      </c>
      <c r="I1754" s="14"/>
      <c r="J1754" s="14" t="s">
        <v>23</v>
      </c>
      <c r="K1754" s="14"/>
      <c r="L1754" s="14"/>
      <c r="M1754" s="14" t="s">
        <v>2651</v>
      </c>
      <c r="N1754" s="25" t="s">
        <v>37</v>
      </c>
      <c r="O1754" s="14" t="s">
        <v>1361</v>
      </c>
      <c r="P1754" s="14"/>
      <c r="Q1754" s="14"/>
      <c r="R1754" s="14" t="s">
        <v>2652</v>
      </c>
    </row>
    <row r="1755" spans="1:1027" ht="15" customHeight="1">
      <c r="A1755" s="12">
        <v>2181</v>
      </c>
      <c r="B1755" s="13" t="s">
        <v>2716</v>
      </c>
      <c r="C1755" s="31"/>
      <c r="D1755" s="16">
        <v>584</v>
      </c>
      <c r="E1755" s="22" t="s">
        <v>2430</v>
      </c>
      <c r="F1755" s="15" t="s">
        <v>22</v>
      </c>
      <c r="G1755" s="18"/>
      <c r="H1755" s="58">
        <v>3</v>
      </c>
      <c r="I1755" s="16"/>
      <c r="J1755" s="14" t="s">
        <v>23</v>
      </c>
      <c r="K1755" s="34"/>
      <c r="L1755" s="34"/>
      <c r="M1755" s="34"/>
      <c r="N1755" s="34"/>
      <c r="O1755" s="34"/>
      <c r="P1755" s="34"/>
      <c r="Q1755" s="34"/>
      <c r="R1755" s="34"/>
    </row>
    <row r="1756" spans="1:1027" ht="15" customHeight="1">
      <c r="A1756" s="12">
        <v>12</v>
      </c>
      <c r="B1756" s="13" t="s">
        <v>2717</v>
      </c>
      <c r="C1756" s="14"/>
      <c r="D1756" s="14" t="s">
        <v>2718</v>
      </c>
      <c r="E1756" s="22" t="s">
        <v>2430</v>
      </c>
      <c r="F1756" s="15" t="s">
        <v>22</v>
      </c>
      <c r="G1756" s="14"/>
      <c r="H1756" s="58"/>
      <c r="I1756" s="14"/>
      <c r="J1756" s="14" t="s">
        <v>23</v>
      </c>
      <c r="K1756" s="15"/>
      <c r="L1756" s="15"/>
      <c r="M1756" s="14" t="s">
        <v>24</v>
      </c>
      <c r="N1756" s="14" t="s">
        <v>25</v>
      </c>
      <c r="O1756" s="14"/>
      <c r="P1756" s="14"/>
      <c r="Q1756" s="14"/>
      <c r="R1756" s="17">
        <v>43599</v>
      </c>
      <c r="S1756" s="12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  <c r="HY1756" s="3"/>
      <c r="HZ1756" s="3"/>
      <c r="IA1756" s="3"/>
      <c r="IB1756" s="3"/>
      <c r="IC1756" s="3"/>
      <c r="ID1756" s="3"/>
      <c r="IE1756" s="3"/>
      <c r="IF1756" s="3"/>
      <c r="IG1756" s="3"/>
      <c r="IH1756" s="3"/>
      <c r="II1756" s="3"/>
      <c r="IJ1756" s="3"/>
      <c r="IK1756" s="3"/>
      <c r="IL1756" s="3"/>
      <c r="IM1756" s="3"/>
      <c r="IN1756" s="3"/>
      <c r="IO1756" s="3"/>
      <c r="IP1756" s="3"/>
      <c r="IQ1756" s="3"/>
      <c r="IR1756" s="3"/>
      <c r="IS1756" s="3"/>
      <c r="IT1756" s="3"/>
      <c r="IU1756" s="3"/>
      <c r="IV1756" s="3"/>
      <c r="IW1756" s="3"/>
      <c r="IX1756" s="3"/>
      <c r="IY1756" s="3"/>
      <c r="IZ1756" s="3"/>
      <c r="JA1756" s="3"/>
      <c r="JB1756" s="3"/>
      <c r="JC1756" s="3"/>
      <c r="JD1756" s="3"/>
      <c r="JE1756" s="3"/>
      <c r="JF1756" s="3"/>
      <c r="JG1756" s="3"/>
      <c r="JH1756" s="3"/>
      <c r="JI1756" s="3"/>
      <c r="JJ1756" s="3"/>
      <c r="JK1756" s="3"/>
      <c r="JL1756" s="3"/>
      <c r="JM1756" s="3"/>
      <c r="JN1756" s="3"/>
      <c r="JO1756" s="3"/>
      <c r="JP1756" s="3"/>
      <c r="JQ1756" s="3"/>
      <c r="JR1756" s="3"/>
      <c r="JS1756" s="3"/>
      <c r="JT1756" s="3"/>
      <c r="JU1756" s="3"/>
      <c r="JV1756" s="3"/>
      <c r="JW1756" s="3"/>
      <c r="JX1756" s="3"/>
      <c r="JY1756" s="3"/>
      <c r="JZ1756" s="3"/>
      <c r="KA1756" s="3"/>
      <c r="KB1756" s="3"/>
      <c r="KC1756" s="3"/>
      <c r="KD1756" s="3"/>
      <c r="KE1756" s="3"/>
      <c r="KF1756" s="3"/>
      <c r="KG1756" s="3"/>
      <c r="KH1756" s="3"/>
      <c r="KI1756" s="3"/>
      <c r="KJ1756" s="3"/>
      <c r="KK1756" s="3"/>
      <c r="KL1756" s="3"/>
      <c r="KM1756" s="3"/>
      <c r="KN1756" s="3"/>
      <c r="KO1756" s="3"/>
      <c r="KP1756" s="3"/>
      <c r="KQ1756" s="3"/>
      <c r="KR1756" s="3"/>
      <c r="KS1756" s="3"/>
      <c r="KT1756" s="3"/>
      <c r="KU1756" s="3"/>
      <c r="KV1756" s="3"/>
      <c r="KW1756" s="3"/>
      <c r="KX1756" s="3"/>
      <c r="KY1756" s="3"/>
      <c r="KZ1756" s="3"/>
      <c r="LA1756" s="3"/>
      <c r="LB1756" s="3"/>
      <c r="LC1756" s="3"/>
      <c r="LD1756" s="3"/>
      <c r="LE1756" s="3"/>
      <c r="LF1756" s="3"/>
      <c r="LG1756" s="3"/>
      <c r="LH1756" s="3"/>
      <c r="LI1756" s="3"/>
      <c r="LJ1756" s="3"/>
      <c r="LK1756" s="3"/>
      <c r="LL1756" s="3"/>
      <c r="LM1756" s="3"/>
      <c r="LN1756" s="3"/>
      <c r="LO1756" s="3"/>
      <c r="LP1756" s="3"/>
      <c r="LQ1756" s="3"/>
      <c r="LR1756" s="3"/>
      <c r="LS1756" s="3"/>
      <c r="LT1756" s="3"/>
      <c r="LU1756" s="3"/>
      <c r="LV1756" s="3"/>
      <c r="LW1756" s="3"/>
      <c r="LX1756" s="3"/>
      <c r="LY1756" s="3"/>
      <c r="LZ1756" s="3"/>
      <c r="MA1756" s="3"/>
      <c r="MB1756" s="3"/>
      <c r="MC1756" s="3"/>
      <c r="MD1756" s="3"/>
      <c r="ME1756" s="3"/>
      <c r="MF1756" s="3"/>
      <c r="MG1756" s="3"/>
      <c r="MH1756" s="3"/>
      <c r="MI1756" s="3"/>
      <c r="MJ1756" s="3"/>
      <c r="MK1756" s="3"/>
      <c r="ML1756" s="3"/>
      <c r="MM1756" s="3"/>
      <c r="MN1756" s="3"/>
      <c r="MO1756" s="3"/>
      <c r="MP1756" s="3"/>
      <c r="MQ1756" s="3"/>
      <c r="MR1756" s="3"/>
      <c r="MS1756" s="3"/>
      <c r="MT1756" s="3"/>
      <c r="MU1756" s="3"/>
      <c r="MV1756" s="3"/>
      <c r="MW1756" s="3"/>
      <c r="MX1756" s="3"/>
      <c r="MY1756" s="3"/>
      <c r="MZ1756" s="3"/>
      <c r="NA1756" s="3"/>
      <c r="NB1756" s="3"/>
      <c r="NC1756" s="3"/>
      <c r="ND1756" s="3"/>
      <c r="NE1756" s="3"/>
      <c r="NF1756" s="3"/>
      <c r="NG1756" s="3"/>
      <c r="NH1756" s="3"/>
      <c r="NI1756" s="3"/>
      <c r="NJ1756" s="3"/>
      <c r="NK1756" s="3"/>
      <c r="NL1756" s="3"/>
      <c r="NM1756" s="3"/>
      <c r="NN1756" s="3"/>
      <c r="NO1756" s="3"/>
      <c r="NP1756" s="3"/>
      <c r="NQ1756" s="3"/>
      <c r="NR1756" s="3"/>
      <c r="NS1756" s="3"/>
      <c r="NT1756" s="3"/>
      <c r="NU1756" s="3"/>
      <c r="NV1756" s="3"/>
      <c r="NW1756" s="3"/>
      <c r="NX1756" s="3"/>
      <c r="NY1756" s="3"/>
      <c r="NZ1756" s="3"/>
      <c r="OA1756" s="3"/>
      <c r="OB1756" s="3"/>
      <c r="OC1756" s="3"/>
      <c r="OD1756" s="3"/>
      <c r="OE1756" s="3"/>
      <c r="OF1756" s="3"/>
      <c r="OG1756" s="3"/>
      <c r="OH1756" s="3"/>
      <c r="OI1756" s="3"/>
      <c r="OJ1756" s="3"/>
      <c r="OK1756" s="3"/>
      <c r="OL1756" s="3"/>
      <c r="OM1756" s="3"/>
      <c r="ON1756" s="3"/>
      <c r="OO1756" s="3"/>
      <c r="OP1756" s="3"/>
      <c r="OQ1756" s="3"/>
      <c r="OR1756" s="3"/>
      <c r="OS1756" s="3"/>
      <c r="OT1756" s="3"/>
      <c r="OU1756" s="3"/>
      <c r="OV1756" s="3"/>
      <c r="OW1756" s="3"/>
      <c r="OX1756" s="3"/>
      <c r="OY1756" s="3"/>
      <c r="OZ1756" s="3"/>
      <c r="PA1756" s="3"/>
      <c r="PB1756" s="3"/>
      <c r="PC1756" s="3"/>
      <c r="PD1756" s="3"/>
      <c r="PE1756" s="3"/>
      <c r="PF1756" s="3"/>
      <c r="PG1756" s="3"/>
      <c r="PH1756" s="3"/>
      <c r="PI1756" s="3"/>
      <c r="PJ1756" s="3"/>
      <c r="PK1756" s="3"/>
      <c r="PL1756" s="3"/>
      <c r="PM1756" s="3"/>
      <c r="PN1756" s="3"/>
      <c r="PO1756" s="3"/>
      <c r="PP1756" s="3"/>
      <c r="PQ1756" s="3"/>
      <c r="PR1756" s="3"/>
      <c r="PS1756" s="3"/>
      <c r="PT1756" s="3"/>
      <c r="PU1756" s="3"/>
      <c r="PV1756" s="3"/>
      <c r="PW1756" s="3"/>
      <c r="PX1756" s="3"/>
      <c r="PY1756" s="3"/>
      <c r="PZ1756" s="3"/>
      <c r="QA1756" s="3"/>
      <c r="QB1756" s="3"/>
      <c r="QC1756" s="3"/>
      <c r="QD1756" s="3"/>
      <c r="QE1756" s="3"/>
      <c r="QF1756" s="3"/>
      <c r="QG1756" s="3"/>
      <c r="QH1756" s="3"/>
      <c r="QI1756" s="3"/>
      <c r="QJ1756" s="3"/>
      <c r="QK1756" s="3"/>
      <c r="QL1756" s="3"/>
      <c r="QM1756" s="3"/>
      <c r="QN1756" s="3"/>
      <c r="QO1756" s="3"/>
      <c r="QP1756" s="3"/>
      <c r="QQ1756" s="3"/>
      <c r="QR1756" s="3"/>
      <c r="QS1756" s="3"/>
      <c r="QT1756" s="3"/>
      <c r="QU1756" s="3"/>
      <c r="QV1756" s="3"/>
      <c r="QW1756" s="3"/>
      <c r="QX1756" s="3"/>
      <c r="QY1756" s="3"/>
      <c r="QZ1756" s="3"/>
      <c r="RA1756" s="3"/>
      <c r="RB1756" s="3"/>
      <c r="RC1756" s="3"/>
      <c r="RD1756" s="3"/>
      <c r="RE1756" s="3"/>
      <c r="RF1756" s="3"/>
      <c r="RG1756" s="3"/>
      <c r="RH1756" s="3"/>
      <c r="RI1756" s="3"/>
      <c r="RJ1756" s="3"/>
      <c r="RK1756" s="3"/>
      <c r="RL1756" s="3"/>
      <c r="RM1756" s="3"/>
      <c r="RN1756" s="3"/>
      <c r="RO1756" s="3"/>
      <c r="RP1756" s="3"/>
      <c r="RQ1756" s="3"/>
      <c r="RR1756" s="3"/>
      <c r="RS1756" s="3"/>
      <c r="RT1756" s="3"/>
      <c r="RU1756" s="3"/>
      <c r="RV1756" s="3"/>
      <c r="RW1756" s="3"/>
      <c r="RX1756" s="3"/>
      <c r="RY1756" s="3"/>
      <c r="RZ1756" s="3"/>
      <c r="SA1756" s="3"/>
      <c r="SB1756" s="3"/>
      <c r="SC1756" s="3"/>
      <c r="SD1756" s="3"/>
      <c r="SE1756" s="3"/>
      <c r="SF1756" s="3"/>
      <c r="SG1756" s="3"/>
      <c r="SH1756" s="3"/>
      <c r="SI1756" s="3"/>
      <c r="SJ1756" s="3"/>
      <c r="SK1756" s="3"/>
      <c r="SL1756" s="3"/>
      <c r="SM1756" s="3"/>
      <c r="SN1756" s="3"/>
      <c r="SO1756" s="3"/>
      <c r="SP1756" s="3"/>
      <c r="SQ1756" s="3"/>
      <c r="SR1756" s="3"/>
      <c r="SS1756" s="3"/>
      <c r="ST1756" s="3"/>
      <c r="SU1756" s="3"/>
      <c r="SV1756" s="3"/>
      <c r="SW1756" s="3"/>
      <c r="SX1756" s="3"/>
      <c r="SY1756" s="3"/>
      <c r="SZ1756" s="3"/>
      <c r="TA1756" s="3"/>
      <c r="TB1756" s="3"/>
      <c r="TC1756" s="3"/>
      <c r="TD1756" s="3"/>
      <c r="TE1756" s="3"/>
      <c r="TF1756" s="3"/>
      <c r="TG1756" s="3"/>
      <c r="TH1756" s="3"/>
      <c r="TI1756" s="3"/>
      <c r="TJ1756" s="3"/>
      <c r="TK1756" s="3"/>
      <c r="TL1756" s="3"/>
      <c r="TM1756" s="3"/>
      <c r="TN1756" s="3"/>
      <c r="TO1756" s="3"/>
      <c r="TP1756" s="3"/>
      <c r="TQ1756" s="3"/>
      <c r="TR1756" s="3"/>
      <c r="TS1756" s="3"/>
      <c r="TT1756" s="3"/>
      <c r="TU1756" s="3"/>
      <c r="TV1756" s="3"/>
      <c r="TW1756" s="3"/>
      <c r="TX1756" s="3"/>
      <c r="TY1756" s="3"/>
      <c r="TZ1756" s="3"/>
      <c r="UA1756" s="3"/>
      <c r="UB1756" s="3"/>
      <c r="UC1756" s="3"/>
      <c r="UD1756" s="3"/>
      <c r="UE1756" s="3"/>
      <c r="UF1756" s="3"/>
      <c r="UG1756" s="3"/>
      <c r="UH1756" s="3"/>
      <c r="UI1756" s="3"/>
      <c r="UJ1756" s="3"/>
      <c r="UK1756" s="3"/>
      <c r="UL1756" s="3"/>
      <c r="UM1756" s="3"/>
      <c r="UN1756" s="3"/>
      <c r="UO1756" s="3"/>
      <c r="UP1756" s="3"/>
      <c r="UQ1756" s="3"/>
      <c r="UR1756" s="3"/>
      <c r="US1756" s="3"/>
      <c r="UT1756" s="3"/>
      <c r="UU1756" s="3"/>
      <c r="UV1756" s="3"/>
      <c r="UW1756" s="3"/>
      <c r="UX1756" s="3"/>
      <c r="UY1756" s="3"/>
      <c r="UZ1756" s="3"/>
      <c r="VA1756" s="3"/>
      <c r="VB1756" s="3"/>
      <c r="VC1756" s="3"/>
      <c r="VD1756" s="3"/>
      <c r="VE1756" s="3"/>
      <c r="VF1756" s="3"/>
      <c r="VG1756" s="3"/>
      <c r="VH1756" s="3"/>
      <c r="VI1756" s="3"/>
      <c r="VJ1756" s="3"/>
      <c r="VK1756" s="3"/>
      <c r="VL1756" s="3"/>
      <c r="VM1756" s="3"/>
      <c r="VN1756" s="3"/>
      <c r="VO1756" s="3"/>
      <c r="VP1756" s="3"/>
      <c r="VQ1756" s="3"/>
      <c r="VR1756" s="3"/>
      <c r="VS1756" s="3"/>
      <c r="VT1756" s="3"/>
      <c r="VU1756" s="3"/>
      <c r="VV1756" s="3"/>
      <c r="VW1756" s="3"/>
      <c r="VX1756" s="3"/>
      <c r="VY1756" s="3"/>
      <c r="VZ1756" s="3"/>
      <c r="WA1756" s="3"/>
      <c r="WB1756" s="3"/>
      <c r="WC1756" s="3"/>
      <c r="WD1756" s="3"/>
      <c r="WE1756" s="3"/>
      <c r="WF1756" s="3"/>
      <c r="WG1756" s="3"/>
      <c r="WH1756" s="3"/>
      <c r="WI1756" s="3"/>
      <c r="WJ1756" s="3"/>
      <c r="WK1756" s="3"/>
      <c r="WL1756" s="3"/>
      <c r="WM1756" s="3"/>
      <c r="WN1756" s="3"/>
      <c r="WO1756" s="3"/>
      <c r="WP1756" s="3"/>
      <c r="WQ1756" s="3"/>
      <c r="WR1756" s="3"/>
      <c r="WS1756" s="3"/>
      <c r="WT1756" s="3"/>
      <c r="WU1756" s="3"/>
      <c r="WV1756" s="3"/>
      <c r="WW1756" s="3"/>
      <c r="WX1756" s="3"/>
      <c r="WY1756" s="3"/>
      <c r="WZ1756" s="3"/>
      <c r="XA1756" s="3"/>
      <c r="XB1756" s="3"/>
      <c r="XC1756" s="3"/>
      <c r="XD1756" s="3"/>
      <c r="XE1756" s="3"/>
      <c r="XF1756" s="3"/>
      <c r="XG1756" s="3"/>
      <c r="XH1756" s="3"/>
      <c r="XI1756" s="3"/>
      <c r="XJ1756" s="3"/>
      <c r="XK1756" s="3"/>
      <c r="XL1756" s="3"/>
      <c r="XM1756" s="3"/>
      <c r="XN1756" s="3"/>
      <c r="XO1756" s="3"/>
      <c r="XP1756" s="3"/>
      <c r="XQ1756" s="3"/>
      <c r="XR1756" s="3"/>
      <c r="XS1756" s="3"/>
      <c r="XT1756" s="3"/>
      <c r="XU1756" s="3"/>
      <c r="XV1756" s="3"/>
      <c r="XW1756" s="3"/>
      <c r="XX1756" s="3"/>
      <c r="XY1756" s="3"/>
      <c r="XZ1756" s="3"/>
      <c r="YA1756" s="3"/>
      <c r="YB1756" s="3"/>
      <c r="YC1756" s="3"/>
      <c r="YD1756" s="3"/>
      <c r="YE1756" s="3"/>
      <c r="YF1756" s="3"/>
      <c r="YG1756" s="3"/>
      <c r="YH1756" s="3"/>
      <c r="YI1756" s="3"/>
      <c r="YJ1756" s="3"/>
      <c r="YK1756" s="3"/>
      <c r="YL1756" s="3"/>
      <c r="YM1756" s="3"/>
      <c r="YN1756" s="3"/>
      <c r="YO1756" s="3"/>
      <c r="YP1756" s="3"/>
      <c r="YQ1756" s="3"/>
      <c r="YR1756" s="3"/>
      <c r="YS1756" s="3"/>
      <c r="YT1756" s="3"/>
      <c r="YU1756" s="3"/>
      <c r="YV1756" s="3"/>
      <c r="YW1756" s="3"/>
      <c r="YX1756" s="3"/>
      <c r="YY1756" s="3"/>
      <c r="YZ1756" s="3"/>
      <c r="ZA1756" s="3"/>
      <c r="ZB1756" s="3"/>
      <c r="ZC1756" s="3"/>
      <c r="ZD1756" s="3"/>
      <c r="ZE1756" s="3"/>
      <c r="ZF1756" s="3"/>
      <c r="ZG1756" s="3"/>
      <c r="ZH1756" s="3"/>
      <c r="ZI1756" s="3"/>
      <c r="ZJ1756" s="3"/>
      <c r="ZK1756" s="3"/>
      <c r="ZL1756" s="3"/>
      <c r="ZM1756" s="3"/>
      <c r="ZN1756" s="3"/>
      <c r="ZO1756" s="3"/>
      <c r="ZP1756" s="3"/>
      <c r="ZQ1756" s="3"/>
      <c r="ZR1756" s="3"/>
      <c r="ZS1756" s="3"/>
      <c r="ZT1756" s="3"/>
      <c r="ZU1756" s="3"/>
      <c r="ZV1756" s="3"/>
      <c r="ZW1756" s="3"/>
      <c r="ZX1756" s="3"/>
      <c r="ZY1756" s="3"/>
      <c r="ZZ1756" s="3"/>
      <c r="AAA1756" s="3"/>
      <c r="AAB1756" s="3"/>
      <c r="AAC1756" s="3"/>
      <c r="AAD1756" s="3"/>
      <c r="AAE1756" s="3"/>
      <c r="AAF1756" s="3"/>
      <c r="AAG1756" s="3"/>
      <c r="AAH1756" s="3"/>
      <c r="AAI1756" s="3"/>
      <c r="AAJ1756" s="3"/>
      <c r="AAK1756" s="3"/>
      <c r="AAL1756" s="3"/>
      <c r="AAM1756" s="3"/>
      <c r="AAN1756" s="3"/>
      <c r="AAO1756" s="3"/>
      <c r="AAP1756" s="3"/>
      <c r="AAQ1756" s="3"/>
      <c r="AAR1756" s="3"/>
      <c r="AAS1756" s="3"/>
      <c r="AAT1756" s="3"/>
      <c r="AAU1756" s="3"/>
      <c r="AAV1756" s="3"/>
      <c r="AAW1756" s="3"/>
      <c r="AAX1756" s="3"/>
      <c r="AAY1756" s="3"/>
      <c r="AAZ1756" s="3"/>
      <c r="ABA1756" s="3"/>
      <c r="ABB1756" s="3"/>
      <c r="ABC1756" s="3"/>
      <c r="ABD1756" s="3"/>
      <c r="ABE1756" s="3"/>
      <c r="ABF1756" s="3"/>
      <c r="ABG1756" s="3"/>
      <c r="ABH1756" s="3"/>
      <c r="ABI1756" s="3"/>
      <c r="ABJ1756" s="3"/>
      <c r="ABK1756" s="3"/>
      <c r="ABL1756" s="3"/>
      <c r="ABM1756" s="3"/>
      <c r="ABN1756" s="3"/>
      <c r="ABO1756" s="3"/>
      <c r="ABP1756" s="3"/>
      <c r="ABQ1756" s="3"/>
      <c r="ABR1756" s="3"/>
      <c r="ABS1756" s="3"/>
      <c r="ABT1756" s="3"/>
      <c r="ABU1756" s="3"/>
      <c r="ABV1756" s="3"/>
      <c r="ABW1756" s="3"/>
      <c r="ABX1756" s="3"/>
      <c r="ABY1756" s="3"/>
      <c r="ABZ1756" s="3"/>
      <c r="ACA1756" s="3"/>
      <c r="ACB1756" s="3"/>
      <c r="ACC1756" s="3"/>
      <c r="ACD1756" s="3"/>
      <c r="ACE1756" s="3"/>
      <c r="ACF1756" s="3"/>
      <c r="ACG1756" s="3"/>
      <c r="ACH1756" s="3"/>
      <c r="ACI1756" s="3"/>
      <c r="ACJ1756" s="3"/>
      <c r="ACK1756" s="3"/>
      <c r="ACL1756" s="3"/>
      <c r="ACM1756" s="3"/>
      <c r="ACN1756" s="3"/>
      <c r="ACO1756" s="3"/>
      <c r="ACP1756" s="3"/>
      <c r="ACQ1756" s="3"/>
      <c r="ACR1756" s="3"/>
      <c r="ACS1756" s="3"/>
      <c r="ACT1756" s="3"/>
      <c r="ACU1756" s="3"/>
      <c r="ACV1756" s="3"/>
      <c r="ACW1756" s="3"/>
      <c r="ACX1756" s="3"/>
      <c r="ACY1756" s="3"/>
      <c r="ACZ1756" s="3"/>
      <c r="ADA1756" s="3"/>
      <c r="ADB1756" s="3"/>
      <c r="ADC1756" s="3"/>
      <c r="ADD1756" s="3"/>
      <c r="ADE1756" s="3"/>
      <c r="ADF1756" s="3"/>
      <c r="ADG1756" s="3"/>
      <c r="ADH1756" s="3"/>
      <c r="ADI1756" s="3"/>
      <c r="ADJ1756" s="3"/>
      <c r="ADK1756" s="3"/>
      <c r="ADL1756" s="3"/>
      <c r="ADM1756" s="3"/>
      <c r="ADN1756" s="3"/>
      <c r="ADO1756" s="3"/>
      <c r="ADP1756" s="3"/>
      <c r="ADQ1756" s="3"/>
      <c r="ADR1756" s="3"/>
      <c r="ADS1756" s="3"/>
      <c r="ADT1756" s="3"/>
      <c r="ADU1756" s="3"/>
      <c r="ADV1756" s="3"/>
      <c r="ADW1756" s="3"/>
      <c r="ADX1756" s="3"/>
      <c r="ADY1756" s="3"/>
      <c r="ADZ1756" s="3"/>
      <c r="AEA1756" s="3"/>
      <c r="AEB1756" s="3"/>
      <c r="AEC1756" s="3"/>
      <c r="AED1756" s="3"/>
      <c r="AEE1756" s="3"/>
      <c r="AEF1756" s="3"/>
      <c r="AEG1756" s="3"/>
      <c r="AEH1756" s="3"/>
      <c r="AEI1756" s="3"/>
      <c r="AEJ1756" s="3"/>
      <c r="AEK1756" s="3"/>
      <c r="AEL1756" s="3"/>
      <c r="AEM1756" s="3"/>
      <c r="AEN1756" s="3"/>
      <c r="AEO1756" s="3"/>
      <c r="AEP1756" s="3"/>
      <c r="AEQ1756" s="3"/>
      <c r="AER1756" s="3"/>
      <c r="AES1756" s="3"/>
      <c r="AET1756" s="3"/>
      <c r="AEU1756" s="3"/>
      <c r="AEV1756" s="3"/>
      <c r="AEW1756" s="3"/>
      <c r="AEX1756" s="3"/>
      <c r="AEY1756" s="3"/>
      <c r="AEZ1756" s="3"/>
      <c r="AFA1756" s="3"/>
      <c r="AFB1756" s="3"/>
      <c r="AFC1756" s="3"/>
      <c r="AFD1756" s="3"/>
      <c r="AFE1756" s="3"/>
      <c r="AFF1756" s="3"/>
      <c r="AFG1756" s="3"/>
      <c r="AFH1756" s="3"/>
      <c r="AFI1756" s="3"/>
      <c r="AFJ1756" s="3"/>
      <c r="AFK1756" s="3"/>
      <c r="AFL1756" s="3"/>
      <c r="AFM1756" s="3"/>
      <c r="AFN1756" s="3"/>
      <c r="AFO1756" s="3"/>
      <c r="AFP1756" s="3"/>
      <c r="AFQ1756" s="3"/>
      <c r="AFR1756" s="3"/>
      <c r="AFS1756" s="3"/>
      <c r="AFT1756" s="3"/>
      <c r="AFU1756" s="3"/>
      <c r="AFV1756" s="3"/>
      <c r="AFW1756" s="3"/>
      <c r="AFX1756" s="3"/>
      <c r="AFY1756" s="3"/>
      <c r="AFZ1756" s="3"/>
      <c r="AGA1756" s="3"/>
      <c r="AGB1756" s="3"/>
      <c r="AGC1756" s="3"/>
      <c r="AGD1756" s="3"/>
      <c r="AGE1756" s="3"/>
      <c r="AGF1756" s="3"/>
      <c r="AGG1756" s="3"/>
      <c r="AGH1756" s="3"/>
      <c r="AGI1756" s="3"/>
      <c r="AGJ1756" s="3"/>
      <c r="AGK1756" s="3"/>
      <c r="AGL1756" s="3"/>
      <c r="AGM1756" s="3"/>
      <c r="AGN1756" s="3"/>
      <c r="AGO1756" s="3"/>
      <c r="AGP1756" s="3"/>
      <c r="AGQ1756" s="3"/>
      <c r="AGR1756" s="3"/>
      <c r="AGS1756" s="3"/>
      <c r="AGT1756" s="3"/>
      <c r="AGU1756" s="3"/>
      <c r="AGV1756" s="3"/>
      <c r="AGW1756" s="3"/>
      <c r="AGX1756" s="3"/>
      <c r="AGY1756" s="3"/>
      <c r="AGZ1756" s="3"/>
      <c r="AHA1756" s="3"/>
      <c r="AHB1756" s="3"/>
      <c r="AHC1756" s="3"/>
      <c r="AHD1756" s="3"/>
      <c r="AHE1756" s="3"/>
      <c r="AHF1756" s="3"/>
      <c r="AHG1756" s="3"/>
      <c r="AHH1756" s="3"/>
      <c r="AHI1756" s="3"/>
      <c r="AHJ1756" s="3"/>
      <c r="AHK1756" s="3"/>
      <c r="AHL1756" s="3"/>
      <c r="AHM1756" s="3"/>
      <c r="AHN1756" s="3"/>
      <c r="AHO1756" s="3"/>
      <c r="AHP1756" s="3"/>
      <c r="AHQ1756" s="3"/>
      <c r="AHR1756" s="3"/>
      <c r="AHS1756" s="3"/>
      <c r="AHT1756" s="3"/>
      <c r="AHU1756" s="3"/>
      <c r="AHV1756" s="3"/>
      <c r="AHW1756" s="3"/>
      <c r="AHX1756" s="3"/>
      <c r="AHY1756" s="3"/>
      <c r="AHZ1756" s="3"/>
      <c r="AIA1756" s="3"/>
      <c r="AIB1756" s="3"/>
      <c r="AIC1756" s="3"/>
      <c r="AID1756" s="3"/>
      <c r="AIE1756" s="3"/>
      <c r="AIF1756" s="3"/>
      <c r="AIG1756" s="3"/>
      <c r="AIH1756" s="3"/>
      <c r="AII1756" s="3"/>
      <c r="AIJ1756" s="3"/>
      <c r="AIK1756" s="3"/>
      <c r="AIL1756" s="3"/>
      <c r="AIM1756" s="3"/>
      <c r="AIN1756" s="3"/>
      <c r="AIO1756" s="3"/>
      <c r="AIP1756" s="3"/>
      <c r="AIQ1756" s="3"/>
      <c r="AIR1756" s="3"/>
      <c r="AIS1756" s="3"/>
      <c r="AIT1756" s="3"/>
      <c r="AIU1756" s="3"/>
      <c r="AIV1756" s="3"/>
      <c r="AIW1756" s="3"/>
      <c r="AIX1756" s="3"/>
      <c r="AIY1756" s="3"/>
      <c r="AIZ1756" s="3"/>
      <c r="AJA1756" s="3"/>
      <c r="AJB1756" s="3"/>
      <c r="AJC1756" s="3"/>
      <c r="AJD1756" s="3"/>
      <c r="AJE1756" s="3"/>
      <c r="AJF1756" s="3"/>
      <c r="AJG1756" s="3"/>
      <c r="AJH1756" s="3"/>
      <c r="AJI1756" s="3"/>
      <c r="AJJ1756" s="3"/>
      <c r="AJK1756" s="3"/>
      <c r="AJL1756" s="3"/>
      <c r="AJM1756" s="3"/>
      <c r="AJN1756" s="3"/>
      <c r="AJO1756" s="3"/>
      <c r="AJP1756" s="3"/>
      <c r="AJQ1756" s="3"/>
      <c r="AJR1756" s="3"/>
      <c r="AJS1756" s="3"/>
      <c r="AJT1756" s="3"/>
      <c r="AJU1756" s="3"/>
      <c r="AJV1756" s="3"/>
      <c r="AJW1756" s="3"/>
      <c r="AJX1756" s="3"/>
      <c r="AJY1756" s="3"/>
      <c r="AJZ1756" s="3"/>
      <c r="AKA1756" s="3"/>
      <c r="AKB1756" s="3"/>
      <c r="AKC1756" s="3"/>
      <c r="AKD1756" s="3"/>
      <c r="AKE1756" s="3"/>
      <c r="AKF1756" s="3"/>
      <c r="AKG1756" s="3"/>
      <c r="AKH1756" s="3"/>
      <c r="AKI1756" s="3"/>
      <c r="AKJ1756" s="3"/>
      <c r="AKK1756" s="3"/>
      <c r="AKL1756" s="3"/>
      <c r="AKM1756" s="3"/>
      <c r="AKN1756" s="3"/>
      <c r="AKO1756" s="3"/>
      <c r="AKP1756" s="3"/>
      <c r="AKQ1756" s="3"/>
      <c r="AKR1756" s="3"/>
      <c r="AKS1756" s="3"/>
      <c r="AKT1756" s="3"/>
      <c r="AKU1756" s="3"/>
      <c r="AKV1756" s="3"/>
      <c r="AKW1756" s="3"/>
      <c r="AKX1756" s="3"/>
      <c r="AKY1756" s="3"/>
      <c r="AKZ1756" s="3"/>
      <c r="ALA1756" s="3"/>
      <c r="ALB1756" s="3"/>
      <c r="ALC1756" s="3"/>
      <c r="ALD1756" s="3"/>
      <c r="ALE1756" s="3"/>
      <c r="ALF1756" s="3"/>
      <c r="ALG1756" s="3"/>
      <c r="ALH1756" s="3"/>
      <c r="ALI1756" s="3"/>
      <c r="ALJ1756" s="3"/>
      <c r="ALK1756" s="3"/>
      <c r="ALL1756" s="3"/>
      <c r="ALM1756" s="3"/>
      <c r="ALN1756" s="3"/>
      <c r="ALO1756" s="3"/>
      <c r="ALP1756" s="3"/>
      <c r="ALQ1756" s="3"/>
      <c r="ALR1756" s="3"/>
      <c r="ALS1756" s="3"/>
      <c r="ALT1756" s="3"/>
      <c r="ALU1756" s="3"/>
      <c r="ALV1756" s="3"/>
      <c r="ALW1756" s="3"/>
      <c r="ALX1756" s="3"/>
      <c r="ALY1756" s="3"/>
      <c r="ALZ1756" s="3"/>
      <c r="AMA1756" s="3"/>
      <c r="AMB1756" s="3"/>
      <c r="AMC1756" s="3"/>
      <c r="AMD1756" s="3"/>
      <c r="AME1756" s="3"/>
      <c r="AMF1756" s="3"/>
      <c r="AMG1756" s="3"/>
      <c r="AMH1756" s="3"/>
      <c r="AMI1756" s="3"/>
      <c r="AMJ1756" s="3"/>
      <c r="AMK1756" s="3"/>
      <c r="AML1756" s="3"/>
      <c r="AMM1756" s="3"/>
    </row>
    <row r="1757" spans="1:1027" ht="15" customHeight="1">
      <c r="A1757" s="12">
        <v>719</v>
      </c>
      <c r="B1757" s="13" t="s">
        <v>2719</v>
      </c>
      <c r="C1757" s="14"/>
      <c r="D1757" s="14" t="s">
        <v>2718</v>
      </c>
      <c r="E1757" s="22" t="s">
        <v>2430</v>
      </c>
      <c r="F1757" s="15" t="s">
        <v>22</v>
      </c>
      <c r="G1757" s="21"/>
      <c r="H1757" s="58"/>
      <c r="I1757" s="14"/>
      <c r="J1757" s="14" t="s">
        <v>23</v>
      </c>
      <c r="K1757" s="14"/>
      <c r="L1757" s="14"/>
      <c r="M1757" s="14" t="s">
        <v>1819</v>
      </c>
      <c r="N1757" s="14" t="s">
        <v>25</v>
      </c>
      <c r="O1757" s="14"/>
      <c r="P1757" s="14"/>
      <c r="Q1757" s="14"/>
      <c r="R1757" s="14" t="s">
        <v>1820</v>
      </c>
    </row>
    <row r="1758" spans="1:1027" ht="15" customHeight="1">
      <c r="A1758" s="12">
        <v>1437</v>
      </c>
      <c r="B1758" s="13" t="s">
        <v>2720</v>
      </c>
      <c r="C1758" s="14"/>
      <c r="D1758" s="14" t="s">
        <v>2718</v>
      </c>
      <c r="E1758" s="22" t="s">
        <v>2430</v>
      </c>
      <c r="F1758" s="15" t="s">
        <v>22</v>
      </c>
      <c r="G1758" s="21"/>
      <c r="H1758" s="58">
        <v>4</v>
      </c>
      <c r="I1758" s="14"/>
      <c r="J1758" s="14" t="s">
        <v>23</v>
      </c>
      <c r="K1758" s="14"/>
      <c r="L1758" s="14"/>
      <c r="M1758" s="14" t="s">
        <v>2651</v>
      </c>
      <c r="N1758" s="25" t="s">
        <v>37</v>
      </c>
      <c r="O1758" s="14" t="s">
        <v>56</v>
      </c>
      <c r="P1758" s="14"/>
      <c r="Q1758" s="14"/>
      <c r="R1758" s="14" t="s">
        <v>2652</v>
      </c>
    </row>
    <row r="1759" spans="1:1027" ht="15" customHeight="1">
      <c r="A1759" s="12">
        <v>2182</v>
      </c>
      <c r="B1759" s="13" t="s">
        <v>2721</v>
      </c>
      <c r="C1759" s="31"/>
      <c r="D1759" s="16">
        <v>585</v>
      </c>
      <c r="E1759" s="22" t="s">
        <v>2430</v>
      </c>
      <c r="F1759" s="15" t="s">
        <v>22</v>
      </c>
      <c r="G1759" s="18"/>
      <c r="H1759" s="58">
        <v>2</v>
      </c>
      <c r="I1759" s="16"/>
      <c r="J1759" s="14" t="s">
        <v>23</v>
      </c>
      <c r="K1759" s="34"/>
      <c r="L1759" s="34"/>
      <c r="M1759" s="34"/>
      <c r="N1759" s="34"/>
      <c r="O1759" s="34"/>
      <c r="P1759" s="34"/>
      <c r="Q1759" s="34"/>
      <c r="R1759" s="34"/>
    </row>
    <row r="1760" spans="1:1027" ht="15" customHeight="1">
      <c r="A1760" s="12">
        <v>720</v>
      </c>
      <c r="B1760" s="13" t="s">
        <v>2722</v>
      </c>
      <c r="C1760" s="14"/>
      <c r="D1760" s="14" t="s">
        <v>2723</v>
      </c>
      <c r="E1760" s="22" t="s">
        <v>2430</v>
      </c>
      <c r="F1760" s="15" t="s">
        <v>22</v>
      </c>
      <c r="G1760" s="21"/>
      <c r="H1760" s="58"/>
      <c r="I1760" s="14"/>
      <c r="J1760" s="14" t="s">
        <v>23</v>
      </c>
      <c r="K1760" s="14"/>
      <c r="L1760" s="14"/>
      <c r="M1760" s="14" t="s">
        <v>1819</v>
      </c>
      <c r="N1760" s="25" t="s">
        <v>37</v>
      </c>
      <c r="O1760" s="14" t="s">
        <v>52</v>
      </c>
      <c r="P1760" s="14"/>
      <c r="Q1760" s="14"/>
      <c r="R1760" s="14" t="s">
        <v>1820</v>
      </c>
    </row>
    <row r="1761" spans="1:18" ht="15" customHeight="1">
      <c r="A1761" s="12">
        <v>1438</v>
      </c>
      <c r="B1761" s="13" t="s">
        <v>2724</v>
      </c>
      <c r="C1761" s="14"/>
      <c r="D1761" s="14" t="s">
        <v>2723</v>
      </c>
      <c r="E1761" s="22" t="s">
        <v>2430</v>
      </c>
      <c r="F1761" s="15" t="s">
        <v>22</v>
      </c>
      <c r="G1761" s="21"/>
      <c r="H1761" s="58">
        <v>1</v>
      </c>
      <c r="I1761" s="14"/>
      <c r="J1761" s="14" t="s">
        <v>23</v>
      </c>
      <c r="K1761" s="14"/>
      <c r="L1761" s="14"/>
      <c r="M1761" s="14" t="s">
        <v>2651</v>
      </c>
      <c r="N1761" s="25" t="s">
        <v>37</v>
      </c>
      <c r="O1761" s="14" t="s">
        <v>2725</v>
      </c>
      <c r="P1761" s="14"/>
      <c r="Q1761" s="14"/>
      <c r="R1761" s="14" t="s">
        <v>2652</v>
      </c>
    </row>
    <row r="1762" spans="1:18" ht="15" customHeight="1">
      <c r="A1762" s="12">
        <v>2183</v>
      </c>
      <c r="B1762" s="13" t="s">
        <v>2726</v>
      </c>
      <c r="C1762" s="31"/>
      <c r="D1762" s="16">
        <v>586</v>
      </c>
      <c r="E1762" s="22" t="s">
        <v>2430</v>
      </c>
      <c r="F1762" s="15" t="s">
        <v>22</v>
      </c>
      <c r="G1762" s="18"/>
      <c r="H1762" s="58">
        <v>4</v>
      </c>
      <c r="I1762" s="16"/>
      <c r="J1762" s="14" t="s">
        <v>23</v>
      </c>
      <c r="K1762" s="34"/>
      <c r="L1762" s="34"/>
      <c r="M1762" s="34"/>
      <c r="N1762" s="34"/>
      <c r="O1762" s="34"/>
      <c r="P1762" s="34"/>
      <c r="Q1762" s="34"/>
      <c r="R1762" s="34"/>
    </row>
    <row r="1763" spans="1:18" ht="15" customHeight="1">
      <c r="A1763" s="12">
        <v>721</v>
      </c>
      <c r="B1763" s="13" t="s">
        <v>2727</v>
      </c>
      <c r="C1763" s="14"/>
      <c r="D1763" s="14" t="s">
        <v>2728</v>
      </c>
      <c r="E1763" s="22" t="s">
        <v>2430</v>
      </c>
      <c r="F1763" s="15" t="s">
        <v>22</v>
      </c>
      <c r="G1763" s="21"/>
      <c r="H1763" s="58"/>
      <c r="I1763" s="14"/>
      <c r="J1763" s="14" t="s">
        <v>23</v>
      </c>
      <c r="K1763" s="14"/>
      <c r="L1763" s="14"/>
      <c r="M1763" s="14" t="s">
        <v>1819</v>
      </c>
      <c r="N1763" s="14" t="s">
        <v>25</v>
      </c>
      <c r="O1763" s="14"/>
      <c r="P1763" s="14"/>
      <c r="Q1763" s="14"/>
      <c r="R1763" s="14" t="s">
        <v>1820</v>
      </c>
    </row>
    <row r="1764" spans="1:18" ht="15" customHeight="1">
      <c r="A1764" s="12">
        <v>1439</v>
      </c>
      <c r="B1764" s="13" t="s">
        <v>2729</v>
      </c>
      <c r="C1764" s="14"/>
      <c r="D1764" s="14" t="s">
        <v>2728</v>
      </c>
      <c r="E1764" s="22" t="s">
        <v>2430</v>
      </c>
      <c r="F1764" s="15" t="s">
        <v>22</v>
      </c>
      <c r="G1764" s="21"/>
      <c r="H1764" s="58">
        <v>1</v>
      </c>
      <c r="I1764" s="14"/>
      <c r="J1764" s="14" t="s">
        <v>23</v>
      </c>
      <c r="K1764" s="14"/>
      <c r="L1764" s="14"/>
      <c r="M1764" s="14" t="s">
        <v>2651</v>
      </c>
      <c r="N1764" s="25" t="s">
        <v>37</v>
      </c>
      <c r="O1764" s="14" t="s">
        <v>2730</v>
      </c>
      <c r="P1764" s="14"/>
      <c r="Q1764" s="14"/>
      <c r="R1764" s="14" t="s">
        <v>2652</v>
      </c>
    </row>
    <row r="1765" spans="1:18" ht="15" customHeight="1">
      <c r="A1765" s="12">
        <v>2184</v>
      </c>
      <c r="B1765" s="13" t="s">
        <v>2731</v>
      </c>
      <c r="C1765" s="31"/>
      <c r="D1765" s="16">
        <v>587</v>
      </c>
      <c r="E1765" s="22" t="s">
        <v>2430</v>
      </c>
      <c r="F1765" s="15" t="s">
        <v>22</v>
      </c>
      <c r="G1765" s="18"/>
      <c r="H1765" s="58"/>
      <c r="I1765" s="16"/>
      <c r="J1765" s="14" t="s">
        <v>23</v>
      </c>
      <c r="K1765" s="34"/>
      <c r="L1765" s="34"/>
      <c r="M1765" s="34"/>
      <c r="N1765" s="34"/>
      <c r="O1765" s="34"/>
      <c r="P1765" s="34"/>
      <c r="Q1765" s="34"/>
      <c r="R1765" s="34"/>
    </row>
    <row r="1766" spans="1:18" ht="15" customHeight="1">
      <c r="A1766" s="12">
        <v>638</v>
      </c>
      <c r="B1766" s="13" t="s">
        <v>2732</v>
      </c>
      <c r="C1766" s="22"/>
      <c r="D1766" s="22" t="s">
        <v>2733</v>
      </c>
      <c r="E1766" s="22" t="s">
        <v>2430</v>
      </c>
      <c r="F1766" s="15" t="s">
        <v>22</v>
      </c>
      <c r="G1766" s="26"/>
      <c r="H1766" s="58"/>
      <c r="I1766" s="22"/>
      <c r="J1766" s="14" t="s">
        <v>23</v>
      </c>
      <c r="K1766" s="22"/>
      <c r="L1766" s="22"/>
      <c r="M1766" s="22" t="s">
        <v>654</v>
      </c>
      <c r="N1766" s="14" t="s">
        <v>25</v>
      </c>
      <c r="O1766" s="22"/>
      <c r="P1766" s="14"/>
      <c r="Q1766" s="14"/>
      <c r="R1766" s="14" t="s">
        <v>1820</v>
      </c>
    </row>
    <row r="1767" spans="1:18" ht="15" customHeight="1">
      <c r="A1767" s="12">
        <v>722</v>
      </c>
      <c r="B1767" s="13" t="s">
        <v>2734</v>
      </c>
      <c r="C1767" s="14"/>
      <c r="D1767" s="14" t="s">
        <v>2733</v>
      </c>
      <c r="E1767" s="22" t="s">
        <v>2430</v>
      </c>
      <c r="F1767" s="15" t="s">
        <v>22</v>
      </c>
      <c r="G1767" s="21"/>
      <c r="H1767" s="58"/>
      <c r="I1767" s="14"/>
      <c r="J1767" s="14" t="s">
        <v>23</v>
      </c>
      <c r="K1767" s="14"/>
      <c r="L1767" s="14"/>
      <c r="M1767" s="14" t="s">
        <v>1819</v>
      </c>
      <c r="N1767" s="14" t="s">
        <v>25</v>
      </c>
      <c r="O1767" s="14"/>
      <c r="P1767" s="14"/>
      <c r="Q1767" s="14"/>
      <c r="R1767" s="14" t="s">
        <v>1820</v>
      </c>
    </row>
    <row r="1768" spans="1:18" ht="15" customHeight="1">
      <c r="A1768" s="12">
        <v>1440</v>
      </c>
      <c r="B1768" s="13" t="s">
        <v>2735</v>
      </c>
      <c r="C1768" s="14"/>
      <c r="D1768" s="14" t="s">
        <v>2733</v>
      </c>
      <c r="E1768" s="22" t="s">
        <v>2430</v>
      </c>
      <c r="F1768" s="15" t="s">
        <v>22</v>
      </c>
      <c r="G1768" s="21"/>
      <c r="H1768" s="58">
        <v>2</v>
      </c>
      <c r="I1768" s="14"/>
      <c r="J1768" s="14" t="s">
        <v>23</v>
      </c>
      <c r="K1768" s="14"/>
      <c r="L1768" s="14"/>
      <c r="M1768" s="14" t="s">
        <v>2651</v>
      </c>
      <c r="N1768" s="25" t="s">
        <v>37</v>
      </c>
      <c r="O1768" s="14" t="s">
        <v>446</v>
      </c>
      <c r="P1768" s="14"/>
      <c r="Q1768" s="14"/>
      <c r="R1768" s="14" t="s">
        <v>2652</v>
      </c>
    </row>
    <row r="1769" spans="1:18" ht="15" customHeight="1">
      <c r="A1769" s="12">
        <v>2185</v>
      </c>
      <c r="B1769" s="13" t="s">
        <v>2736</v>
      </c>
      <c r="C1769" s="31"/>
      <c r="D1769" s="16">
        <v>588</v>
      </c>
      <c r="E1769" s="22" t="s">
        <v>2430</v>
      </c>
      <c r="F1769" s="15" t="s">
        <v>22</v>
      </c>
      <c r="G1769" s="18"/>
      <c r="H1769" s="58"/>
      <c r="I1769" s="16"/>
      <c r="J1769" s="14" t="s">
        <v>23</v>
      </c>
      <c r="K1769" s="34"/>
      <c r="L1769" s="34"/>
      <c r="M1769" s="34"/>
      <c r="N1769" s="34"/>
      <c r="O1769" s="34"/>
      <c r="P1769" s="34"/>
      <c r="Q1769" s="34"/>
      <c r="R1769" s="34"/>
    </row>
    <row r="1770" spans="1:18" ht="15" customHeight="1">
      <c r="A1770" s="12">
        <v>723</v>
      </c>
      <c r="B1770" s="13" t="s">
        <v>2737</v>
      </c>
      <c r="C1770" s="14"/>
      <c r="D1770" s="14" t="s">
        <v>2738</v>
      </c>
      <c r="E1770" s="22" t="s">
        <v>2430</v>
      </c>
      <c r="F1770" s="15" t="s">
        <v>22</v>
      </c>
      <c r="G1770" s="21"/>
      <c r="H1770" s="58"/>
      <c r="I1770" s="14"/>
      <c r="J1770" s="14" t="s">
        <v>23</v>
      </c>
      <c r="K1770" s="14"/>
      <c r="L1770" s="14"/>
      <c r="M1770" s="14" t="s">
        <v>1819</v>
      </c>
      <c r="N1770" s="25" t="s">
        <v>37</v>
      </c>
      <c r="O1770" s="14" t="s">
        <v>80</v>
      </c>
      <c r="P1770" s="14"/>
      <c r="Q1770" s="14"/>
      <c r="R1770" s="14" t="s">
        <v>1820</v>
      </c>
    </row>
    <row r="1771" spans="1:18" ht="15" customHeight="1">
      <c r="A1771" s="12">
        <v>2186</v>
      </c>
      <c r="B1771" s="13" t="s">
        <v>2739</v>
      </c>
      <c r="C1771" s="31"/>
      <c r="D1771" s="16">
        <v>589</v>
      </c>
      <c r="E1771" s="22" t="s">
        <v>2430</v>
      </c>
      <c r="F1771" s="15" t="s">
        <v>22</v>
      </c>
      <c r="G1771" s="18"/>
      <c r="H1771" s="58">
        <v>1</v>
      </c>
      <c r="I1771" s="16"/>
      <c r="J1771" s="14" t="s">
        <v>23</v>
      </c>
      <c r="K1771" s="34"/>
      <c r="L1771" s="34"/>
      <c r="M1771" s="34"/>
      <c r="N1771" s="34"/>
      <c r="O1771" s="34"/>
      <c r="P1771" s="34"/>
      <c r="Q1771" s="34"/>
      <c r="R1771" s="34"/>
    </row>
    <row r="1772" spans="1:18" ht="15" customHeight="1">
      <c r="A1772" s="12">
        <v>724</v>
      </c>
      <c r="B1772" s="13" t="s">
        <v>2740</v>
      </c>
      <c r="C1772" s="14"/>
      <c r="D1772" s="14" t="s">
        <v>2741</v>
      </c>
      <c r="E1772" s="22" t="s">
        <v>2430</v>
      </c>
      <c r="F1772" s="15" t="s">
        <v>22</v>
      </c>
      <c r="G1772" s="21"/>
      <c r="H1772" s="58"/>
      <c r="I1772" s="14"/>
      <c r="J1772" s="14" t="s">
        <v>23</v>
      </c>
      <c r="K1772" s="14"/>
      <c r="L1772" s="14"/>
      <c r="M1772" s="14" t="s">
        <v>1819</v>
      </c>
      <c r="N1772" s="25" t="s">
        <v>37</v>
      </c>
      <c r="O1772" s="14" t="s">
        <v>335</v>
      </c>
      <c r="P1772" s="14"/>
      <c r="Q1772" s="14"/>
      <c r="R1772" s="14" t="s">
        <v>1820</v>
      </c>
    </row>
    <row r="1773" spans="1:18" ht="15" customHeight="1">
      <c r="A1773" s="12">
        <v>1441</v>
      </c>
      <c r="B1773" s="13" t="s">
        <v>2742</v>
      </c>
      <c r="C1773" s="14"/>
      <c r="D1773" s="14" t="s">
        <v>2741</v>
      </c>
      <c r="E1773" s="22" t="s">
        <v>2430</v>
      </c>
      <c r="F1773" s="15" t="s">
        <v>22</v>
      </c>
      <c r="G1773" s="21"/>
      <c r="H1773" s="58">
        <v>3</v>
      </c>
      <c r="I1773" s="14"/>
      <c r="J1773" s="14" t="s">
        <v>23</v>
      </c>
      <c r="K1773" s="14"/>
      <c r="L1773" s="14"/>
      <c r="M1773" s="14" t="s">
        <v>2651</v>
      </c>
      <c r="N1773" s="25" t="s">
        <v>37</v>
      </c>
      <c r="O1773" s="14" t="s">
        <v>2743</v>
      </c>
      <c r="P1773" s="14"/>
      <c r="Q1773" s="14"/>
      <c r="R1773" s="14" t="s">
        <v>2652</v>
      </c>
    </row>
    <row r="1774" spans="1:18" ht="15" customHeight="1">
      <c r="A1774" s="12">
        <v>2187</v>
      </c>
      <c r="B1774" s="13" t="s">
        <v>2744</v>
      </c>
      <c r="C1774" s="31"/>
      <c r="D1774" s="16">
        <v>590</v>
      </c>
      <c r="E1774" s="22" t="s">
        <v>2430</v>
      </c>
      <c r="F1774" s="15" t="s">
        <v>22</v>
      </c>
      <c r="G1774" s="18"/>
      <c r="H1774" s="58">
        <v>4</v>
      </c>
      <c r="I1774" s="16"/>
      <c r="J1774" s="14" t="s">
        <v>23</v>
      </c>
      <c r="K1774" s="34"/>
      <c r="L1774" s="34"/>
      <c r="M1774" s="34"/>
      <c r="N1774" s="34"/>
      <c r="O1774" s="34"/>
      <c r="P1774" s="34"/>
      <c r="Q1774" s="34"/>
      <c r="R1774" s="34"/>
    </row>
    <row r="1775" spans="1:18" ht="15" customHeight="1">
      <c r="A1775" s="12">
        <v>725</v>
      </c>
      <c r="B1775" s="13" t="s">
        <v>2745</v>
      </c>
      <c r="C1775" s="14"/>
      <c r="D1775" s="14" t="s">
        <v>2746</v>
      </c>
      <c r="E1775" s="22" t="s">
        <v>2430</v>
      </c>
      <c r="F1775" s="15" t="s">
        <v>22</v>
      </c>
      <c r="G1775" s="21"/>
      <c r="H1775" s="58"/>
      <c r="I1775" s="14"/>
      <c r="J1775" s="14" t="s">
        <v>23</v>
      </c>
      <c r="K1775" s="14"/>
      <c r="L1775" s="14"/>
      <c r="M1775" s="14" t="s">
        <v>1819</v>
      </c>
      <c r="N1775" s="25" t="s">
        <v>37</v>
      </c>
      <c r="O1775" s="14" t="s">
        <v>179</v>
      </c>
      <c r="P1775" s="14"/>
      <c r="Q1775" s="14"/>
      <c r="R1775" s="14" t="s">
        <v>1820</v>
      </c>
    </row>
    <row r="1776" spans="1:18" ht="15" customHeight="1">
      <c r="A1776" s="12">
        <v>1442</v>
      </c>
      <c r="B1776" s="13" t="s">
        <v>2747</v>
      </c>
      <c r="C1776" s="14"/>
      <c r="D1776" s="14" t="s">
        <v>2746</v>
      </c>
      <c r="E1776" s="22" t="s">
        <v>2430</v>
      </c>
      <c r="F1776" s="15" t="s">
        <v>22</v>
      </c>
      <c r="G1776" s="21"/>
      <c r="H1776" s="58">
        <v>1</v>
      </c>
      <c r="I1776" s="14"/>
      <c r="J1776" s="14" t="s">
        <v>23</v>
      </c>
      <c r="K1776" s="14"/>
      <c r="L1776" s="14"/>
      <c r="M1776" s="14" t="s">
        <v>2651</v>
      </c>
      <c r="N1776" s="25" t="s">
        <v>37</v>
      </c>
      <c r="O1776" s="14" t="s">
        <v>2748</v>
      </c>
      <c r="P1776" s="14"/>
      <c r="Q1776" s="14"/>
      <c r="R1776" s="14" t="s">
        <v>2652</v>
      </c>
    </row>
    <row r="1777" spans="1:1027" ht="15" customHeight="1">
      <c r="A1777" s="12">
        <v>2188</v>
      </c>
      <c r="B1777" s="13" t="s">
        <v>2749</v>
      </c>
      <c r="C1777" s="31"/>
      <c r="D1777" s="16">
        <v>591</v>
      </c>
      <c r="E1777" s="22" t="s">
        <v>2430</v>
      </c>
      <c r="F1777" s="15" t="s">
        <v>22</v>
      </c>
      <c r="G1777" s="18"/>
      <c r="H1777" s="58">
        <v>3</v>
      </c>
      <c r="I1777" s="16"/>
      <c r="J1777" s="14" t="s">
        <v>23</v>
      </c>
      <c r="K1777" s="34"/>
      <c r="L1777" s="34"/>
      <c r="M1777" s="34"/>
      <c r="N1777" s="34"/>
      <c r="O1777" s="34"/>
      <c r="P1777" s="34"/>
      <c r="Q1777" s="34"/>
      <c r="R1777" s="34"/>
    </row>
    <row r="1778" spans="1:1027" ht="15" customHeight="1">
      <c r="A1778" s="12">
        <v>726</v>
      </c>
      <c r="B1778" s="13" t="s">
        <v>2750</v>
      </c>
      <c r="C1778" s="14"/>
      <c r="D1778" s="14" t="s">
        <v>2751</v>
      </c>
      <c r="E1778" s="22" t="s">
        <v>2430</v>
      </c>
      <c r="F1778" s="15" t="s">
        <v>22</v>
      </c>
      <c r="G1778" s="21"/>
      <c r="H1778" s="58"/>
      <c r="I1778" s="14"/>
      <c r="J1778" s="14" t="s">
        <v>23</v>
      </c>
      <c r="K1778" s="14"/>
      <c r="L1778" s="14"/>
      <c r="M1778" s="14" t="s">
        <v>1819</v>
      </c>
      <c r="N1778" s="14" t="s">
        <v>25</v>
      </c>
      <c r="O1778" s="14"/>
      <c r="P1778" s="14"/>
      <c r="Q1778" s="14"/>
      <c r="R1778" s="14" t="s">
        <v>1820</v>
      </c>
    </row>
    <row r="1779" spans="1:1027" ht="15" customHeight="1">
      <c r="A1779" s="12">
        <v>1443</v>
      </c>
      <c r="B1779" s="13" t="s">
        <v>2752</v>
      </c>
      <c r="C1779" s="14"/>
      <c r="D1779" s="14" t="s">
        <v>2751</v>
      </c>
      <c r="E1779" s="22" t="s">
        <v>2430</v>
      </c>
      <c r="F1779" s="15" t="s">
        <v>22</v>
      </c>
      <c r="G1779" s="21"/>
      <c r="H1779" s="58">
        <v>1</v>
      </c>
      <c r="I1779" s="14"/>
      <c r="J1779" s="14" t="s">
        <v>23</v>
      </c>
      <c r="K1779" s="14"/>
      <c r="L1779" s="14"/>
      <c r="M1779" s="14" t="s">
        <v>2651</v>
      </c>
      <c r="N1779" s="14" t="s">
        <v>25</v>
      </c>
      <c r="O1779" s="14"/>
      <c r="P1779" s="14"/>
      <c r="Q1779" s="14"/>
      <c r="R1779" s="14" t="s">
        <v>2652</v>
      </c>
    </row>
    <row r="1780" spans="1:1027" ht="15" customHeight="1">
      <c r="A1780" s="12">
        <v>2189</v>
      </c>
      <c r="B1780" s="13" t="s">
        <v>2753</v>
      </c>
      <c r="C1780" s="31"/>
      <c r="D1780" s="16">
        <v>592</v>
      </c>
      <c r="E1780" s="22" t="s">
        <v>2430</v>
      </c>
      <c r="F1780" s="15" t="s">
        <v>22</v>
      </c>
      <c r="G1780" s="18"/>
      <c r="H1780" s="58"/>
      <c r="I1780" s="16"/>
      <c r="J1780" s="14" t="s">
        <v>23</v>
      </c>
      <c r="K1780" s="34"/>
      <c r="L1780" s="34"/>
      <c r="M1780" s="34"/>
      <c r="N1780" s="34"/>
      <c r="O1780" s="34"/>
      <c r="P1780" s="34"/>
      <c r="Q1780" s="34"/>
      <c r="R1780" s="34"/>
    </row>
    <row r="1781" spans="1:1027" ht="15" customHeight="1">
      <c r="A1781" s="12">
        <v>20</v>
      </c>
      <c r="B1781" s="13" t="s">
        <v>2754</v>
      </c>
      <c r="C1781" s="14"/>
      <c r="D1781" s="14" t="s">
        <v>2755</v>
      </c>
      <c r="E1781" s="22" t="s">
        <v>2430</v>
      </c>
      <c r="F1781" s="15" t="s">
        <v>22</v>
      </c>
      <c r="G1781" s="14"/>
      <c r="H1781" s="58"/>
      <c r="I1781" s="14"/>
      <c r="J1781" s="14" t="s">
        <v>23</v>
      </c>
      <c r="K1781" s="15"/>
      <c r="L1781" s="15"/>
      <c r="M1781" s="14" t="s">
        <v>24</v>
      </c>
      <c r="N1781" s="14" t="s">
        <v>25</v>
      </c>
      <c r="O1781" s="14"/>
      <c r="P1781" s="14"/>
      <c r="Q1781" s="14"/>
      <c r="R1781" s="17">
        <v>43599</v>
      </c>
      <c r="S1781" s="12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  <c r="HY1781" s="3"/>
      <c r="HZ1781" s="3"/>
      <c r="IA1781" s="3"/>
      <c r="IB1781" s="3"/>
      <c r="IC1781" s="3"/>
      <c r="ID1781" s="3"/>
      <c r="IE1781" s="3"/>
      <c r="IF1781" s="3"/>
      <c r="IG1781" s="3"/>
      <c r="IH1781" s="3"/>
      <c r="II1781" s="3"/>
      <c r="IJ1781" s="3"/>
      <c r="IK1781" s="3"/>
      <c r="IL1781" s="3"/>
      <c r="IM1781" s="3"/>
      <c r="IN1781" s="3"/>
      <c r="IO1781" s="3"/>
      <c r="IP1781" s="3"/>
      <c r="IQ1781" s="3"/>
      <c r="IR1781" s="3"/>
      <c r="IS1781" s="3"/>
      <c r="IT1781" s="3"/>
      <c r="IU1781" s="3"/>
      <c r="IV1781" s="3"/>
      <c r="IW1781" s="3"/>
      <c r="IX1781" s="3"/>
      <c r="IY1781" s="3"/>
      <c r="IZ1781" s="3"/>
      <c r="JA1781" s="3"/>
      <c r="JB1781" s="3"/>
      <c r="JC1781" s="3"/>
      <c r="JD1781" s="3"/>
      <c r="JE1781" s="3"/>
      <c r="JF1781" s="3"/>
      <c r="JG1781" s="3"/>
      <c r="JH1781" s="3"/>
      <c r="JI1781" s="3"/>
      <c r="JJ1781" s="3"/>
      <c r="JK1781" s="3"/>
      <c r="JL1781" s="3"/>
      <c r="JM1781" s="3"/>
      <c r="JN1781" s="3"/>
      <c r="JO1781" s="3"/>
      <c r="JP1781" s="3"/>
      <c r="JQ1781" s="3"/>
      <c r="JR1781" s="3"/>
      <c r="JS1781" s="3"/>
      <c r="JT1781" s="3"/>
      <c r="JU1781" s="3"/>
      <c r="JV1781" s="3"/>
      <c r="JW1781" s="3"/>
      <c r="JX1781" s="3"/>
      <c r="JY1781" s="3"/>
      <c r="JZ1781" s="3"/>
      <c r="KA1781" s="3"/>
      <c r="KB1781" s="3"/>
      <c r="KC1781" s="3"/>
      <c r="KD1781" s="3"/>
      <c r="KE1781" s="3"/>
      <c r="KF1781" s="3"/>
      <c r="KG1781" s="3"/>
      <c r="KH1781" s="3"/>
      <c r="KI1781" s="3"/>
      <c r="KJ1781" s="3"/>
      <c r="KK1781" s="3"/>
      <c r="KL1781" s="3"/>
      <c r="KM1781" s="3"/>
      <c r="KN1781" s="3"/>
      <c r="KO1781" s="3"/>
      <c r="KP1781" s="3"/>
      <c r="KQ1781" s="3"/>
      <c r="KR1781" s="3"/>
      <c r="KS1781" s="3"/>
      <c r="KT1781" s="3"/>
      <c r="KU1781" s="3"/>
      <c r="KV1781" s="3"/>
      <c r="KW1781" s="3"/>
      <c r="KX1781" s="3"/>
      <c r="KY1781" s="3"/>
      <c r="KZ1781" s="3"/>
      <c r="LA1781" s="3"/>
      <c r="LB1781" s="3"/>
      <c r="LC1781" s="3"/>
      <c r="LD1781" s="3"/>
      <c r="LE1781" s="3"/>
      <c r="LF1781" s="3"/>
      <c r="LG1781" s="3"/>
      <c r="LH1781" s="3"/>
      <c r="LI1781" s="3"/>
      <c r="LJ1781" s="3"/>
      <c r="LK1781" s="3"/>
      <c r="LL1781" s="3"/>
      <c r="LM1781" s="3"/>
      <c r="LN1781" s="3"/>
      <c r="LO1781" s="3"/>
      <c r="LP1781" s="3"/>
      <c r="LQ1781" s="3"/>
      <c r="LR1781" s="3"/>
      <c r="LS1781" s="3"/>
      <c r="LT1781" s="3"/>
      <c r="LU1781" s="3"/>
      <c r="LV1781" s="3"/>
      <c r="LW1781" s="3"/>
      <c r="LX1781" s="3"/>
      <c r="LY1781" s="3"/>
      <c r="LZ1781" s="3"/>
      <c r="MA1781" s="3"/>
      <c r="MB1781" s="3"/>
      <c r="MC1781" s="3"/>
      <c r="MD1781" s="3"/>
      <c r="ME1781" s="3"/>
      <c r="MF1781" s="3"/>
      <c r="MG1781" s="3"/>
      <c r="MH1781" s="3"/>
      <c r="MI1781" s="3"/>
      <c r="MJ1781" s="3"/>
      <c r="MK1781" s="3"/>
      <c r="ML1781" s="3"/>
      <c r="MM1781" s="3"/>
      <c r="MN1781" s="3"/>
      <c r="MO1781" s="3"/>
      <c r="MP1781" s="3"/>
      <c r="MQ1781" s="3"/>
      <c r="MR1781" s="3"/>
      <c r="MS1781" s="3"/>
      <c r="MT1781" s="3"/>
      <c r="MU1781" s="3"/>
      <c r="MV1781" s="3"/>
      <c r="MW1781" s="3"/>
      <c r="MX1781" s="3"/>
      <c r="MY1781" s="3"/>
      <c r="MZ1781" s="3"/>
      <c r="NA1781" s="3"/>
      <c r="NB1781" s="3"/>
      <c r="NC1781" s="3"/>
      <c r="ND1781" s="3"/>
      <c r="NE1781" s="3"/>
      <c r="NF1781" s="3"/>
      <c r="NG1781" s="3"/>
      <c r="NH1781" s="3"/>
      <c r="NI1781" s="3"/>
      <c r="NJ1781" s="3"/>
      <c r="NK1781" s="3"/>
      <c r="NL1781" s="3"/>
      <c r="NM1781" s="3"/>
      <c r="NN1781" s="3"/>
      <c r="NO1781" s="3"/>
      <c r="NP1781" s="3"/>
      <c r="NQ1781" s="3"/>
      <c r="NR1781" s="3"/>
      <c r="NS1781" s="3"/>
      <c r="NT1781" s="3"/>
      <c r="NU1781" s="3"/>
      <c r="NV1781" s="3"/>
      <c r="NW1781" s="3"/>
      <c r="NX1781" s="3"/>
      <c r="NY1781" s="3"/>
      <c r="NZ1781" s="3"/>
      <c r="OA1781" s="3"/>
      <c r="OB1781" s="3"/>
      <c r="OC1781" s="3"/>
      <c r="OD1781" s="3"/>
      <c r="OE1781" s="3"/>
      <c r="OF1781" s="3"/>
      <c r="OG1781" s="3"/>
      <c r="OH1781" s="3"/>
      <c r="OI1781" s="3"/>
      <c r="OJ1781" s="3"/>
      <c r="OK1781" s="3"/>
      <c r="OL1781" s="3"/>
      <c r="OM1781" s="3"/>
      <c r="ON1781" s="3"/>
      <c r="OO1781" s="3"/>
      <c r="OP1781" s="3"/>
      <c r="OQ1781" s="3"/>
      <c r="OR1781" s="3"/>
      <c r="OS1781" s="3"/>
      <c r="OT1781" s="3"/>
      <c r="OU1781" s="3"/>
      <c r="OV1781" s="3"/>
      <c r="OW1781" s="3"/>
      <c r="OX1781" s="3"/>
      <c r="OY1781" s="3"/>
      <c r="OZ1781" s="3"/>
      <c r="PA1781" s="3"/>
      <c r="PB1781" s="3"/>
      <c r="PC1781" s="3"/>
      <c r="PD1781" s="3"/>
      <c r="PE1781" s="3"/>
      <c r="PF1781" s="3"/>
      <c r="PG1781" s="3"/>
      <c r="PH1781" s="3"/>
      <c r="PI1781" s="3"/>
      <c r="PJ1781" s="3"/>
      <c r="PK1781" s="3"/>
      <c r="PL1781" s="3"/>
      <c r="PM1781" s="3"/>
      <c r="PN1781" s="3"/>
      <c r="PO1781" s="3"/>
      <c r="PP1781" s="3"/>
      <c r="PQ1781" s="3"/>
      <c r="PR1781" s="3"/>
      <c r="PS1781" s="3"/>
      <c r="PT1781" s="3"/>
      <c r="PU1781" s="3"/>
      <c r="PV1781" s="3"/>
      <c r="PW1781" s="3"/>
      <c r="PX1781" s="3"/>
      <c r="PY1781" s="3"/>
      <c r="PZ1781" s="3"/>
      <c r="QA1781" s="3"/>
      <c r="QB1781" s="3"/>
      <c r="QC1781" s="3"/>
      <c r="QD1781" s="3"/>
      <c r="QE1781" s="3"/>
      <c r="QF1781" s="3"/>
      <c r="QG1781" s="3"/>
      <c r="QH1781" s="3"/>
      <c r="QI1781" s="3"/>
      <c r="QJ1781" s="3"/>
      <c r="QK1781" s="3"/>
      <c r="QL1781" s="3"/>
      <c r="QM1781" s="3"/>
      <c r="QN1781" s="3"/>
      <c r="QO1781" s="3"/>
      <c r="QP1781" s="3"/>
      <c r="QQ1781" s="3"/>
      <c r="QR1781" s="3"/>
      <c r="QS1781" s="3"/>
      <c r="QT1781" s="3"/>
      <c r="QU1781" s="3"/>
      <c r="QV1781" s="3"/>
      <c r="QW1781" s="3"/>
      <c r="QX1781" s="3"/>
      <c r="QY1781" s="3"/>
      <c r="QZ1781" s="3"/>
      <c r="RA1781" s="3"/>
      <c r="RB1781" s="3"/>
      <c r="RC1781" s="3"/>
      <c r="RD1781" s="3"/>
      <c r="RE1781" s="3"/>
      <c r="RF1781" s="3"/>
      <c r="RG1781" s="3"/>
      <c r="RH1781" s="3"/>
      <c r="RI1781" s="3"/>
      <c r="RJ1781" s="3"/>
      <c r="RK1781" s="3"/>
      <c r="RL1781" s="3"/>
      <c r="RM1781" s="3"/>
      <c r="RN1781" s="3"/>
      <c r="RO1781" s="3"/>
      <c r="RP1781" s="3"/>
      <c r="RQ1781" s="3"/>
      <c r="RR1781" s="3"/>
      <c r="RS1781" s="3"/>
      <c r="RT1781" s="3"/>
      <c r="RU1781" s="3"/>
      <c r="RV1781" s="3"/>
      <c r="RW1781" s="3"/>
      <c r="RX1781" s="3"/>
      <c r="RY1781" s="3"/>
      <c r="RZ1781" s="3"/>
      <c r="SA1781" s="3"/>
      <c r="SB1781" s="3"/>
      <c r="SC1781" s="3"/>
      <c r="SD1781" s="3"/>
      <c r="SE1781" s="3"/>
      <c r="SF1781" s="3"/>
      <c r="SG1781" s="3"/>
      <c r="SH1781" s="3"/>
      <c r="SI1781" s="3"/>
      <c r="SJ1781" s="3"/>
      <c r="SK1781" s="3"/>
      <c r="SL1781" s="3"/>
      <c r="SM1781" s="3"/>
      <c r="SN1781" s="3"/>
      <c r="SO1781" s="3"/>
      <c r="SP1781" s="3"/>
      <c r="SQ1781" s="3"/>
      <c r="SR1781" s="3"/>
      <c r="SS1781" s="3"/>
      <c r="ST1781" s="3"/>
      <c r="SU1781" s="3"/>
      <c r="SV1781" s="3"/>
      <c r="SW1781" s="3"/>
      <c r="SX1781" s="3"/>
      <c r="SY1781" s="3"/>
      <c r="SZ1781" s="3"/>
      <c r="TA1781" s="3"/>
      <c r="TB1781" s="3"/>
      <c r="TC1781" s="3"/>
      <c r="TD1781" s="3"/>
      <c r="TE1781" s="3"/>
      <c r="TF1781" s="3"/>
      <c r="TG1781" s="3"/>
      <c r="TH1781" s="3"/>
      <c r="TI1781" s="3"/>
      <c r="TJ1781" s="3"/>
      <c r="TK1781" s="3"/>
      <c r="TL1781" s="3"/>
      <c r="TM1781" s="3"/>
      <c r="TN1781" s="3"/>
      <c r="TO1781" s="3"/>
      <c r="TP1781" s="3"/>
      <c r="TQ1781" s="3"/>
      <c r="TR1781" s="3"/>
      <c r="TS1781" s="3"/>
      <c r="TT1781" s="3"/>
      <c r="TU1781" s="3"/>
      <c r="TV1781" s="3"/>
      <c r="TW1781" s="3"/>
      <c r="TX1781" s="3"/>
      <c r="TY1781" s="3"/>
      <c r="TZ1781" s="3"/>
      <c r="UA1781" s="3"/>
      <c r="UB1781" s="3"/>
      <c r="UC1781" s="3"/>
      <c r="UD1781" s="3"/>
      <c r="UE1781" s="3"/>
      <c r="UF1781" s="3"/>
      <c r="UG1781" s="3"/>
      <c r="UH1781" s="3"/>
      <c r="UI1781" s="3"/>
      <c r="UJ1781" s="3"/>
      <c r="UK1781" s="3"/>
      <c r="UL1781" s="3"/>
      <c r="UM1781" s="3"/>
      <c r="UN1781" s="3"/>
      <c r="UO1781" s="3"/>
      <c r="UP1781" s="3"/>
      <c r="UQ1781" s="3"/>
      <c r="UR1781" s="3"/>
      <c r="US1781" s="3"/>
      <c r="UT1781" s="3"/>
      <c r="UU1781" s="3"/>
      <c r="UV1781" s="3"/>
      <c r="UW1781" s="3"/>
      <c r="UX1781" s="3"/>
      <c r="UY1781" s="3"/>
      <c r="UZ1781" s="3"/>
      <c r="VA1781" s="3"/>
      <c r="VB1781" s="3"/>
      <c r="VC1781" s="3"/>
      <c r="VD1781" s="3"/>
      <c r="VE1781" s="3"/>
      <c r="VF1781" s="3"/>
      <c r="VG1781" s="3"/>
      <c r="VH1781" s="3"/>
      <c r="VI1781" s="3"/>
      <c r="VJ1781" s="3"/>
      <c r="VK1781" s="3"/>
      <c r="VL1781" s="3"/>
      <c r="VM1781" s="3"/>
      <c r="VN1781" s="3"/>
      <c r="VO1781" s="3"/>
      <c r="VP1781" s="3"/>
      <c r="VQ1781" s="3"/>
      <c r="VR1781" s="3"/>
      <c r="VS1781" s="3"/>
      <c r="VT1781" s="3"/>
      <c r="VU1781" s="3"/>
      <c r="VV1781" s="3"/>
      <c r="VW1781" s="3"/>
      <c r="VX1781" s="3"/>
      <c r="VY1781" s="3"/>
      <c r="VZ1781" s="3"/>
      <c r="WA1781" s="3"/>
      <c r="WB1781" s="3"/>
      <c r="WC1781" s="3"/>
      <c r="WD1781" s="3"/>
      <c r="WE1781" s="3"/>
      <c r="WF1781" s="3"/>
      <c r="WG1781" s="3"/>
      <c r="WH1781" s="3"/>
      <c r="WI1781" s="3"/>
      <c r="WJ1781" s="3"/>
      <c r="WK1781" s="3"/>
      <c r="WL1781" s="3"/>
      <c r="WM1781" s="3"/>
      <c r="WN1781" s="3"/>
      <c r="WO1781" s="3"/>
      <c r="WP1781" s="3"/>
      <c r="WQ1781" s="3"/>
      <c r="WR1781" s="3"/>
      <c r="WS1781" s="3"/>
      <c r="WT1781" s="3"/>
      <c r="WU1781" s="3"/>
      <c r="WV1781" s="3"/>
      <c r="WW1781" s="3"/>
      <c r="WX1781" s="3"/>
      <c r="WY1781" s="3"/>
      <c r="WZ1781" s="3"/>
      <c r="XA1781" s="3"/>
      <c r="XB1781" s="3"/>
      <c r="XC1781" s="3"/>
      <c r="XD1781" s="3"/>
      <c r="XE1781" s="3"/>
      <c r="XF1781" s="3"/>
      <c r="XG1781" s="3"/>
      <c r="XH1781" s="3"/>
      <c r="XI1781" s="3"/>
      <c r="XJ1781" s="3"/>
      <c r="XK1781" s="3"/>
      <c r="XL1781" s="3"/>
      <c r="XM1781" s="3"/>
      <c r="XN1781" s="3"/>
      <c r="XO1781" s="3"/>
      <c r="XP1781" s="3"/>
      <c r="XQ1781" s="3"/>
      <c r="XR1781" s="3"/>
      <c r="XS1781" s="3"/>
      <c r="XT1781" s="3"/>
      <c r="XU1781" s="3"/>
      <c r="XV1781" s="3"/>
      <c r="XW1781" s="3"/>
      <c r="XX1781" s="3"/>
      <c r="XY1781" s="3"/>
      <c r="XZ1781" s="3"/>
      <c r="YA1781" s="3"/>
      <c r="YB1781" s="3"/>
      <c r="YC1781" s="3"/>
      <c r="YD1781" s="3"/>
      <c r="YE1781" s="3"/>
      <c r="YF1781" s="3"/>
      <c r="YG1781" s="3"/>
      <c r="YH1781" s="3"/>
      <c r="YI1781" s="3"/>
      <c r="YJ1781" s="3"/>
      <c r="YK1781" s="3"/>
      <c r="YL1781" s="3"/>
      <c r="YM1781" s="3"/>
      <c r="YN1781" s="3"/>
      <c r="YO1781" s="3"/>
      <c r="YP1781" s="3"/>
      <c r="YQ1781" s="3"/>
      <c r="YR1781" s="3"/>
      <c r="YS1781" s="3"/>
      <c r="YT1781" s="3"/>
      <c r="YU1781" s="3"/>
      <c r="YV1781" s="3"/>
      <c r="YW1781" s="3"/>
      <c r="YX1781" s="3"/>
      <c r="YY1781" s="3"/>
      <c r="YZ1781" s="3"/>
      <c r="ZA1781" s="3"/>
      <c r="ZB1781" s="3"/>
      <c r="ZC1781" s="3"/>
      <c r="ZD1781" s="3"/>
      <c r="ZE1781" s="3"/>
      <c r="ZF1781" s="3"/>
      <c r="ZG1781" s="3"/>
      <c r="ZH1781" s="3"/>
      <c r="ZI1781" s="3"/>
      <c r="ZJ1781" s="3"/>
      <c r="ZK1781" s="3"/>
      <c r="ZL1781" s="3"/>
      <c r="ZM1781" s="3"/>
      <c r="ZN1781" s="3"/>
      <c r="ZO1781" s="3"/>
      <c r="ZP1781" s="3"/>
      <c r="ZQ1781" s="3"/>
      <c r="ZR1781" s="3"/>
      <c r="ZS1781" s="3"/>
      <c r="ZT1781" s="3"/>
      <c r="ZU1781" s="3"/>
      <c r="ZV1781" s="3"/>
      <c r="ZW1781" s="3"/>
      <c r="ZX1781" s="3"/>
      <c r="ZY1781" s="3"/>
      <c r="ZZ1781" s="3"/>
      <c r="AAA1781" s="3"/>
      <c r="AAB1781" s="3"/>
      <c r="AAC1781" s="3"/>
      <c r="AAD1781" s="3"/>
      <c r="AAE1781" s="3"/>
      <c r="AAF1781" s="3"/>
      <c r="AAG1781" s="3"/>
      <c r="AAH1781" s="3"/>
      <c r="AAI1781" s="3"/>
      <c r="AAJ1781" s="3"/>
      <c r="AAK1781" s="3"/>
      <c r="AAL1781" s="3"/>
      <c r="AAM1781" s="3"/>
      <c r="AAN1781" s="3"/>
      <c r="AAO1781" s="3"/>
      <c r="AAP1781" s="3"/>
      <c r="AAQ1781" s="3"/>
      <c r="AAR1781" s="3"/>
      <c r="AAS1781" s="3"/>
      <c r="AAT1781" s="3"/>
      <c r="AAU1781" s="3"/>
      <c r="AAV1781" s="3"/>
      <c r="AAW1781" s="3"/>
      <c r="AAX1781" s="3"/>
      <c r="AAY1781" s="3"/>
      <c r="AAZ1781" s="3"/>
      <c r="ABA1781" s="3"/>
      <c r="ABB1781" s="3"/>
      <c r="ABC1781" s="3"/>
      <c r="ABD1781" s="3"/>
      <c r="ABE1781" s="3"/>
      <c r="ABF1781" s="3"/>
      <c r="ABG1781" s="3"/>
      <c r="ABH1781" s="3"/>
      <c r="ABI1781" s="3"/>
      <c r="ABJ1781" s="3"/>
      <c r="ABK1781" s="3"/>
      <c r="ABL1781" s="3"/>
      <c r="ABM1781" s="3"/>
      <c r="ABN1781" s="3"/>
      <c r="ABO1781" s="3"/>
      <c r="ABP1781" s="3"/>
      <c r="ABQ1781" s="3"/>
      <c r="ABR1781" s="3"/>
      <c r="ABS1781" s="3"/>
      <c r="ABT1781" s="3"/>
      <c r="ABU1781" s="3"/>
      <c r="ABV1781" s="3"/>
      <c r="ABW1781" s="3"/>
      <c r="ABX1781" s="3"/>
      <c r="ABY1781" s="3"/>
      <c r="ABZ1781" s="3"/>
      <c r="ACA1781" s="3"/>
      <c r="ACB1781" s="3"/>
      <c r="ACC1781" s="3"/>
      <c r="ACD1781" s="3"/>
      <c r="ACE1781" s="3"/>
      <c r="ACF1781" s="3"/>
      <c r="ACG1781" s="3"/>
      <c r="ACH1781" s="3"/>
      <c r="ACI1781" s="3"/>
      <c r="ACJ1781" s="3"/>
      <c r="ACK1781" s="3"/>
      <c r="ACL1781" s="3"/>
      <c r="ACM1781" s="3"/>
      <c r="ACN1781" s="3"/>
      <c r="ACO1781" s="3"/>
      <c r="ACP1781" s="3"/>
      <c r="ACQ1781" s="3"/>
      <c r="ACR1781" s="3"/>
      <c r="ACS1781" s="3"/>
      <c r="ACT1781" s="3"/>
      <c r="ACU1781" s="3"/>
      <c r="ACV1781" s="3"/>
      <c r="ACW1781" s="3"/>
      <c r="ACX1781" s="3"/>
      <c r="ACY1781" s="3"/>
      <c r="ACZ1781" s="3"/>
      <c r="ADA1781" s="3"/>
      <c r="ADB1781" s="3"/>
      <c r="ADC1781" s="3"/>
      <c r="ADD1781" s="3"/>
      <c r="ADE1781" s="3"/>
      <c r="ADF1781" s="3"/>
      <c r="ADG1781" s="3"/>
      <c r="ADH1781" s="3"/>
      <c r="ADI1781" s="3"/>
      <c r="ADJ1781" s="3"/>
      <c r="ADK1781" s="3"/>
      <c r="ADL1781" s="3"/>
      <c r="ADM1781" s="3"/>
      <c r="ADN1781" s="3"/>
      <c r="ADO1781" s="3"/>
      <c r="ADP1781" s="3"/>
      <c r="ADQ1781" s="3"/>
      <c r="ADR1781" s="3"/>
      <c r="ADS1781" s="3"/>
      <c r="ADT1781" s="3"/>
      <c r="ADU1781" s="3"/>
      <c r="ADV1781" s="3"/>
      <c r="ADW1781" s="3"/>
      <c r="ADX1781" s="3"/>
      <c r="ADY1781" s="3"/>
      <c r="ADZ1781" s="3"/>
      <c r="AEA1781" s="3"/>
      <c r="AEB1781" s="3"/>
      <c r="AEC1781" s="3"/>
      <c r="AED1781" s="3"/>
      <c r="AEE1781" s="3"/>
      <c r="AEF1781" s="3"/>
      <c r="AEG1781" s="3"/>
      <c r="AEH1781" s="3"/>
      <c r="AEI1781" s="3"/>
      <c r="AEJ1781" s="3"/>
      <c r="AEK1781" s="3"/>
      <c r="AEL1781" s="3"/>
      <c r="AEM1781" s="3"/>
      <c r="AEN1781" s="3"/>
      <c r="AEO1781" s="3"/>
      <c r="AEP1781" s="3"/>
      <c r="AEQ1781" s="3"/>
      <c r="AER1781" s="3"/>
      <c r="AES1781" s="3"/>
      <c r="AET1781" s="3"/>
      <c r="AEU1781" s="3"/>
      <c r="AEV1781" s="3"/>
      <c r="AEW1781" s="3"/>
      <c r="AEX1781" s="3"/>
      <c r="AEY1781" s="3"/>
      <c r="AEZ1781" s="3"/>
      <c r="AFA1781" s="3"/>
      <c r="AFB1781" s="3"/>
      <c r="AFC1781" s="3"/>
      <c r="AFD1781" s="3"/>
      <c r="AFE1781" s="3"/>
      <c r="AFF1781" s="3"/>
      <c r="AFG1781" s="3"/>
      <c r="AFH1781" s="3"/>
      <c r="AFI1781" s="3"/>
      <c r="AFJ1781" s="3"/>
      <c r="AFK1781" s="3"/>
      <c r="AFL1781" s="3"/>
      <c r="AFM1781" s="3"/>
      <c r="AFN1781" s="3"/>
      <c r="AFO1781" s="3"/>
      <c r="AFP1781" s="3"/>
      <c r="AFQ1781" s="3"/>
      <c r="AFR1781" s="3"/>
      <c r="AFS1781" s="3"/>
      <c r="AFT1781" s="3"/>
      <c r="AFU1781" s="3"/>
      <c r="AFV1781" s="3"/>
      <c r="AFW1781" s="3"/>
      <c r="AFX1781" s="3"/>
      <c r="AFY1781" s="3"/>
      <c r="AFZ1781" s="3"/>
      <c r="AGA1781" s="3"/>
      <c r="AGB1781" s="3"/>
      <c r="AGC1781" s="3"/>
      <c r="AGD1781" s="3"/>
      <c r="AGE1781" s="3"/>
      <c r="AGF1781" s="3"/>
      <c r="AGG1781" s="3"/>
      <c r="AGH1781" s="3"/>
      <c r="AGI1781" s="3"/>
      <c r="AGJ1781" s="3"/>
      <c r="AGK1781" s="3"/>
      <c r="AGL1781" s="3"/>
      <c r="AGM1781" s="3"/>
      <c r="AGN1781" s="3"/>
      <c r="AGO1781" s="3"/>
      <c r="AGP1781" s="3"/>
      <c r="AGQ1781" s="3"/>
      <c r="AGR1781" s="3"/>
      <c r="AGS1781" s="3"/>
      <c r="AGT1781" s="3"/>
      <c r="AGU1781" s="3"/>
      <c r="AGV1781" s="3"/>
      <c r="AGW1781" s="3"/>
      <c r="AGX1781" s="3"/>
      <c r="AGY1781" s="3"/>
      <c r="AGZ1781" s="3"/>
      <c r="AHA1781" s="3"/>
      <c r="AHB1781" s="3"/>
      <c r="AHC1781" s="3"/>
      <c r="AHD1781" s="3"/>
      <c r="AHE1781" s="3"/>
      <c r="AHF1781" s="3"/>
      <c r="AHG1781" s="3"/>
      <c r="AHH1781" s="3"/>
      <c r="AHI1781" s="3"/>
      <c r="AHJ1781" s="3"/>
      <c r="AHK1781" s="3"/>
      <c r="AHL1781" s="3"/>
      <c r="AHM1781" s="3"/>
      <c r="AHN1781" s="3"/>
      <c r="AHO1781" s="3"/>
      <c r="AHP1781" s="3"/>
      <c r="AHQ1781" s="3"/>
      <c r="AHR1781" s="3"/>
      <c r="AHS1781" s="3"/>
      <c r="AHT1781" s="3"/>
      <c r="AHU1781" s="3"/>
      <c r="AHV1781" s="3"/>
      <c r="AHW1781" s="3"/>
      <c r="AHX1781" s="3"/>
      <c r="AHY1781" s="3"/>
      <c r="AHZ1781" s="3"/>
      <c r="AIA1781" s="3"/>
      <c r="AIB1781" s="3"/>
      <c r="AIC1781" s="3"/>
      <c r="AID1781" s="3"/>
      <c r="AIE1781" s="3"/>
      <c r="AIF1781" s="3"/>
      <c r="AIG1781" s="3"/>
      <c r="AIH1781" s="3"/>
      <c r="AII1781" s="3"/>
      <c r="AIJ1781" s="3"/>
      <c r="AIK1781" s="3"/>
      <c r="AIL1781" s="3"/>
      <c r="AIM1781" s="3"/>
      <c r="AIN1781" s="3"/>
      <c r="AIO1781" s="3"/>
      <c r="AIP1781" s="3"/>
      <c r="AIQ1781" s="3"/>
      <c r="AIR1781" s="3"/>
      <c r="AIS1781" s="3"/>
      <c r="AIT1781" s="3"/>
      <c r="AIU1781" s="3"/>
      <c r="AIV1781" s="3"/>
      <c r="AIW1781" s="3"/>
      <c r="AIX1781" s="3"/>
      <c r="AIY1781" s="3"/>
      <c r="AIZ1781" s="3"/>
      <c r="AJA1781" s="3"/>
      <c r="AJB1781" s="3"/>
      <c r="AJC1781" s="3"/>
      <c r="AJD1781" s="3"/>
      <c r="AJE1781" s="3"/>
      <c r="AJF1781" s="3"/>
      <c r="AJG1781" s="3"/>
      <c r="AJH1781" s="3"/>
      <c r="AJI1781" s="3"/>
      <c r="AJJ1781" s="3"/>
      <c r="AJK1781" s="3"/>
      <c r="AJL1781" s="3"/>
      <c r="AJM1781" s="3"/>
      <c r="AJN1781" s="3"/>
      <c r="AJO1781" s="3"/>
      <c r="AJP1781" s="3"/>
      <c r="AJQ1781" s="3"/>
      <c r="AJR1781" s="3"/>
      <c r="AJS1781" s="3"/>
      <c r="AJT1781" s="3"/>
      <c r="AJU1781" s="3"/>
      <c r="AJV1781" s="3"/>
      <c r="AJW1781" s="3"/>
      <c r="AJX1781" s="3"/>
      <c r="AJY1781" s="3"/>
      <c r="AJZ1781" s="3"/>
      <c r="AKA1781" s="3"/>
      <c r="AKB1781" s="3"/>
      <c r="AKC1781" s="3"/>
      <c r="AKD1781" s="3"/>
      <c r="AKE1781" s="3"/>
      <c r="AKF1781" s="3"/>
      <c r="AKG1781" s="3"/>
      <c r="AKH1781" s="3"/>
      <c r="AKI1781" s="3"/>
      <c r="AKJ1781" s="3"/>
      <c r="AKK1781" s="3"/>
      <c r="AKL1781" s="3"/>
      <c r="AKM1781" s="3"/>
      <c r="AKN1781" s="3"/>
      <c r="AKO1781" s="3"/>
      <c r="AKP1781" s="3"/>
      <c r="AKQ1781" s="3"/>
      <c r="AKR1781" s="3"/>
      <c r="AKS1781" s="3"/>
      <c r="AKT1781" s="3"/>
      <c r="AKU1781" s="3"/>
      <c r="AKV1781" s="3"/>
      <c r="AKW1781" s="3"/>
      <c r="AKX1781" s="3"/>
      <c r="AKY1781" s="3"/>
      <c r="AKZ1781" s="3"/>
      <c r="ALA1781" s="3"/>
      <c r="ALB1781" s="3"/>
      <c r="ALC1781" s="3"/>
      <c r="ALD1781" s="3"/>
      <c r="ALE1781" s="3"/>
      <c r="ALF1781" s="3"/>
      <c r="ALG1781" s="3"/>
      <c r="ALH1781" s="3"/>
      <c r="ALI1781" s="3"/>
      <c r="ALJ1781" s="3"/>
      <c r="ALK1781" s="3"/>
      <c r="ALL1781" s="3"/>
      <c r="ALM1781" s="3"/>
      <c r="ALN1781" s="3"/>
      <c r="ALO1781" s="3"/>
      <c r="ALP1781" s="3"/>
      <c r="ALQ1781" s="3"/>
      <c r="ALR1781" s="3"/>
      <c r="ALS1781" s="3"/>
      <c r="ALT1781" s="3"/>
      <c r="ALU1781" s="3"/>
      <c r="ALV1781" s="3"/>
      <c r="ALW1781" s="3"/>
      <c r="ALX1781" s="3"/>
      <c r="ALY1781" s="3"/>
      <c r="ALZ1781" s="3"/>
      <c r="AMA1781" s="3"/>
      <c r="AMB1781" s="3"/>
      <c r="AMC1781" s="3"/>
      <c r="AMD1781" s="3"/>
      <c r="AME1781" s="3"/>
      <c r="AMF1781" s="3"/>
      <c r="AMG1781" s="3"/>
      <c r="AMH1781" s="3"/>
      <c r="AMI1781" s="3"/>
      <c r="AMJ1781" s="3"/>
      <c r="AMK1781" s="3"/>
      <c r="AML1781" s="3"/>
      <c r="AMM1781" s="3"/>
    </row>
    <row r="1782" spans="1:1027" ht="15" customHeight="1">
      <c r="A1782" s="12">
        <v>727</v>
      </c>
      <c r="B1782" s="13" t="s">
        <v>2756</v>
      </c>
      <c r="C1782" s="14"/>
      <c r="D1782" s="14" t="s">
        <v>2755</v>
      </c>
      <c r="E1782" s="22" t="s">
        <v>2430</v>
      </c>
      <c r="F1782" s="15" t="s">
        <v>22</v>
      </c>
      <c r="G1782" s="21"/>
      <c r="H1782" s="58"/>
      <c r="I1782" s="14"/>
      <c r="J1782" s="14" t="s">
        <v>23</v>
      </c>
      <c r="K1782" s="14"/>
      <c r="L1782" s="14"/>
      <c r="M1782" s="14" t="s">
        <v>1819</v>
      </c>
      <c r="N1782" s="25" t="s">
        <v>37</v>
      </c>
      <c r="O1782" s="14" t="s">
        <v>45</v>
      </c>
      <c r="P1782" s="14"/>
      <c r="Q1782" s="14"/>
      <c r="R1782" s="14" t="s">
        <v>1820</v>
      </c>
    </row>
    <row r="1783" spans="1:1027" ht="15" customHeight="1">
      <c r="A1783" s="12">
        <v>2190</v>
      </c>
      <c r="B1783" s="13" t="s">
        <v>2757</v>
      </c>
      <c r="C1783" s="31"/>
      <c r="D1783" s="16">
        <v>593</v>
      </c>
      <c r="E1783" s="22" t="s">
        <v>2430</v>
      </c>
      <c r="F1783" s="15" t="s">
        <v>22</v>
      </c>
      <c r="G1783" s="18"/>
      <c r="H1783" s="58">
        <v>2</v>
      </c>
      <c r="I1783" s="16"/>
      <c r="J1783" s="14" t="s">
        <v>23</v>
      </c>
      <c r="K1783" s="34"/>
      <c r="L1783" s="34"/>
      <c r="M1783" s="34"/>
      <c r="N1783" s="34"/>
      <c r="O1783" s="34"/>
      <c r="P1783" s="34"/>
      <c r="Q1783" s="34"/>
      <c r="R1783" s="34"/>
    </row>
    <row r="1784" spans="1:1027" ht="15" customHeight="1">
      <c r="A1784" s="12">
        <v>728</v>
      </c>
      <c r="B1784" s="13" t="s">
        <v>2758</v>
      </c>
      <c r="C1784" s="14"/>
      <c r="D1784" s="14" t="s">
        <v>2759</v>
      </c>
      <c r="E1784" s="22" t="s">
        <v>2430</v>
      </c>
      <c r="F1784" s="15" t="s">
        <v>22</v>
      </c>
      <c r="G1784" s="21"/>
      <c r="H1784" s="58"/>
      <c r="I1784" s="14"/>
      <c r="J1784" s="14" t="s">
        <v>23</v>
      </c>
      <c r="K1784" s="14"/>
      <c r="L1784" s="14"/>
      <c r="M1784" s="14" t="s">
        <v>1819</v>
      </c>
      <c r="N1784" s="14" t="s">
        <v>25</v>
      </c>
      <c r="O1784" s="14"/>
      <c r="P1784" s="14"/>
      <c r="Q1784" s="14"/>
      <c r="R1784" s="14" t="s">
        <v>1820</v>
      </c>
    </row>
    <row r="1785" spans="1:1027" ht="15" customHeight="1">
      <c r="A1785" s="12">
        <v>1444</v>
      </c>
      <c r="B1785" s="13" t="s">
        <v>2760</v>
      </c>
      <c r="C1785" s="14"/>
      <c r="D1785" s="14" t="s">
        <v>2759</v>
      </c>
      <c r="E1785" s="22" t="s">
        <v>2430</v>
      </c>
      <c r="F1785" s="15" t="s">
        <v>22</v>
      </c>
      <c r="G1785" s="21"/>
      <c r="H1785" s="58">
        <v>1</v>
      </c>
      <c r="I1785" s="14"/>
      <c r="J1785" s="14" t="s">
        <v>23</v>
      </c>
      <c r="K1785" s="14"/>
      <c r="L1785" s="14"/>
      <c r="M1785" s="14" t="s">
        <v>2651</v>
      </c>
      <c r="N1785" s="25" t="s">
        <v>37</v>
      </c>
      <c r="O1785" s="14" t="s">
        <v>920</v>
      </c>
      <c r="P1785" s="14"/>
      <c r="Q1785" s="14"/>
      <c r="R1785" s="14" t="s">
        <v>2652</v>
      </c>
    </row>
    <row r="1786" spans="1:1027" ht="15" customHeight="1">
      <c r="A1786" s="12">
        <v>2191</v>
      </c>
      <c r="B1786" s="13" t="s">
        <v>2761</v>
      </c>
      <c r="C1786" s="31"/>
      <c r="D1786" s="16">
        <v>594</v>
      </c>
      <c r="E1786" s="22" t="s">
        <v>2430</v>
      </c>
      <c r="F1786" s="15" t="s">
        <v>22</v>
      </c>
      <c r="G1786" s="18"/>
      <c r="H1786" s="58">
        <v>1</v>
      </c>
      <c r="I1786" s="16"/>
      <c r="J1786" s="14" t="s">
        <v>23</v>
      </c>
      <c r="K1786" s="34"/>
      <c r="L1786" s="34"/>
      <c r="M1786" s="34"/>
      <c r="N1786" s="34"/>
      <c r="O1786" s="34"/>
      <c r="P1786" s="34"/>
      <c r="Q1786" s="34"/>
      <c r="R1786" s="34"/>
    </row>
    <row r="1787" spans="1:1027" ht="15" customHeight="1">
      <c r="A1787" s="12">
        <v>729</v>
      </c>
      <c r="B1787" s="13" t="s">
        <v>2762</v>
      </c>
      <c r="C1787" s="14"/>
      <c r="D1787" s="14" t="s">
        <v>2763</v>
      </c>
      <c r="E1787" s="22" t="s">
        <v>2430</v>
      </c>
      <c r="F1787" s="15" t="s">
        <v>22</v>
      </c>
      <c r="G1787" s="21"/>
      <c r="H1787" s="58"/>
      <c r="I1787" s="14"/>
      <c r="J1787" s="14" t="s">
        <v>23</v>
      </c>
      <c r="K1787" s="14"/>
      <c r="L1787" s="14"/>
      <c r="M1787" s="14" t="s">
        <v>1819</v>
      </c>
      <c r="N1787" s="25" t="s">
        <v>37</v>
      </c>
      <c r="O1787" s="14" t="s">
        <v>179</v>
      </c>
      <c r="P1787" s="14"/>
      <c r="Q1787" s="14"/>
      <c r="R1787" s="14" t="s">
        <v>1820</v>
      </c>
    </row>
    <row r="1788" spans="1:1027" ht="15" customHeight="1">
      <c r="A1788" s="12">
        <v>1445</v>
      </c>
      <c r="B1788" s="13" t="s">
        <v>2764</v>
      </c>
      <c r="C1788" s="14"/>
      <c r="D1788" s="14" t="s">
        <v>2763</v>
      </c>
      <c r="E1788" s="22" t="s">
        <v>2430</v>
      </c>
      <c r="F1788" s="15" t="s">
        <v>22</v>
      </c>
      <c r="G1788" s="21"/>
      <c r="H1788" s="58">
        <v>3</v>
      </c>
      <c r="I1788" s="14"/>
      <c r="J1788" s="14" t="s">
        <v>23</v>
      </c>
      <c r="K1788" s="14"/>
      <c r="L1788" s="14"/>
      <c r="M1788" s="14" t="s">
        <v>2651</v>
      </c>
      <c r="N1788" s="14" t="s">
        <v>25</v>
      </c>
      <c r="O1788" s="14"/>
      <c r="P1788" s="14"/>
      <c r="Q1788" s="14"/>
      <c r="R1788" s="14" t="s">
        <v>2652</v>
      </c>
    </row>
    <row r="1789" spans="1:1027" ht="15" customHeight="1">
      <c r="A1789" s="12">
        <v>2192</v>
      </c>
      <c r="B1789" s="13" t="s">
        <v>2765</v>
      </c>
      <c r="C1789" s="31"/>
      <c r="D1789" s="16">
        <v>595</v>
      </c>
      <c r="E1789" s="22" t="s">
        <v>2430</v>
      </c>
      <c r="F1789" s="15" t="s">
        <v>22</v>
      </c>
      <c r="G1789" s="18"/>
      <c r="H1789" s="58">
        <v>3</v>
      </c>
      <c r="I1789" s="16"/>
      <c r="J1789" s="14" t="s">
        <v>23</v>
      </c>
      <c r="K1789" s="34"/>
      <c r="L1789" s="34"/>
      <c r="M1789" s="34"/>
      <c r="N1789" s="34"/>
      <c r="O1789" s="34"/>
      <c r="P1789" s="34"/>
      <c r="Q1789" s="34"/>
      <c r="R1789" s="34"/>
    </row>
    <row r="1790" spans="1:1027" ht="15" customHeight="1">
      <c r="A1790" s="12">
        <v>730</v>
      </c>
      <c r="B1790" s="13" t="s">
        <v>2766</v>
      </c>
      <c r="C1790" s="14"/>
      <c r="D1790" s="14" t="s">
        <v>2767</v>
      </c>
      <c r="E1790" s="22" t="s">
        <v>2430</v>
      </c>
      <c r="F1790" s="15" t="s">
        <v>22</v>
      </c>
      <c r="G1790" s="21"/>
      <c r="H1790" s="58"/>
      <c r="I1790" s="14"/>
      <c r="J1790" s="14" t="s">
        <v>23</v>
      </c>
      <c r="K1790" s="14"/>
      <c r="L1790" s="14"/>
      <c r="M1790" s="14" t="s">
        <v>1819</v>
      </c>
      <c r="N1790" s="25" t="s">
        <v>37</v>
      </c>
      <c r="O1790" s="14" t="s">
        <v>45</v>
      </c>
      <c r="P1790" s="14"/>
      <c r="Q1790" s="14"/>
      <c r="R1790" s="14" t="s">
        <v>1820</v>
      </c>
    </row>
    <row r="1791" spans="1:1027" ht="15" customHeight="1">
      <c r="A1791" s="12">
        <v>1446</v>
      </c>
      <c r="B1791" s="13" t="s">
        <v>2768</v>
      </c>
      <c r="C1791" s="14"/>
      <c r="D1791" s="14" t="s">
        <v>2767</v>
      </c>
      <c r="E1791" s="22" t="s">
        <v>2430</v>
      </c>
      <c r="F1791" s="15" t="s">
        <v>22</v>
      </c>
      <c r="G1791" s="21"/>
      <c r="H1791" s="58">
        <v>1</v>
      </c>
      <c r="I1791" s="14"/>
      <c r="J1791" s="14" t="s">
        <v>23</v>
      </c>
      <c r="K1791" s="14"/>
      <c r="L1791" s="14"/>
      <c r="M1791" s="14" t="s">
        <v>2651</v>
      </c>
      <c r="N1791" s="14" t="s">
        <v>25</v>
      </c>
      <c r="O1791" s="14"/>
      <c r="P1791" s="14"/>
      <c r="Q1791" s="14"/>
      <c r="R1791" s="14" t="s">
        <v>2652</v>
      </c>
    </row>
    <row r="1792" spans="1:1027" ht="15" customHeight="1">
      <c r="A1792" s="12">
        <v>2193</v>
      </c>
      <c r="B1792" s="13" t="s">
        <v>2769</v>
      </c>
      <c r="C1792" s="31"/>
      <c r="D1792" s="16">
        <v>596</v>
      </c>
      <c r="E1792" s="22" t="s">
        <v>2430</v>
      </c>
      <c r="F1792" s="15" t="s">
        <v>22</v>
      </c>
      <c r="G1792" s="18"/>
      <c r="H1792" s="58"/>
      <c r="I1792" s="16"/>
      <c r="J1792" s="14" t="s">
        <v>23</v>
      </c>
      <c r="K1792" s="34"/>
      <c r="L1792" s="34"/>
      <c r="M1792" s="34"/>
      <c r="N1792" s="34"/>
      <c r="O1792" s="34"/>
      <c r="P1792" s="34"/>
      <c r="Q1792" s="34"/>
      <c r="R1792" s="34"/>
    </row>
    <row r="1793" spans="1:18" ht="15" customHeight="1">
      <c r="A1793" s="12">
        <v>731</v>
      </c>
      <c r="B1793" s="13" t="s">
        <v>2770</v>
      </c>
      <c r="C1793" s="14"/>
      <c r="D1793" s="14" t="s">
        <v>2771</v>
      </c>
      <c r="E1793" s="22" t="s">
        <v>2430</v>
      </c>
      <c r="F1793" s="15" t="s">
        <v>22</v>
      </c>
      <c r="G1793" s="21"/>
      <c r="H1793" s="58"/>
      <c r="I1793" s="14"/>
      <c r="J1793" s="14" t="s">
        <v>23</v>
      </c>
      <c r="K1793" s="14"/>
      <c r="L1793" s="14"/>
      <c r="M1793" s="14" t="s">
        <v>1819</v>
      </c>
      <c r="N1793" s="14" t="s">
        <v>25</v>
      </c>
      <c r="O1793" s="14"/>
      <c r="P1793" s="14"/>
      <c r="Q1793" s="14"/>
      <c r="R1793" s="14" t="s">
        <v>1820</v>
      </c>
    </row>
    <row r="1794" spans="1:18" ht="15" customHeight="1">
      <c r="A1794" s="12">
        <v>1447</v>
      </c>
      <c r="B1794" s="13" t="s">
        <v>2772</v>
      </c>
      <c r="C1794" s="14"/>
      <c r="D1794" s="14" t="s">
        <v>2771</v>
      </c>
      <c r="E1794" s="22" t="s">
        <v>2430</v>
      </c>
      <c r="F1794" s="15" t="s">
        <v>22</v>
      </c>
      <c r="G1794" s="21"/>
      <c r="H1794" s="58"/>
      <c r="I1794" s="14"/>
      <c r="J1794" s="14" t="s">
        <v>23</v>
      </c>
      <c r="K1794" s="14"/>
      <c r="L1794" s="14"/>
      <c r="M1794" s="14" t="s">
        <v>2651</v>
      </c>
      <c r="N1794" s="14" t="s">
        <v>25</v>
      </c>
      <c r="O1794" s="14"/>
      <c r="P1794" s="14"/>
      <c r="Q1794" s="14"/>
      <c r="R1794" s="14" t="s">
        <v>2652</v>
      </c>
    </row>
    <row r="1795" spans="1:18" ht="15" customHeight="1">
      <c r="A1795" s="12">
        <v>2194</v>
      </c>
      <c r="B1795" s="13" t="s">
        <v>2773</v>
      </c>
      <c r="C1795" s="31"/>
      <c r="D1795" s="16">
        <v>597</v>
      </c>
      <c r="E1795" s="22" t="s">
        <v>2430</v>
      </c>
      <c r="F1795" s="15" t="s">
        <v>22</v>
      </c>
      <c r="G1795" s="18"/>
      <c r="H1795" s="58"/>
      <c r="I1795" s="16"/>
      <c r="J1795" s="14" t="s">
        <v>23</v>
      </c>
      <c r="K1795" s="34"/>
      <c r="L1795" s="34"/>
      <c r="M1795" s="34"/>
      <c r="N1795" s="34"/>
      <c r="O1795" s="34"/>
      <c r="P1795" s="34"/>
      <c r="Q1795" s="34"/>
      <c r="R1795" s="34"/>
    </row>
    <row r="1796" spans="1:18" ht="15" customHeight="1">
      <c r="A1796" s="12">
        <v>732</v>
      </c>
      <c r="B1796" s="13" t="s">
        <v>2774</v>
      </c>
      <c r="C1796" s="14"/>
      <c r="D1796" s="14" t="s">
        <v>2775</v>
      </c>
      <c r="E1796" s="22" t="s">
        <v>2430</v>
      </c>
      <c r="F1796" s="15" t="s">
        <v>22</v>
      </c>
      <c r="G1796" s="21"/>
      <c r="H1796" s="58"/>
      <c r="I1796" s="14"/>
      <c r="J1796" s="14" t="s">
        <v>23</v>
      </c>
      <c r="K1796" s="14"/>
      <c r="L1796" s="14"/>
      <c r="M1796" s="14" t="s">
        <v>1819</v>
      </c>
      <c r="N1796" s="14" t="s">
        <v>25</v>
      </c>
      <c r="O1796" s="14"/>
      <c r="P1796" s="14"/>
      <c r="Q1796" s="14"/>
      <c r="R1796" s="14" t="s">
        <v>1820</v>
      </c>
    </row>
    <row r="1797" spans="1:18" ht="15" customHeight="1">
      <c r="A1797" s="12">
        <v>1448</v>
      </c>
      <c r="B1797" s="13" t="s">
        <v>2776</v>
      </c>
      <c r="C1797" s="14"/>
      <c r="D1797" s="14" t="s">
        <v>2775</v>
      </c>
      <c r="E1797" s="22" t="s">
        <v>2430</v>
      </c>
      <c r="F1797" s="15" t="s">
        <v>22</v>
      </c>
      <c r="G1797" s="21"/>
      <c r="H1797" s="58">
        <v>1</v>
      </c>
      <c r="I1797" s="14"/>
      <c r="J1797" s="14" t="s">
        <v>23</v>
      </c>
      <c r="K1797" s="14"/>
      <c r="L1797" s="14"/>
      <c r="M1797" s="14" t="s">
        <v>2651</v>
      </c>
      <c r="N1797" s="25" t="s">
        <v>37</v>
      </c>
      <c r="O1797" s="14" t="s">
        <v>2777</v>
      </c>
      <c r="P1797" s="14"/>
      <c r="Q1797" s="14"/>
      <c r="R1797" s="14" t="s">
        <v>2652</v>
      </c>
    </row>
    <row r="1798" spans="1:18" ht="15" customHeight="1">
      <c r="A1798" s="12">
        <v>2195</v>
      </c>
      <c r="B1798" s="13" t="s">
        <v>2778</v>
      </c>
      <c r="C1798" s="31"/>
      <c r="D1798" s="16">
        <v>598</v>
      </c>
      <c r="E1798" s="22" t="s">
        <v>2430</v>
      </c>
      <c r="F1798" s="15" t="s">
        <v>22</v>
      </c>
      <c r="G1798" s="18"/>
      <c r="H1798" s="58">
        <v>2</v>
      </c>
      <c r="I1798" s="16"/>
      <c r="J1798" s="14" t="s">
        <v>23</v>
      </c>
      <c r="K1798" s="34"/>
      <c r="L1798" s="34"/>
      <c r="M1798" s="34"/>
      <c r="N1798" s="34"/>
      <c r="O1798" s="34"/>
      <c r="P1798" s="34"/>
      <c r="Q1798" s="34"/>
      <c r="R1798" s="34"/>
    </row>
    <row r="1799" spans="1:18" ht="15" customHeight="1">
      <c r="A1799" s="12">
        <v>733</v>
      </c>
      <c r="B1799" s="13" t="s">
        <v>2779</v>
      </c>
      <c r="C1799" s="14"/>
      <c r="D1799" s="14" t="s">
        <v>2780</v>
      </c>
      <c r="E1799" s="22" t="s">
        <v>2430</v>
      </c>
      <c r="F1799" s="15" t="s">
        <v>22</v>
      </c>
      <c r="G1799" s="21"/>
      <c r="H1799" s="58"/>
      <c r="I1799" s="14"/>
      <c r="J1799" s="14" t="s">
        <v>23</v>
      </c>
      <c r="K1799" s="14"/>
      <c r="L1799" s="14"/>
      <c r="M1799" s="14" t="s">
        <v>1819</v>
      </c>
      <c r="N1799" s="25" t="s">
        <v>37</v>
      </c>
      <c r="O1799" s="14" t="s">
        <v>179</v>
      </c>
      <c r="P1799" s="14"/>
      <c r="Q1799" s="14"/>
      <c r="R1799" s="14" t="s">
        <v>1820</v>
      </c>
    </row>
    <row r="1800" spans="1:18" ht="15" customHeight="1">
      <c r="A1800" s="12">
        <v>1449</v>
      </c>
      <c r="B1800" s="13" t="s">
        <v>2781</v>
      </c>
      <c r="C1800" s="14"/>
      <c r="D1800" s="14" t="s">
        <v>2780</v>
      </c>
      <c r="E1800" s="22" t="s">
        <v>2430</v>
      </c>
      <c r="F1800" s="15" t="s">
        <v>22</v>
      </c>
      <c r="G1800" s="21"/>
      <c r="H1800" s="58">
        <v>1</v>
      </c>
      <c r="I1800" s="14"/>
      <c r="J1800" s="14" t="s">
        <v>23</v>
      </c>
      <c r="K1800" s="14"/>
      <c r="L1800" s="14"/>
      <c r="M1800" s="14" t="s">
        <v>2651</v>
      </c>
      <c r="N1800" s="25" t="s">
        <v>37</v>
      </c>
      <c r="O1800" s="14" t="s">
        <v>301</v>
      </c>
      <c r="P1800" s="14"/>
      <c r="Q1800" s="14"/>
      <c r="R1800" s="14" t="s">
        <v>2652</v>
      </c>
    </row>
    <row r="1801" spans="1:18" ht="15" customHeight="1">
      <c r="A1801" s="12">
        <v>2196</v>
      </c>
      <c r="B1801" s="13" t="s">
        <v>2782</v>
      </c>
      <c r="C1801" s="31"/>
      <c r="D1801" s="16">
        <v>599</v>
      </c>
      <c r="E1801" s="22" t="s">
        <v>2430</v>
      </c>
      <c r="F1801" s="15" t="s">
        <v>22</v>
      </c>
      <c r="G1801" s="18"/>
      <c r="H1801" s="58">
        <v>2</v>
      </c>
      <c r="I1801" s="16"/>
      <c r="J1801" s="14" t="s">
        <v>23</v>
      </c>
      <c r="K1801" s="34"/>
      <c r="L1801" s="34"/>
      <c r="M1801" s="34"/>
      <c r="N1801" s="34"/>
      <c r="O1801" s="34"/>
      <c r="P1801" s="34"/>
      <c r="Q1801" s="34"/>
      <c r="R1801" s="34"/>
    </row>
    <row r="1802" spans="1:18" ht="15" customHeight="1">
      <c r="A1802" s="12">
        <v>734</v>
      </c>
      <c r="B1802" s="13" t="s">
        <v>2783</v>
      </c>
      <c r="C1802" s="14"/>
      <c r="D1802" s="14" t="s">
        <v>2784</v>
      </c>
      <c r="E1802" s="22" t="s">
        <v>2430</v>
      </c>
      <c r="F1802" s="15" t="s">
        <v>22</v>
      </c>
      <c r="G1802" s="21"/>
      <c r="H1802" s="58"/>
      <c r="I1802" s="14"/>
      <c r="J1802" s="14" t="s">
        <v>23</v>
      </c>
      <c r="K1802" s="14"/>
      <c r="L1802" s="14"/>
      <c r="M1802" s="14" t="s">
        <v>1819</v>
      </c>
      <c r="N1802" s="14" t="s">
        <v>25</v>
      </c>
      <c r="O1802" s="14"/>
      <c r="P1802" s="14"/>
      <c r="Q1802" s="14"/>
      <c r="R1802" s="14" t="s">
        <v>1820</v>
      </c>
    </row>
    <row r="1803" spans="1:18" ht="15" customHeight="1">
      <c r="A1803" s="12">
        <v>1450</v>
      </c>
      <c r="B1803" s="13" t="s">
        <v>2785</v>
      </c>
      <c r="C1803" s="14"/>
      <c r="D1803" s="14" t="s">
        <v>2784</v>
      </c>
      <c r="E1803" s="22" t="s">
        <v>2430</v>
      </c>
      <c r="F1803" s="15" t="s">
        <v>22</v>
      </c>
      <c r="G1803" s="21"/>
      <c r="H1803" s="58"/>
      <c r="I1803" s="14"/>
      <c r="J1803" s="14" t="s">
        <v>23</v>
      </c>
      <c r="K1803" s="14"/>
      <c r="L1803" s="14"/>
      <c r="M1803" s="14" t="s">
        <v>2651</v>
      </c>
      <c r="N1803" s="14" t="s">
        <v>25</v>
      </c>
      <c r="O1803" s="14"/>
      <c r="P1803" s="14"/>
      <c r="Q1803" s="14"/>
      <c r="R1803" s="14" t="s">
        <v>2652</v>
      </c>
    </row>
    <row r="1804" spans="1:18" ht="15" customHeight="1">
      <c r="A1804" s="12">
        <v>2197</v>
      </c>
      <c r="B1804" s="13" t="s">
        <v>2786</v>
      </c>
      <c r="C1804" s="31"/>
      <c r="D1804" s="16">
        <v>600</v>
      </c>
      <c r="E1804" s="22" t="s">
        <v>2430</v>
      </c>
      <c r="F1804" s="15" t="s">
        <v>22</v>
      </c>
      <c r="G1804" s="18"/>
      <c r="H1804" s="58"/>
      <c r="I1804" s="18"/>
      <c r="J1804" s="14" t="s">
        <v>23</v>
      </c>
      <c r="K1804" s="34"/>
      <c r="L1804" s="34"/>
      <c r="M1804" s="34"/>
      <c r="N1804" s="34"/>
      <c r="O1804" s="34"/>
      <c r="P1804" s="34"/>
      <c r="Q1804" s="34"/>
      <c r="R1804" s="34"/>
    </row>
    <row r="1805" spans="1:18" ht="15" customHeight="1">
      <c r="A1805" s="12">
        <v>735</v>
      </c>
      <c r="B1805" s="13" t="s">
        <v>2787</v>
      </c>
      <c r="C1805" s="14"/>
      <c r="D1805" s="14" t="s">
        <v>2788</v>
      </c>
      <c r="E1805" s="22" t="s">
        <v>2430</v>
      </c>
      <c r="F1805" s="15" t="s">
        <v>22</v>
      </c>
      <c r="G1805" s="21"/>
      <c r="H1805" s="58"/>
      <c r="I1805" s="14"/>
      <c r="J1805" s="14" t="s">
        <v>23</v>
      </c>
      <c r="K1805" s="14"/>
      <c r="L1805" s="14"/>
      <c r="M1805" s="14" t="s">
        <v>1819</v>
      </c>
      <c r="N1805" s="25" t="s">
        <v>37</v>
      </c>
      <c r="O1805" s="14" t="s">
        <v>189</v>
      </c>
      <c r="P1805" s="14"/>
      <c r="Q1805" s="14"/>
      <c r="R1805" s="14" t="s">
        <v>1820</v>
      </c>
    </row>
    <row r="1806" spans="1:18" ht="15" customHeight="1">
      <c r="A1806" s="12">
        <v>1451</v>
      </c>
      <c r="B1806" s="13" t="s">
        <v>2789</v>
      </c>
      <c r="C1806" s="14"/>
      <c r="D1806" s="14" t="s">
        <v>2788</v>
      </c>
      <c r="E1806" s="22" t="s">
        <v>2430</v>
      </c>
      <c r="F1806" s="15" t="s">
        <v>22</v>
      </c>
      <c r="G1806" s="21"/>
      <c r="H1806" s="58">
        <v>2</v>
      </c>
      <c r="I1806" s="14"/>
      <c r="J1806" s="14" t="s">
        <v>23</v>
      </c>
      <c r="K1806" s="14"/>
      <c r="L1806" s="14"/>
      <c r="M1806" s="14" t="s">
        <v>2651</v>
      </c>
      <c r="N1806" s="25" t="s">
        <v>37</v>
      </c>
      <c r="O1806" s="14" t="s">
        <v>2790</v>
      </c>
      <c r="P1806" s="14"/>
      <c r="Q1806" s="14"/>
      <c r="R1806" s="14" t="s">
        <v>2652</v>
      </c>
    </row>
    <row r="1807" spans="1:18" ht="15" customHeight="1">
      <c r="A1807" s="12">
        <v>2198</v>
      </c>
      <c r="B1807" s="13" t="s">
        <v>2791</v>
      </c>
      <c r="C1807" s="31"/>
      <c r="D1807" s="16">
        <v>601</v>
      </c>
      <c r="E1807" s="22" t="s">
        <v>2430</v>
      </c>
      <c r="F1807" s="15" t="s">
        <v>22</v>
      </c>
      <c r="G1807" s="18"/>
      <c r="H1807" s="58">
        <v>2</v>
      </c>
      <c r="I1807" s="16"/>
      <c r="J1807" s="14" t="s">
        <v>23</v>
      </c>
      <c r="K1807" s="34"/>
      <c r="L1807" s="34"/>
      <c r="M1807" s="34"/>
      <c r="N1807" s="34"/>
      <c r="O1807" s="34"/>
      <c r="P1807" s="34"/>
      <c r="Q1807" s="34"/>
      <c r="R1807" s="34"/>
    </row>
    <row r="1808" spans="1:18" ht="15" customHeight="1">
      <c r="A1808" s="12">
        <v>736</v>
      </c>
      <c r="B1808" s="13" t="s">
        <v>2792</v>
      </c>
      <c r="C1808" s="14"/>
      <c r="D1808" s="14" t="s">
        <v>2793</v>
      </c>
      <c r="E1808" s="22" t="s">
        <v>2430</v>
      </c>
      <c r="F1808" s="15" t="s">
        <v>22</v>
      </c>
      <c r="G1808" s="21"/>
      <c r="H1808" s="58"/>
      <c r="I1808" s="14"/>
      <c r="J1808" s="14" t="s">
        <v>23</v>
      </c>
      <c r="K1808" s="14"/>
      <c r="L1808" s="14"/>
      <c r="M1808" s="14" t="s">
        <v>1819</v>
      </c>
      <c r="N1808" s="14" t="s">
        <v>25</v>
      </c>
      <c r="O1808" s="14"/>
      <c r="P1808" s="14"/>
      <c r="Q1808" s="14"/>
      <c r="R1808" s="14" t="s">
        <v>1820</v>
      </c>
    </row>
    <row r="1809" spans="1:1027" ht="15" customHeight="1">
      <c r="A1809" s="12">
        <v>1452</v>
      </c>
      <c r="B1809" s="13" t="s">
        <v>2794</v>
      </c>
      <c r="C1809" s="14"/>
      <c r="D1809" s="14" t="s">
        <v>2793</v>
      </c>
      <c r="E1809" s="22" t="s">
        <v>2430</v>
      </c>
      <c r="F1809" s="15" t="s">
        <v>22</v>
      </c>
      <c r="G1809" s="21"/>
      <c r="H1809" s="58">
        <v>1</v>
      </c>
      <c r="I1809" s="14"/>
      <c r="J1809" s="14" t="s">
        <v>23</v>
      </c>
      <c r="K1809" s="14"/>
      <c r="L1809" s="14"/>
      <c r="M1809" s="14" t="s">
        <v>2651</v>
      </c>
      <c r="N1809" s="14" t="s">
        <v>25</v>
      </c>
      <c r="O1809" s="14"/>
      <c r="P1809" s="14"/>
      <c r="Q1809" s="14"/>
      <c r="R1809" s="14" t="s">
        <v>2652</v>
      </c>
    </row>
    <row r="1810" spans="1:1027" ht="15" customHeight="1">
      <c r="A1810" s="12">
        <v>2199</v>
      </c>
      <c r="B1810" s="13" t="s">
        <v>2795</v>
      </c>
      <c r="C1810" s="31"/>
      <c r="D1810" s="16">
        <v>602</v>
      </c>
      <c r="E1810" s="22" t="s">
        <v>2430</v>
      </c>
      <c r="F1810" s="15" t="s">
        <v>22</v>
      </c>
      <c r="G1810" s="18"/>
      <c r="H1810" s="58">
        <v>0</v>
      </c>
      <c r="I1810" s="16"/>
      <c r="J1810" s="14" t="s">
        <v>23</v>
      </c>
      <c r="K1810" s="34"/>
      <c r="L1810" s="34"/>
      <c r="M1810" s="34"/>
      <c r="N1810" s="34"/>
      <c r="O1810" s="34"/>
      <c r="P1810" s="34"/>
      <c r="Q1810" s="34"/>
      <c r="R1810" s="34"/>
    </row>
    <row r="1811" spans="1:1027" ht="15" customHeight="1">
      <c r="A1811" s="12">
        <v>737</v>
      </c>
      <c r="B1811" s="13" t="s">
        <v>2796</v>
      </c>
      <c r="C1811" s="14"/>
      <c r="D1811" s="14" t="s">
        <v>2797</v>
      </c>
      <c r="E1811" s="22" t="s">
        <v>2430</v>
      </c>
      <c r="F1811" s="15" t="s">
        <v>22</v>
      </c>
      <c r="G1811" s="21"/>
      <c r="H1811" s="58"/>
      <c r="I1811" s="14"/>
      <c r="J1811" s="14" t="s">
        <v>23</v>
      </c>
      <c r="K1811" s="14"/>
      <c r="L1811" s="14"/>
      <c r="M1811" s="14" t="s">
        <v>1819</v>
      </c>
      <c r="N1811" s="14" t="s">
        <v>25</v>
      </c>
      <c r="O1811" s="14"/>
      <c r="P1811" s="14"/>
      <c r="Q1811" s="14"/>
      <c r="R1811" s="14" t="s">
        <v>1820</v>
      </c>
    </row>
    <row r="1812" spans="1:1027" ht="15" customHeight="1">
      <c r="A1812" s="12">
        <v>1453</v>
      </c>
      <c r="B1812" s="13" t="s">
        <v>2798</v>
      </c>
      <c r="C1812" s="14"/>
      <c r="D1812" s="14" t="s">
        <v>2797</v>
      </c>
      <c r="E1812" s="22" t="s">
        <v>2430</v>
      </c>
      <c r="F1812" s="15" t="s">
        <v>22</v>
      </c>
      <c r="G1812" s="21"/>
      <c r="H1812" s="58"/>
      <c r="I1812" s="14"/>
      <c r="J1812" s="14" t="s">
        <v>23</v>
      </c>
      <c r="K1812" s="14"/>
      <c r="L1812" s="14"/>
      <c r="M1812" s="14" t="s">
        <v>2651</v>
      </c>
      <c r="N1812" s="14" t="s">
        <v>25</v>
      </c>
      <c r="O1812" s="14"/>
      <c r="P1812" s="14"/>
      <c r="Q1812" s="14"/>
      <c r="R1812" s="14" t="s">
        <v>2652</v>
      </c>
    </row>
    <row r="1813" spans="1:1027" ht="15" customHeight="1">
      <c r="A1813" s="12">
        <v>2200</v>
      </c>
      <c r="B1813" s="13" t="s">
        <v>2799</v>
      </c>
      <c r="C1813" s="31"/>
      <c r="D1813" s="16">
        <v>603</v>
      </c>
      <c r="E1813" s="22" t="s">
        <v>2430</v>
      </c>
      <c r="F1813" s="15" t="s">
        <v>22</v>
      </c>
      <c r="G1813" s="18"/>
      <c r="H1813" s="58">
        <v>1</v>
      </c>
      <c r="I1813" s="16"/>
      <c r="J1813" s="14" t="s">
        <v>23</v>
      </c>
      <c r="K1813" s="34"/>
      <c r="L1813" s="34"/>
      <c r="M1813" s="34"/>
      <c r="N1813" s="34"/>
      <c r="O1813" s="34"/>
      <c r="P1813" s="34"/>
      <c r="Q1813" s="34"/>
      <c r="R1813" s="34"/>
    </row>
    <row r="1814" spans="1:1027" ht="15" customHeight="1">
      <c r="A1814" s="12">
        <v>738</v>
      </c>
      <c r="B1814" s="13" t="s">
        <v>2800</v>
      </c>
      <c r="C1814" s="14"/>
      <c r="D1814" s="14" t="s">
        <v>2801</v>
      </c>
      <c r="E1814" s="22" t="s">
        <v>2430</v>
      </c>
      <c r="F1814" s="15" t="s">
        <v>22</v>
      </c>
      <c r="G1814" s="21"/>
      <c r="H1814" s="58"/>
      <c r="I1814" s="14"/>
      <c r="J1814" s="14" t="s">
        <v>23</v>
      </c>
      <c r="K1814" s="14"/>
      <c r="L1814" s="14"/>
      <c r="M1814" s="14" t="s">
        <v>1819</v>
      </c>
      <c r="N1814" s="14" t="s">
        <v>25</v>
      </c>
      <c r="O1814" s="14"/>
      <c r="P1814" s="14"/>
      <c r="Q1814" s="14"/>
      <c r="R1814" s="14" t="s">
        <v>1820</v>
      </c>
    </row>
    <row r="1815" spans="1:1027" ht="15" customHeight="1">
      <c r="A1815" s="12">
        <v>1454</v>
      </c>
      <c r="B1815" s="13" t="s">
        <v>2802</v>
      </c>
      <c r="C1815" s="14"/>
      <c r="D1815" s="14" t="s">
        <v>2801</v>
      </c>
      <c r="E1815" s="22" t="s">
        <v>2430</v>
      </c>
      <c r="F1815" s="15" t="s">
        <v>22</v>
      </c>
      <c r="G1815" s="21"/>
      <c r="H1815" s="58"/>
      <c r="I1815" s="14"/>
      <c r="J1815" s="14" t="s">
        <v>23</v>
      </c>
      <c r="K1815" s="14"/>
      <c r="L1815" s="14"/>
      <c r="M1815" s="14" t="s">
        <v>2651</v>
      </c>
      <c r="N1815" s="14" t="s">
        <v>25</v>
      </c>
      <c r="O1815" s="14"/>
      <c r="P1815" s="14"/>
      <c r="Q1815" s="14"/>
      <c r="R1815" s="14" t="s">
        <v>2652</v>
      </c>
    </row>
    <row r="1816" spans="1:1027" ht="15" customHeight="1">
      <c r="A1816" s="12">
        <v>2201</v>
      </c>
      <c r="B1816" s="13" t="s">
        <v>2803</v>
      </c>
      <c r="C1816" s="31"/>
      <c r="D1816" s="16">
        <v>604</v>
      </c>
      <c r="E1816" s="22" t="s">
        <v>2430</v>
      </c>
      <c r="F1816" s="15" t="s">
        <v>22</v>
      </c>
      <c r="G1816" s="18"/>
      <c r="H1816" s="58">
        <v>1</v>
      </c>
      <c r="I1816" s="16"/>
      <c r="J1816" s="14" t="s">
        <v>23</v>
      </c>
      <c r="K1816" s="34"/>
      <c r="L1816" s="34"/>
      <c r="M1816" s="34"/>
      <c r="N1816" s="34"/>
      <c r="O1816" s="34"/>
      <c r="P1816" s="34"/>
      <c r="Q1816" s="34"/>
      <c r="R1816" s="34"/>
    </row>
    <row r="1817" spans="1:1027" ht="15" customHeight="1">
      <c r="A1817" s="12">
        <v>739</v>
      </c>
      <c r="B1817" s="13" t="s">
        <v>2804</v>
      </c>
      <c r="C1817" s="14"/>
      <c r="D1817" s="14" t="s">
        <v>2805</v>
      </c>
      <c r="E1817" s="22" t="s">
        <v>2430</v>
      </c>
      <c r="F1817" s="15" t="s">
        <v>22</v>
      </c>
      <c r="G1817" s="21"/>
      <c r="H1817" s="58"/>
      <c r="I1817" s="14"/>
      <c r="J1817" s="14" t="s">
        <v>23</v>
      </c>
      <c r="K1817" s="14"/>
      <c r="L1817" s="14"/>
      <c r="M1817" s="14" t="s">
        <v>1819</v>
      </c>
      <c r="N1817" s="14" t="s">
        <v>25</v>
      </c>
      <c r="O1817" s="14"/>
      <c r="P1817" s="14"/>
      <c r="Q1817" s="14"/>
      <c r="R1817" s="14" t="s">
        <v>1820</v>
      </c>
    </row>
    <row r="1818" spans="1:1027" ht="15" customHeight="1">
      <c r="A1818" s="12">
        <v>1455</v>
      </c>
      <c r="B1818" s="13" t="s">
        <v>2806</v>
      </c>
      <c r="C1818" s="14"/>
      <c r="D1818" s="14" t="s">
        <v>2805</v>
      </c>
      <c r="E1818" s="22" t="s">
        <v>2430</v>
      </c>
      <c r="F1818" s="15" t="s">
        <v>22</v>
      </c>
      <c r="G1818" s="21"/>
      <c r="H1818" s="58">
        <v>1</v>
      </c>
      <c r="I1818" s="14"/>
      <c r="J1818" s="14" t="s">
        <v>23</v>
      </c>
      <c r="K1818" s="14"/>
      <c r="L1818" s="14"/>
      <c r="M1818" s="14" t="s">
        <v>2651</v>
      </c>
      <c r="N1818" s="14" t="s">
        <v>25</v>
      </c>
      <c r="O1818" s="14"/>
      <c r="P1818" s="14"/>
      <c r="Q1818" s="14"/>
      <c r="R1818" s="14" t="s">
        <v>2652</v>
      </c>
    </row>
    <row r="1819" spans="1:1027" ht="15" customHeight="1">
      <c r="A1819" s="12">
        <v>2202</v>
      </c>
      <c r="B1819" s="13" t="s">
        <v>2807</v>
      </c>
      <c r="C1819" s="31"/>
      <c r="D1819" s="16">
        <v>605</v>
      </c>
      <c r="E1819" s="22" t="s">
        <v>2430</v>
      </c>
      <c r="F1819" s="15" t="s">
        <v>22</v>
      </c>
      <c r="G1819" s="18"/>
      <c r="H1819" s="58"/>
      <c r="I1819" s="16"/>
      <c r="J1819" s="14" t="s">
        <v>23</v>
      </c>
      <c r="K1819" s="34"/>
      <c r="L1819" s="34"/>
      <c r="M1819" s="34"/>
      <c r="N1819" s="34"/>
      <c r="O1819" s="34"/>
      <c r="P1819" s="34"/>
      <c r="Q1819" s="34"/>
      <c r="R1819" s="34"/>
    </row>
    <row r="1820" spans="1:1027" ht="15" customHeight="1">
      <c r="A1820" s="12">
        <v>740</v>
      </c>
      <c r="B1820" s="13" t="s">
        <v>2808</v>
      </c>
      <c r="C1820" s="14"/>
      <c r="D1820" s="14" t="s">
        <v>2809</v>
      </c>
      <c r="E1820" s="22" t="s">
        <v>2430</v>
      </c>
      <c r="F1820" s="15" t="s">
        <v>22</v>
      </c>
      <c r="G1820" s="21"/>
      <c r="H1820" s="58"/>
      <c r="I1820" s="14"/>
      <c r="J1820" s="14" t="s">
        <v>23</v>
      </c>
      <c r="K1820" s="14"/>
      <c r="L1820" s="14"/>
      <c r="M1820" s="14" t="s">
        <v>1819</v>
      </c>
      <c r="N1820" s="14" t="s">
        <v>25</v>
      </c>
      <c r="O1820" s="14"/>
      <c r="P1820" s="14"/>
      <c r="Q1820" s="14"/>
      <c r="R1820" s="14" t="s">
        <v>1820</v>
      </c>
    </row>
    <row r="1821" spans="1:1027" ht="15" customHeight="1">
      <c r="A1821" s="12">
        <v>1456</v>
      </c>
      <c r="B1821" s="13" t="s">
        <v>2810</v>
      </c>
      <c r="C1821" s="14"/>
      <c r="D1821" s="14" t="s">
        <v>2809</v>
      </c>
      <c r="E1821" s="22" t="s">
        <v>2430</v>
      </c>
      <c r="F1821" s="15" t="s">
        <v>22</v>
      </c>
      <c r="G1821" s="21"/>
      <c r="H1821" s="58">
        <v>2</v>
      </c>
      <c r="I1821" s="14"/>
      <c r="J1821" s="14" t="s">
        <v>23</v>
      </c>
      <c r="K1821" s="14"/>
      <c r="L1821" s="14"/>
      <c r="M1821" s="14" t="s">
        <v>2651</v>
      </c>
      <c r="N1821" s="25" t="s">
        <v>37</v>
      </c>
      <c r="O1821" s="14" t="s">
        <v>2811</v>
      </c>
      <c r="P1821" s="14"/>
      <c r="Q1821" s="14"/>
      <c r="R1821" s="14" t="s">
        <v>2652</v>
      </c>
    </row>
    <row r="1822" spans="1:1027" ht="15" customHeight="1">
      <c r="A1822" s="12">
        <v>2203</v>
      </c>
      <c r="B1822" s="13" t="s">
        <v>2812</v>
      </c>
      <c r="C1822" s="31"/>
      <c r="D1822" s="16">
        <v>606</v>
      </c>
      <c r="E1822" s="22" t="s">
        <v>2430</v>
      </c>
      <c r="F1822" s="15" t="s">
        <v>22</v>
      </c>
      <c r="G1822" s="18"/>
      <c r="H1822" s="58">
        <v>3</v>
      </c>
      <c r="I1822" s="16"/>
      <c r="J1822" s="14" t="s">
        <v>23</v>
      </c>
      <c r="K1822" s="34"/>
      <c r="L1822" s="34"/>
      <c r="M1822" s="34"/>
      <c r="N1822" s="34"/>
      <c r="O1822" s="34"/>
      <c r="P1822" s="34"/>
      <c r="Q1822" s="34"/>
      <c r="R1822" s="34"/>
    </row>
    <row r="1823" spans="1:1027" ht="15" customHeight="1">
      <c r="A1823" s="12">
        <v>21</v>
      </c>
      <c r="B1823" s="13" t="s">
        <v>2813</v>
      </c>
      <c r="C1823" s="14"/>
      <c r="D1823" s="14" t="s">
        <v>2814</v>
      </c>
      <c r="E1823" s="22" t="s">
        <v>2430</v>
      </c>
      <c r="F1823" s="15" t="s">
        <v>22</v>
      </c>
      <c r="G1823" s="14"/>
      <c r="H1823" s="58"/>
      <c r="I1823" s="14"/>
      <c r="J1823" s="14" t="s">
        <v>23</v>
      </c>
      <c r="K1823" s="15"/>
      <c r="L1823" s="15"/>
      <c r="M1823" s="14" t="s">
        <v>24</v>
      </c>
      <c r="N1823" s="14" t="s">
        <v>25</v>
      </c>
      <c r="O1823" s="14"/>
      <c r="P1823" s="14"/>
      <c r="Q1823" s="14"/>
      <c r="R1823" s="17">
        <v>43599</v>
      </c>
      <c r="S1823" s="12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  <c r="HY1823" s="3"/>
      <c r="HZ1823" s="3"/>
      <c r="IA1823" s="3"/>
      <c r="IB1823" s="3"/>
      <c r="IC1823" s="3"/>
      <c r="ID1823" s="3"/>
      <c r="IE1823" s="3"/>
      <c r="IF1823" s="3"/>
      <c r="IG1823" s="3"/>
      <c r="IH1823" s="3"/>
      <c r="II1823" s="3"/>
      <c r="IJ1823" s="3"/>
      <c r="IK1823" s="3"/>
      <c r="IL1823" s="3"/>
      <c r="IM1823" s="3"/>
      <c r="IN1823" s="3"/>
      <c r="IO1823" s="3"/>
      <c r="IP1823" s="3"/>
      <c r="IQ1823" s="3"/>
      <c r="IR1823" s="3"/>
      <c r="IS1823" s="3"/>
      <c r="IT1823" s="3"/>
      <c r="IU1823" s="3"/>
      <c r="IV1823" s="3"/>
      <c r="IW1823" s="3"/>
      <c r="IX1823" s="3"/>
      <c r="IY1823" s="3"/>
      <c r="IZ1823" s="3"/>
      <c r="JA1823" s="3"/>
      <c r="JB1823" s="3"/>
      <c r="JC1823" s="3"/>
      <c r="JD1823" s="3"/>
      <c r="JE1823" s="3"/>
      <c r="JF1823" s="3"/>
      <c r="JG1823" s="3"/>
      <c r="JH1823" s="3"/>
      <c r="JI1823" s="3"/>
      <c r="JJ1823" s="3"/>
      <c r="JK1823" s="3"/>
      <c r="JL1823" s="3"/>
      <c r="JM1823" s="3"/>
      <c r="JN1823" s="3"/>
      <c r="JO1823" s="3"/>
      <c r="JP1823" s="3"/>
      <c r="JQ1823" s="3"/>
      <c r="JR1823" s="3"/>
      <c r="JS1823" s="3"/>
      <c r="JT1823" s="3"/>
      <c r="JU1823" s="3"/>
      <c r="JV1823" s="3"/>
      <c r="JW1823" s="3"/>
      <c r="JX1823" s="3"/>
      <c r="JY1823" s="3"/>
      <c r="JZ1823" s="3"/>
      <c r="KA1823" s="3"/>
      <c r="KB1823" s="3"/>
      <c r="KC1823" s="3"/>
      <c r="KD1823" s="3"/>
      <c r="KE1823" s="3"/>
      <c r="KF1823" s="3"/>
      <c r="KG1823" s="3"/>
      <c r="KH1823" s="3"/>
      <c r="KI1823" s="3"/>
      <c r="KJ1823" s="3"/>
      <c r="KK1823" s="3"/>
      <c r="KL1823" s="3"/>
      <c r="KM1823" s="3"/>
      <c r="KN1823" s="3"/>
      <c r="KO1823" s="3"/>
      <c r="KP1823" s="3"/>
      <c r="KQ1823" s="3"/>
      <c r="KR1823" s="3"/>
      <c r="KS1823" s="3"/>
      <c r="KT1823" s="3"/>
      <c r="KU1823" s="3"/>
      <c r="KV1823" s="3"/>
      <c r="KW1823" s="3"/>
      <c r="KX1823" s="3"/>
      <c r="KY1823" s="3"/>
      <c r="KZ1823" s="3"/>
      <c r="LA1823" s="3"/>
      <c r="LB1823" s="3"/>
      <c r="LC1823" s="3"/>
      <c r="LD1823" s="3"/>
      <c r="LE1823" s="3"/>
      <c r="LF1823" s="3"/>
      <c r="LG1823" s="3"/>
      <c r="LH1823" s="3"/>
      <c r="LI1823" s="3"/>
      <c r="LJ1823" s="3"/>
      <c r="LK1823" s="3"/>
      <c r="LL1823" s="3"/>
      <c r="LM1823" s="3"/>
      <c r="LN1823" s="3"/>
      <c r="LO1823" s="3"/>
      <c r="LP1823" s="3"/>
      <c r="LQ1823" s="3"/>
      <c r="LR1823" s="3"/>
      <c r="LS1823" s="3"/>
      <c r="LT1823" s="3"/>
      <c r="LU1823" s="3"/>
      <c r="LV1823" s="3"/>
      <c r="LW1823" s="3"/>
      <c r="LX1823" s="3"/>
      <c r="LY1823" s="3"/>
      <c r="LZ1823" s="3"/>
      <c r="MA1823" s="3"/>
      <c r="MB1823" s="3"/>
      <c r="MC1823" s="3"/>
      <c r="MD1823" s="3"/>
      <c r="ME1823" s="3"/>
      <c r="MF1823" s="3"/>
      <c r="MG1823" s="3"/>
      <c r="MH1823" s="3"/>
      <c r="MI1823" s="3"/>
      <c r="MJ1823" s="3"/>
      <c r="MK1823" s="3"/>
      <c r="ML1823" s="3"/>
      <c r="MM1823" s="3"/>
      <c r="MN1823" s="3"/>
      <c r="MO1823" s="3"/>
      <c r="MP1823" s="3"/>
      <c r="MQ1823" s="3"/>
      <c r="MR1823" s="3"/>
      <c r="MS1823" s="3"/>
      <c r="MT1823" s="3"/>
      <c r="MU1823" s="3"/>
      <c r="MV1823" s="3"/>
      <c r="MW1823" s="3"/>
      <c r="MX1823" s="3"/>
      <c r="MY1823" s="3"/>
      <c r="MZ1823" s="3"/>
      <c r="NA1823" s="3"/>
      <c r="NB1823" s="3"/>
      <c r="NC1823" s="3"/>
      <c r="ND1823" s="3"/>
      <c r="NE1823" s="3"/>
      <c r="NF1823" s="3"/>
      <c r="NG1823" s="3"/>
      <c r="NH1823" s="3"/>
      <c r="NI1823" s="3"/>
      <c r="NJ1823" s="3"/>
      <c r="NK1823" s="3"/>
      <c r="NL1823" s="3"/>
      <c r="NM1823" s="3"/>
      <c r="NN1823" s="3"/>
      <c r="NO1823" s="3"/>
      <c r="NP1823" s="3"/>
      <c r="NQ1823" s="3"/>
      <c r="NR1823" s="3"/>
      <c r="NS1823" s="3"/>
      <c r="NT1823" s="3"/>
      <c r="NU1823" s="3"/>
      <c r="NV1823" s="3"/>
      <c r="NW1823" s="3"/>
      <c r="NX1823" s="3"/>
      <c r="NY1823" s="3"/>
      <c r="NZ1823" s="3"/>
      <c r="OA1823" s="3"/>
      <c r="OB1823" s="3"/>
      <c r="OC1823" s="3"/>
      <c r="OD1823" s="3"/>
      <c r="OE1823" s="3"/>
      <c r="OF1823" s="3"/>
      <c r="OG1823" s="3"/>
      <c r="OH1823" s="3"/>
      <c r="OI1823" s="3"/>
      <c r="OJ1823" s="3"/>
      <c r="OK1823" s="3"/>
      <c r="OL1823" s="3"/>
      <c r="OM1823" s="3"/>
      <c r="ON1823" s="3"/>
      <c r="OO1823" s="3"/>
      <c r="OP1823" s="3"/>
      <c r="OQ1823" s="3"/>
      <c r="OR1823" s="3"/>
      <c r="OS1823" s="3"/>
      <c r="OT1823" s="3"/>
      <c r="OU1823" s="3"/>
      <c r="OV1823" s="3"/>
      <c r="OW1823" s="3"/>
      <c r="OX1823" s="3"/>
      <c r="OY1823" s="3"/>
      <c r="OZ1823" s="3"/>
      <c r="PA1823" s="3"/>
      <c r="PB1823" s="3"/>
      <c r="PC1823" s="3"/>
      <c r="PD1823" s="3"/>
      <c r="PE1823" s="3"/>
      <c r="PF1823" s="3"/>
      <c r="PG1823" s="3"/>
      <c r="PH1823" s="3"/>
      <c r="PI1823" s="3"/>
      <c r="PJ1823" s="3"/>
      <c r="PK1823" s="3"/>
      <c r="PL1823" s="3"/>
      <c r="PM1823" s="3"/>
      <c r="PN1823" s="3"/>
      <c r="PO1823" s="3"/>
      <c r="PP1823" s="3"/>
      <c r="PQ1823" s="3"/>
      <c r="PR1823" s="3"/>
      <c r="PS1823" s="3"/>
      <c r="PT1823" s="3"/>
      <c r="PU1823" s="3"/>
      <c r="PV1823" s="3"/>
      <c r="PW1823" s="3"/>
      <c r="PX1823" s="3"/>
      <c r="PY1823" s="3"/>
      <c r="PZ1823" s="3"/>
      <c r="QA1823" s="3"/>
      <c r="QB1823" s="3"/>
      <c r="QC1823" s="3"/>
      <c r="QD1823" s="3"/>
      <c r="QE1823" s="3"/>
      <c r="QF1823" s="3"/>
      <c r="QG1823" s="3"/>
      <c r="QH1823" s="3"/>
      <c r="QI1823" s="3"/>
      <c r="QJ1823" s="3"/>
      <c r="QK1823" s="3"/>
      <c r="QL1823" s="3"/>
      <c r="QM1823" s="3"/>
      <c r="QN1823" s="3"/>
      <c r="QO1823" s="3"/>
      <c r="QP1823" s="3"/>
      <c r="QQ1823" s="3"/>
      <c r="QR1823" s="3"/>
      <c r="QS1823" s="3"/>
      <c r="QT1823" s="3"/>
      <c r="QU1823" s="3"/>
      <c r="QV1823" s="3"/>
      <c r="QW1823" s="3"/>
      <c r="QX1823" s="3"/>
      <c r="QY1823" s="3"/>
      <c r="QZ1823" s="3"/>
      <c r="RA1823" s="3"/>
      <c r="RB1823" s="3"/>
      <c r="RC1823" s="3"/>
      <c r="RD1823" s="3"/>
      <c r="RE1823" s="3"/>
      <c r="RF1823" s="3"/>
      <c r="RG1823" s="3"/>
      <c r="RH1823" s="3"/>
      <c r="RI1823" s="3"/>
      <c r="RJ1823" s="3"/>
      <c r="RK1823" s="3"/>
      <c r="RL1823" s="3"/>
      <c r="RM1823" s="3"/>
      <c r="RN1823" s="3"/>
      <c r="RO1823" s="3"/>
      <c r="RP1823" s="3"/>
      <c r="RQ1823" s="3"/>
      <c r="RR1823" s="3"/>
      <c r="RS1823" s="3"/>
      <c r="RT1823" s="3"/>
      <c r="RU1823" s="3"/>
      <c r="RV1823" s="3"/>
      <c r="RW1823" s="3"/>
      <c r="RX1823" s="3"/>
      <c r="RY1823" s="3"/>
      <c r="RZ1823" s="3"/>
      <c r="SA1823" s="3"/>
      <c r="SB1823" s="3"/>
      <c r="SC1823" s="3"/>
      <c r="SD1823" s="3"/>
      <c r="SE1823" s="3"/>
      <c r="SF1823" s="3"/>
      <c r="SG1823" s="3"/>
      <c r="SH1823" s="3"/>
      <c r="SI1823" s="3"/>
      <c r="SJ1823" s="3"/>
      <c r="SK1823" s="3"/>
      <c r="SL1823" s="3"/>
      <c r="SM1823" s="3"/>
      <c r="SN1823" s="3"/>
      <c r="SO1823" s="3"/>
      <c r="SP1823" s="3"/>
      <c r="SQ1823" s="3"/>
      <c r="SR1823" s="3"/>
      <c r="SS1823" s="3"/>
      <c r="ST1823" s="3"/>
      <c r="SU1823" s="3"/>
      <c r="SV1823" s="3"/>
      <c r="SW1823" s="3"/>
      <c r="SX1823" s="3"/>
      <c r="SY1823" s="3"/>
      <c r="SZ1823" s="3"/>
      <c r="TA1823" s="3"/>
      <c r="TB1823" s="3"/>
      <c r="TC1823" s="3"/>
      <c r="TD1823" s="3"/>
      <c r="TE1823" s="3"/>
      <c r="TF1823" s="3"/>
      <c r="TG1823" s="3"/>
      <c r="TH1823" s="3"/>
      <c r="TI1823" s="3"/>
      <c r="TJ1823" s="3"/>
      <c r="TK1823" s="3"/>
      <c r="TL1823" s="3"/>
      <c r="TM1823" s="3"/>
      <c r="TN1823" s="3"/>
      <c r="TO1823" s="3"/>
      <c r="TP1823" s="3"/>
      <c r="TQ1823" s="3"/>
      <c r="TR1823" s="3"/>
      <c r="TS1823" s="3"/>
      <c r="TT1823" s="3"/>
      <c r="TU1823" s="3"/>
      <c r="TV1823" s="3"/>
      <c r="TW1823" s="3"/>
      <c r="TX1823" s="3"/>
      <c r="TY1823" s="3"/>
      <c r="TZ1823" s="3"/>
      <c r="UA1823" s="3"/>
      <c r="UB1823" s="3"/>
      <c r="UC1823" s="3"/>
      <c r="UD1823" s="3"/>
      <c r="UE1823" s="3"/>
      <c r="UF1823" s="3"/>
      <c r="UG1823" s="3"/>
      <c r="UH1823" s="3"/>
      <c r="UI1823" s="3"/>
      <c r="UJ1823" s="3"/>
      <c r="UK1823" s="3"/>
      <c r="UL1823" s="3"/>
      <c r="UM1823" s="3"/>
      <c r="UN1823" s="3"/>
      <c r="UO1823" s="3"/>
      <c r="UP1823" s="3"/>
      <c r="UQ1823" s="3"/>
      <c r="UR1823" s="3"/>
      <c r="US1823" s="3"/>
      <c r="UT1823" s="3"/>
      <c r="UU1823" s="3"/>
      <c r="UV1823" s="3"/>
      <c r="UW1823" s="3"/>
      <c r="UX1823" s="3"/>
      <c r="UY1823" s="3"/>
      <c r="UZ1823" s="3"/>
      <c r="VA1823" s="3"/>
      <c r="VB1823" s="3"/>
      <c r="VC1823" s="3"/>
      <c r="VD1823" s="3"/>
      <c r="VE1823" s="3"/>
      <c r="VF1823" s="3"/>
      <c r="VG1823" s="3"/>
      <c r="VH1823" s="3"/>
      <c r="VI1823" s="3"/>
      <c r="VJ1823" s="3"/>
      <c r="VK1823" s="3"/>
      <c r="VL1823" s="3"/>
      <c r="VM1823" s="3"/>
      <c r="VN1823" s="3"/>
      <c r="VO1823" s="3"/>
      <c r="VP1823" s="3"/>
      <c r="VQ1823" s="3"/>
      <c r="VR1823" s="3"/>
      <c r="VS1823" s="3"/>
      <c r="VT1823" s="3"/>
      <c r="VU1823" s="3"/>
      <c r="VV1823" s="3"/>
      <c r="VW1823" s="3"/>
      <c r="VX1823" s="3"/>
      <c r="VY1823" s="3"/>
      <c r="VZ1823" s="3"/>
      <c r="WA1823" s="3"/>
      <c r="WB1823" s="3"/>
      <c r="WC1823" s="3"/>
      <c r="WD1823" s="3"/>
      <c r="WE1823" s="3"/>
      <c r="WF1823" s="3"/>
      <c r="WG1823" s="3"/>
      <c r="WH1823" s="3"/>
      <c r="WI1823" s="3"/>
      <c r="WJ1823" s="3"/>
      <c r="WK1823" s="3"/>
      <c r="WL1823" s="3"/>
      <c r="WM1823" s="3"/>
      <c r="WN1823" s="3"/>
      <c r="WO1823" s="3"/>
      <c r="WP1823" s="3"/>
      <c r="WQ1823" s="3"/>
      <c r="WR1823" s="3"/>
      <c r="WS1823" s="3"/>
      <c r="WT1823" s="3"/>
      <c r="WU1823" s="3"/>
      <c r="WV1823" s="3"/>
      <c r="WW1823" s="3"/>
      <c r="WX1823" s="3"/>
      <c r="WY1823" s="3"/>
      <c r="WZ1823" s="3"/>
      <c r="XA1823" s="3"/>
      <c r="XB1823" s="3"/>
      <c r="XC1823" s="3"/>
      <c r="XD1823" s="3"/>
      <c r="XE1823" s="3"/>
      <c r="XF1823" s="3"/>
      <c r="XG1823" s="3"/>
      <c r="XH1823" s="3"/>
      <c r="XI1823" s="3"/>
      <c r="XJ1823" s="3"/>
      <c r="XK1823" s="3"/>
      <c r="XL1823" s="3"/>
      <c r="XM1823" s="3"/>
      <c r="XN1823" s="3"/>
      <c r="XO1823" s="3"/>
      <c r="XP1823" s="3"/>
      <c r="XQ1823" s="3"/>
      <c r="XR1823" s="3"/>
      <c r="XS1823" s="3"/>
      <c r="XT1823" s="3"/>
      <c r="XU1823" s="3"/>
      <c r="XV1823" s="3"/>
      <c r="XW1823" s="3"/>
      <c r="XX1823" s="3"/>
      <c r="XY1823" s="3"/>
      <c r="XZ1823" s="3"/>
      <c r="YA1823" s="3"/>
      <c r="YB1823" s="3"/>
      <c r="YC1823" s="3"/>
      <c r="YD1823" s="3"/>
      <c r="YE1823" s="3"/>
      <c r="YF1823" s="3"/>
      <c r="YG1823" s="3"/>
      <c r="YH1823" s="3"/>
      <c r="YI1823" s="3"/>
      <c r="YJ1823" s="3"/>
      <c r="YK1823" s="3"/>
      <c r="YL1823" s="3"/>
      <c r="YM1823" s="3"/>
      <c r="YN1823" s="3"/>
      <c r="YO1823" s="3"/>
      <c r="YP1823" s="3"/>
      <c r="YQ1823" s="3"/>
      <c r="YR1823" s="3"/>
      <c r="YS1823" s="3"/>
      <c r="YT1823" s="3"/>
      <c r="YU1823" s="3"/>
      <c r="YV1823" s="3"/>
      <c r="YW1823" s="3"/>
      <c r="YX1823" s="3"/>
      <c r="YY1823" s="3"/>
      <c r="YZ1823" s="3"/>
      <c r="ZA1823" s="3"/>
      <c r="ZB1823" s="3"/>
      <c r="ZC1823" s="3"/>
      <c r="ZD1823" s="3"/>
      <c r="ZE1823" s="3"/>
      <c r="ZF1823" s="3"/>
      <c r="ZG1823" s="3"/>
      <c r="ZH1823" s="3"/>
      <c r="ZI1823" s="3"/>
      <c r="ZJ1823" s="3"/>
      <c r="ZK1823" s="3"/>
      <c r="ZL1823" s="3"/>
      <c r="ZM1823" s="3"/>
      <c r="ZN1823" s="3"/>
      <c r="ZO1823" s="3"/>
      <c r="ZP1823" s="3"/>
      <c r="ZQ1823" s="3"/>
      <c r="ZR1823" s="3"/>
      <c r="ZS1823" s="3"/>
      <c r="ZT1823" s="3"/>
      <c r="ZU1823" s="3"/>
      <c r="ZV1823" s="3"/>
      <c r="ZW1823" s="3"/>
      <c r="ZX1823" s="3"/>
      <c r="ZY1823" s="3"/>
      <c r="ZZ1823" s="3"/>
      <c r="AAA1823" s="3"/>
      <c r="AAB1823" s="3"/>
      <c r="AAC1823" s="3"/>
      <c r="AAD1823" s="3"/>
      <c r="AAE1823" s="3"/>
      <c r="AAF1823" s="3"/>
      <c r="AAG1823" s="3"/>
      <c r="AAH1823" s="3"/>
      <c r="AAI1823" s="3"/>
      <c r="AAJ1823" s="3"/>
      <c r="AAK1823" s="3"/>
      <c r="AAL1823" s="3"/>
      <c r="AAM1823" s="3"/>
      <c r="AAN1823" s="3"/>
      <c r="AAO1823" s="3"/>
      <c r="AAP1823" s="3"/>
      <c r="AAQ1823" s="3"/>
      <c r="AAR1823" s="3"/>
      <c r="AAS1823" s="3"/>
      <c r="AAT1823" s="3"/>
      <c r="AAU1823" s="3"/>
      <c r="AAV1823" s="3"/>
      <c r="AAW1823" s="3"/>
      <c r="AAX1823" s="3"/>
      <c r="AAY1823" s="3"/>
      <c r="AAZ1823" s="3"/>
      <c r="ABA1823" s="3"/>
      <c r="ABB1823" s="3"/>
      <c r="ABC1823" s="3"/>
      <c r="ABD1823" s="3"/>
      <c r="ABE1823" s="3"/>
      <c r="ABF1823" s="3"/>
      <c r="ABG1823" s="3"/>
      <c r="ABH1823" s="3"/>
      <c r="ABI1823" s="3"/>
      <c r="ABJ1823" s="3"/>
      <c r="ABK1823" s="3"/>
      <c r="ABL1823" s="3"/>
      <c r="ABM1823" s="3"/>
      <c r="ABN1823" s="3"/>
      <c r="ABO1823" s="3"/>
      <c r="ABP1823" s="3"/>
      <c r="ABQ1823" s="3"/>
      <c r="ABR1823" s="3"/>
      <c r="ABS1823" s="3"/>
      <c r="ABT1823" s="3"/>
      <c r="ABU1823" s="3"/>
      <c r="ABV1823" s="3"/>
      <c r="ABW1823" s="3"/>
      <c r="ABX1823" s="3"/>
      <c r="ABY1823" s="3"/>
      <c r="ABZ1823" s="3"/>
      <c r="ACA1823" s="3"/>
      <c r="ACB1823" s="3"/>
      <c r="ACC1823" s="3"/>
      <c r="ACD1823" s="3"/>
      <c r="ACE1823" s="3"/>
      <c r="ACF1823" s="3"/>
      <c r="ACG1823" s="3"/>
      <c r="ACH1823" s="3"/>
      <c r="ACI1823" s="3"/>
      <c r="ACJ1823" s="3"/>
      <c r="ACK1823" s="3"/>
      <c r="ACL1823" s="3"/>
      <c r="ACM1823" s="3"/>
      <c r="ACN1823" s="3"/>
      <c r="ACO1823" s="3"/>
      <c r="ACP1823" s="3"/>
      <c r="ACQ1823" s="3"/>
      <c r="ACR1823" s="3"/>
      <c r="ACS1823" s="3"/>
      <c r="ACT1823" s="3"/>
      <c r="ACU1823" s="3"/>
      <c r="ACV1823" s="3"/>
      <c r="ACW1823" s="3"/>
      <c r="ACX1823" s="3"/>
      <c r="ACY1823" s="3"/>
      <c r="ACZ1823" s="3"/>
      <c r="ADA1823" s="3"/>
      <c r="ADB1823" s="3"/>
      <c r="ADC1823" s="3"/>
      <c r="ADD1823" s="3"/>
      <c r="ADE1823" s="3"/>
      <c r="ADF1823" s="3"/>
      <c r="ADG1823" s="3"/>
      <c r="ADH1823" s="3"/>
      <c r="ADI1823" s="3"/>
      <c r="ADJ1823" s="3"/>
      <c r="ADK1823" s="3"/>
      <c r="ADL1823" s="3"/>
      <c r="ADM1823" s="3"/>
      <c r="ADN1823" s="3"/>
      <c r="ADO1823" s="3"/>
      <c r="ADP1823" s="3"/>
      <c r="ADQ1823" s="3"/>
      <c r="ADR1823" s="3"/>
      <c r="ADS1823" s="3"/>
      <c r="ADT1823" s="3"/>
      <c r="ADU1823" s="3"/>
      <c r="ADV1823" s="3"/>
      <c r="ADW1823" s="3"/>
      <c r="ADX1823" s="3"/>
      <c r="ADY1823" s="3"/>
      <c r="ADZ1823" s="3"/>
      <c r="AEA1823" s="3"/>
      <c r="AEB1823" s="3"/>
      <c r="AEC1823" s="3"/>
      <c r="AED1823" s="3"/>
      <c r="AEE1823" s="3"/>
      <c r="AEF1823" s="3"/>
      <c r="AEG1823" s="3"/>
      <c r="AEH1823" s="3"/>
      <c r="AEI1823" s="3"/>
      <c r="AEJ1823" s="3"/>
      <c r="AEK1823" s="3"/>
      <c r="AEL1823" s="3"/>
      <c r="AEM1823" s="3"/>
      <c r="AEN1823" s="3"/>
      <c r="AEO1823" s="3"/>
      <c r="AEP1823" s="3"/>
      <c r="AEQ1823" s="3"/>
      <c r="AER1823" s="3"/>
      <c r="AES1823" s="3"/>
      <c r="AET1823" s="3"/>
      <c r="AEU1823" s="3"/>
      <c r="AEV1823" s="3"/>
      <c r="AEW1823" s="3"/>
      <c r="AEX1823" s="3"/>
      <c r="AEY1823" s="3"/>
      <c r="AEZ1823" s="3"/>
      <c r="AFA1823" s="3"/>
      <c r="AFB1823" s="3"/>
      <c r="AFC1823" s="3"/>
      <c r="AFD1823" s="3"/>
      <c r="AFE1823" s="3"/>
      <c r="AFF1823" s="3"/>
      <c r="AFG1823" s="3"/>
      <c r="AFH1823" s="3"/>
      <c r="AFI1823" s="3"/>
      <c r="AFJ1823" s="3"/>
      <c r="AFK1823" s="3"/>
      <c r="AFL1823" s="3"/>
      <c r="AFM1823" s="3"/>
      <c r="AFN1823" s="3"/>
      <c r="AFO1823" s="3"/>
      <c r="AFP1823" s="3"/>
      <c r="AFQ1823" s="3"/>
      <c r="AFR1823" s="3"/>
      <c r="AFS1823" s="3"/>
      <c r="AFT1823" s="3"/>
      <c r="AFU1823" s="3"/>
      <c r="AFV1823" s="3"/>
      <c r="AFW1823" s="3"/>
      <c r="AFX1823" s="3"/>
      <c r="AFY1823" s="3"/>
      <c r="AFZ1823" s="3"/>
      <c r="AGA1823" s="3"/>
      <c r="AGB1823" s="3"/>
      <c r="AGC1823" s="3"/>
      <c r="AGD1823" s="3"/>
      <c r="AGE1823" s="3"/>
      <c r="AGF1823" s="3"/>
      <c r="AGG1823" s="3"/>
      <c r="AGH1823" s="3"/>
      <c r="AGI1823" s="3"/>
      <c r="AGJ1823" s="3"/>
      <c r="AGK1823" s="3"/>
      <c r="AGL1823" s="3"/>
      <c r="AGM1823" s="3"/>
      <c r="AGN1823" s="3"/>
      <c r="AGO1823" s="3"/>
      <c r="AGP1823" s="3"/>
      <c r="AGQ1823" s="3"/>
      <c r="AGR1823" s="3"/>
      <c r="AGS1823" s="3"/>
      <c r="AGT1823" s="3"/>
      <c r="AGU1823" s="3"/>
      <c r="AGV1823" s="3"/>
      <c r="AGW1823" s="3"/>
      <c r="AGX1823" s="3"/>
      <c r="AGY1823" s="3"/>
      <c r="AGZ1823" s="3"/>
      <c r="AHA1823" s="3"/>
      <c r="AHB1823" s="3"/>
      <c r="AHC1823" s="3"/>
      <c r="AHD1823" s="3"/>
      <c r="AHE1823" s="3"/>
      <c r="AHF1823" s="3"/>
      <c r="AHG1823" s="3"/>
      <c r="AHH1823" s="3"/>
      <c r="AHI1823" s="3"/>
      <c r="AHJ1823" s="3"/>
      <c r="AHK1823" s="3"/>
      <c r="AHL1823" s="3"/>
      <c r="AHM1823" s="3"/>
      <c r="AHN1823" s="3"/>
      <c r="AHO1823" s="3"/>
      <c r="AHP1823" s="3"/>
      <c r="AHQ1823" s="3"/>
      <c r="AHR1823" s="3"/>
      <c r="AHS1823" s="3"/>
      <c r="AHT1823" s="3"/>
      <c r="AHU1823" s="3"/>
      <c r="AHV1823" s="3"/>
      <c r="AHW1823" s="3"/>
      <c r="AHX1823" s="3"/>
      <c r="AHY1823" s="3"/>
      <c r="AHZ1823" s="3"/>
      <c r="AIA1823" s="3"/>
      <c r="AIB1823" s="3"/>
      <c r="AIC1823" s="3"/>
      <c r="AID1823" s="3"/>
      <c r="AIE1823" s="3"/>
      <c r="AIF1823" s="3"/>
      <c r="AIG1823" s="3"/>
      <c r="AIH1823" s="3"/>
      <c r="AII1823" s="3"/>
      <c r="AIJ1823" s="3"/>
      <c r="AIK1823" s="3"/>
      <c r="AIL1823" s="3"/>
      <c r="AIM1823" s="3"/>
      <c r="AIN1823" s="3"/>
      <c r="AIO1823" s="3"/>
      <c r="AIP1823" s="3"/>
      <c r="AIQ1823" s="3"/>
      <c r="AIR1823" s="3"/>
      <c r="AIS1823" s="3"/>
      <c r="AIT1823" s="3"/>
      <c r="AIU1823" s="3"/>
      <c r="AIV1823" s="3"/>
      <c r="AIW1823" s="3"/>
      <c r="AIX1823" s="3"/>
      <c r="AIY1823" s="3"/>
      <c r="AIZ1823" s="3"/>
      <c r="AJA1823" s="3"/>
      <c r="AJB1823" s="3"/>
      <c r="AJC1823" s="3"/>
      <c r="AJD1823" s="3"/>
      <c r="AJE1823" s="3"/>
      <c r="AJF1823" s="3"/>
      <c r="AJG1823" s="3"/>
      <c r="AJH1823" s="3"/>
      <c r="AJI1823" s="3"/>
      <c r="AJJ1823" s="3"/>
      <c r="AJK1823" s="3"/>
      <c r="AJL1823" s="3"/>
      <c r="AJM1823" s="3"/>
      <c r="AJN1823" s="3"/>
      <c r="AJO1823" s="3"/>
      <c r="AJP1823" s="3"/>
      <c r="AJQ1823" s="3"/>
      <c r="AJR1823" s="3"/>
      <c r="AJS1823" s="3"/>
      <c r="AJT1823" s="3"/>
      <c r="AJU1823" s="3"/>
      <c r="AJV1823" s="3"/>
      <c r="AJW1823" s="3"/>
      <c r="AJX1823" s="3"/>
      <c r="AJY1823" s="3"/>
      <c r="AJZ1823" s="3"/>
      <c r="AKA1823" s="3"/>
      <c r="AKB1823" s="3"/>
      <c r="AKC1823" s="3"/>
      <c r="AKD1823" s="3"/>
      <c r="AKE1823" s="3"/>
      <c r="AKF1823" s="3"/>
      <c r="AKG1823" s="3"/>
      <c r="AKH1823" s="3"/>
      <c r="AKI1823" s="3"/>
      <c r="AKJ1823" s="3"/>
      <c r="AKK1823" s="3"/>
      <c r="AKL1823" s="3"/>
      <c r="AKM1823" s="3"/>
      <c r="AKN1823" s="3"/>
      <c r="AKO1823" s="3"/>
      <c r="AKP1823" s="3"/>
      <c r="AKQ1823" s="3"/>
      <c r="AKR1823" s="3"/>
      <c r="AKS1823" s="3"/>
      <c r="AKT1823" s="3"/>
      <c r="AKU1823" s="3"/>
      <c r="AKV1823" s="3"/>
      <c r="AKW1823" s="3"/>
      <c r="AKX1823" s="3"/>
      <c r="AKY1823" s="3"/>
      <c r="AKZ1823" s="3"/>
      <c r="ALA1823" s="3"/>
      <c r="ALB1823" s="3"/>
      <c r="ALC1823" s="3"/>
      <c r="ALD1823" s="3"/>
      <c r="ALE1823" s="3"/>
      <c r="ALF1823" s="3"/>
      <c r="ALG1823" s="3"/>
      <c r="ALH1823" s="3"/>
      <c r="ALI1823" s="3"/>
      <c r="ALJ1823" s="3"/>
      <c r="ALK1823" s="3"/>
      <c r="ALL1823" s="3"/>
      <c r="ALM1823" s="3"/>
      <c r="ALN1823" s="3"/>
      <c r="ALO1823" s="3"/>
      <c r="ALP1823" s="3"/>
      <c r="ALQ1823" s="3"/>
      <c r="ALR1823" s="3"/>
      <c r="ALS1823" s="3"/>
      <c r="ALT1823" s="3"/>
      <c r="ALU1823" s="3"/>
      <c r="ALV1823" s="3"/>
      <c r="ALW1823" s="3"/>
      <c r="ALX1823" s="3"/>
      <c r="ALY1823" s="3"/>
      <c r="ALZ1823" s="3"/>
      <c r="AMA1823" s="3"/>
      <c r="AMB1823" s="3"/>
      <c r="AMC1823" s="3"/>
      <c r="AMD1823" s="3"/>
      <c r="AME1823" s="3"/>
      <c r="AMF1823" s="3"/>
      <c r="AMG1823" s="3"/>
      <c r="AMH1823" s="3"/>
      <c r="AMI1823" s="3"/>
      <c r="AMJ1823" s="3"/>
      <c r="AMK1823" s="3"/>
      <c r="AML1823" s="3"/>
      <c r="AMM1823" s="3"/>
    </row>
    <row r="1824" spans="1:1027" ht="15" customHeight="1">
      <c r="A1824" s="12">
        <v>741</v>
      </c>
      <c r="B1824" s="13" t="s">
        <v>2815</v>
      </c>
      <c r="C1824" s="14"/>
      <c r="D1824" s="14" t="s">
        <v>2814</v>
      </c>
      <c r="E1824" s="22" t="s">
        <v>2430</v>
      </c>
      <c r="F1824" s="15" t="s">
        <v>22</v>
      </c>
      <c r="G1824" s="21"/>
      <c r="H1824" s="58"/>
      <c r="I1824" s="14"/>
      <c r="J1824" s="14" t="s">
        <v>23</v>
      </c>
      <c r="K1824" s="14"/>
      <c r="L1824" s="14"/>
      <c r="M1824" s="14" t="s">
        <v>1819</v>
      </c>
      <c r="N1824" s="25" t="s">
        <v>37</v>
      </c>
      <c r="O1824" s="14" t="s">
        <v>189</v>
      </c>
      <c r="P1824" s="14"/>
      <c r="Q1824" s="14"/>
      <c r="R1824" s="14" t="s">
        <v>1820</v>
      </c>
    </row>
    <row r="1825" spans="1:18" ht="15" customHeight="1">
      <c r="A1825" s="12">
        <v>1457</v>
      </c>
      <c r="B1825" s="13" t="s">
        <v>2816</v>
      </c>
      <c r="C1825" s="14"/>
      <c r="D1825" s="14" t="s">
        <v>2814</v>
      </c>
      <c r="E1825" s="22" t="s">
        <v>2430</v>
      </c>
      <c r="F1825" s="15" t="s">
        <v>22</v>
      </c>
      <c r="G1825" s="21"/>
      <c r="H1825" s="58"/>
      <c r="I1825" s="14"/>
      <c r="J1825" s="14" t="s">
        <v>23</v>
      </c>
      <c r="K1825" s="14"/>
      <c r="L1825" s="14"/>
      <c r="M1825" s="14" t="s">
        <v>2651</v>
      </c>
      <c r="N1825" s="25" t="s">
        <v>37</v>
      </c>
      <c r="O1825" s="14" t="s">
        <v>2817</v>
      </c>
      <c r="P1825" s="14"/>
      <c r="Q1825" s="14"/>
      <c r="R1825" s="14" t="s">
        <v>2652</v>
      </c>
    </row>
    <row r="1826" spans="1:18" ht="15" customHeight="1">
      <c r="A1826" s="12">
        <v>2204</v>
      </c>
      <c r="B1826" s="13" t="s">
        <v>2818</v>
      </c>
      <c r="C1826" s="31"/>
      <c r="D1826" s="16">
        <v>607</v>
      </c>
      <c r="E1826" s="22" t="s">
        <v>2430</v>
      </c>
      <c r="F1826" s="15" t="s">
        <v>22</v>
      </c>
      <c r="G1826" s="18"/>
      <c r="H1826" s="58">
        <v>2</v>
      </c>
      <c r="I1826" s="16"/>
      <c r="J1826" s="14" t="s">
        <v>23</v>
      </c>
      <c r="K1826" s="34"/>
      <c r="L1826" s="34"/>
      <c r="M1826" s="34"/>
      <c r="N1826" s="34"/>
      <c r="O1826" s="34"/>
      <c r="P1826" s="34"/>
      <c r="Q1826" s="34"/>
      <c r="R1826" s="34"/>
    </row>
    <row r="1827" spans="1:18" ht="15" customHeight="1">
      <c r="A1827" s="12">
        <v>639</v>
      </c>
      <c r="B1827" s="13" t="s">
        <v>2819</v>
      </c>
      <c r="C1827" s="22"/>
      <c r="D1827" s="22" t="s">
        <v>2820</v>
      </c>
      <c r="E1827" s="22" t="s">
        <v>2430</v>
      </c>
      <c r="F1827" s="15" t="s">
        <v>22</v>
      </c>
      <c r="G1827" s="26"/>
      <c r="H1827" s="58"/>
      <c r="I1827" s="22"/>
      <c r="J1827" s="14" t="s">
        <v>23</v>
      </c>
      <c r="K1827" s="22"/>
      <c r="L1827" s="22"/>
      <c r="M1827" s="22" t="s">
        <v>654</v>
      </c>
      <c r="N1827" s="25" t="s">
        <v>37</v>
      </c>
      <c r="O1827" s="22" t="s">
        <v>45</v>
      </c>
      <c r="P1827" s="14"/>
      <c r="Q1827" s="14"/>
      <c r="R1827" s="14" t="s">
        <v>1820</v>
      </c>
    </row>
    <row r="1828" spans="1:18" ht="15" customHeight="1">
      <c r="A1828" s="12">
        <v>1606</v>
      </c>
      <c r="B1828" s="13" t="s">
        <v>2821</v>
      </c>
      <c r="C1828" s="14"/>
      <c r="D1828" s="14" t="s">
        <v>2820</v>
      </c>
      <c r="E1828" s="22" t="s">
        <v>2430</v>
      </c>
      <c r="F1828" s="15" t="s">
        <v>22</v>
      </c>
      <c r="G1828" s="14"/>
      <c r="H1828" s="58">
        <v>4</v>
      </c>
      <c r="I1828" s="14"/>
      <c r="J1828" s="14" t="s">
        <v>23</v>
      </c>
      <c r="K1828" s="14"/>
      <c r="L1828" s="14"/>
      <c r="M1828" s="14" t="s">
        <v>650</v>
      </c>
      <c r="N1828" s="25" t="s">
        <v>37</v>
      </c>
      <c r="O1828" s="14" t="s">
        <v>2051</v>
      </c>
      <c r="P1828" s="14"/>
      <c r="Q1828" s="14"/>
      <c r="R1828" s="14" t="s">
        <v>33</v>
      </c>
    </row>
    <row r="1829" spans="1:18" ht="15" customHeight="1">
      <c r="A1829" s="12">
        <v>2205</v>
      </c>
      <c r="B1829" s="13" t="s">
        <v>2822</v>
      </c>
      <c r="C1829" s="31"/>
      <c r="D1829" s="16">
        <v>608</v>
      </c>
      <c r="E1829" s="22" t="s">
        <v>2430</v>
      </c>
      <c r="F1829" s="15" t="s">
        <v>22</v>
      </c>
      <c r="G1829" s="18"/>
      <c r="H1829" s="58">
        <v>3</v>
      </c>
      <c r="I1829" s="16"/>
      <c r="J1829" s="14" t="s">
        <v>23</v>
      </c>
      <c r="K1829" s="34"/>
      <c r="L1829" s="34"/>
      <c r="M1829" s="34"/>
      <c r="N1829" s="34"/>
      <c r="O1829" s="34"/>
      <c r="P1829" s="34"/>
      <c r="Q1829" s="34"/>
      <c r="R1829" s="34"/>
    </row>
    <row r="1830" spans="1:18" ht="15" customHeight="1">
      <c r="A1830" s="12">
        <v>640</v>
      </c>
      <c r="B1830" s="13" t="s">
        <v>2823</v>
      </c>
      <c r="C1830" s="22"/>
      <c r="D1830" s="22" t="s">
        <v>2824</v>
      </c>
      <c r="E1830" s="22" t="s">
        <v>2430</v>
      </c>
      <c r="F1830" s="15" t="s">
        <v>22</v>
      </c>
      <c r="G1830" s="26"/>
      <c r="H1830" s="58"/>
      <c r="I1830" s="22"/>
      <c r="J1830" s="14" t="s">
        <v>23</v>
      </c>
      <c r="K1830" s="22"/>
      <c r="L1830" s="22"/>
      <c r="M1830" s="22" t="s">
        <v>654</v>
      </c>
      <c r="N1830" s="25" t="s">
        <v>37</v>
      </c>
      <c r="O1830" s="22" t="s">
        <v>189</v>
      </c>
      <c r="P1830" s="14"/>
      <c r="Q1830" s="14"/>
      <c r="R1830" s="14" t="s">
        <v>1820</v>
      </c>
    </row>
    <row r="1831" spans="1:18" ht="15" customHeight="1">
      <c r="A1831" s="12">
        <v>1572</v>
      </c>
      <c r="B1831" s="13" t="s">
        <v>2825</v>
      </c>
      <c r="C1831" s="14"/>
      <c r="D1831" s="14" t="s">
        <v>2824</v>
      </c>
      <c r="E1831" s="22" t="s">
        <v>2430</v>
      </c>
      <c r="F1831" s="15" t="s">
        <v>22</v>
      </c>
      <c r="G1831" s="14"/>
      <c r="H1831" s="58">
        <v>2</v>
      </c>
      <c r="I1831" s="14"/>
      <c r="J1831" s="14" t="s">
        <v>23</v>
      </c>
      <c r="K1831" s="14"/>
      <c r="L1831" s="14"/>
      <c r="M1831" s="14" t="s">
        <v>650</v>
      </c>
      <c r="N1831" s="25" t="s">
        <v>37</v>
      </c>
      <c r="O1831" s="14" t="s">
        <v>2826</v>
      </c>
      <c r="P1831" s="14"/>
      <c r="Q1831" s="14"/>
      <c r="R1831" s="14" t="s">
        <v>2338</v>
      </c>
    </row>
    <row r="1832" spans="1:18" ht="15" customHeight="1">
      <c r="A1832" s="12">
        <v>2206</v>
      </c>
      <c r="B1832" s="13" t="s">
        <v>2827</v>
      </c>
      <c r="C1832" s="31"/>
      <c r="D1832" s="16">
        <v>609</v>
      </c>
      <c r="E1832" s="22" t="s">
        <v>2430</v>
      </c>
      <c r="F1832" s="15" t="s">
        <v>22</v>
      </c>
      <c r="G1832" s="18"/>
      <c r="H1832" s="58">
        <v>3</v>
      </c>
      <c r="I1832" s="16"/>
      <c r="J1832" s="14" t="s">
        <v>23</v>
      </c>
      <c r="K1832" s="34"/>
      <c r="L1832" s="34"/>
      <c r="M1832" s="34"/>
      <c r="N1832" s="34"/>
      <c r="O1832" s="34"/>
      <c r="P1832" s="34"/>
      <c r="Q1832" s="34"/>
      <c r="R1832" s="34"/>
    </row>
    <row r="1833" spans="1:18" ht="15" customHeight="1">
      <c r="A1833" s="12">
        <v>641</v>
      </c>
      <c r="B1833" s="13" t="s">
        <v>2828</v>
      </c>
      <c r="C1833" s="22"/>
      <c r="D1833" s="22" t="s">
        <v>2829</v>
      </c>
      <c r="E1833" s="22" t="s">
        <v>2430</v>
      </c>
      <c r="F1833" s="15" t="s">
        <v>22</v>
      </c>
      <c r="G1833" s="26"/>
      <c r="H1833" s="58"/>
      <c r="I1833" s="22"/>
      <c r="J1833" s="14" t="s">
        <v>23</v>
      </c>
      <c r="K1833" s="22"/>
      <c r="L1833" s="22"/>
      <c r="M1833" s="22" t="s">
        <v>654</v>
      </c>
      <c r="N1833" s="25" t="s">
        <v>37</v>
      </c>
      <c r="O1833" s="22" t="s">
        <v>185</v>
      </c>
      <c r="P1833" s="14"/>
      <c r="Q1833" s="14"/>
      <c r="R1833" s="14" t="s">
        <v>1820</v>
      </c>
    </row>
    <row r="1834" spans="1:18" ht="15" customHeight="1">
      <c r="A1834" s="12">
        <v>1573</v>
      </c>
      <c r="B1834" s="13" t="s">
        <v>2830</v>
      </c>
      <c r="C1834" s="14"/>
      <c r="D1834" s="14" t="s">
        <v>2829</v>
      </c>
      <c r="E1834" s="22" t="s">
        <v>2430</v>
      </c>
      <c r="F1834" s="15" t="s">
        <v>22</v>
      </c>
      <c r="G1834" s="14"/>
      <c r="H1834" s="58">
        <v>3</v>
      </c>
      <c r="I1834" s="14"/>
      <c r="J1834" s="14" t="s">
        <v>23</v>
      </c>
      <c r="K1834" s="14"/>
      <c r="L1834" s="14"/>
      <c r="M1834" s="14" t="s">
        <v>650</v>
      </c>
      <c r="N1834" s="25" t="s">
        <v>37</v>
      </c>
      <c r="O1834" s="14" t="s">
        <v>2831</v>
      </c>
      <c r="P1834" s="14"/>
      <c r="Q1834" s="14"/>
      <c r="R1834" s="14" t="s">
        <v>2338</v>
      </c>
    </row>
    <row r="1835" spans="1:18" ht="15" customHeight="1">
      <c r="A1835" s="12">
        <v>2207</v>
      </c>
      <c r="B1835" s="13" t="s">
        <v>2832</v>
      </c>
      <c r="C1835" s="31"/>
      <c r="D1835" s="16">
        <v>610</v>
      </c>
      <c r="E1835" s="22" t="s">
        <v>2430</v>
      </c>
      <c r="F1835" s="15" t="s">
        <v>22</v>
      </c>
      <c r="G1835" s="18"/>
      <c r="H1835" s="58">
        <v>3</v>
      </c>
      <c r="I1835" s="16"/>
      <c r="J1835" s="14" t="s">
        <v>23</v>
      </c>
      <c r="K1835" s="34"/>
      <c r="L1835" s="34"/>
      <c r="M1835" s="34"/>
      <c r="N1835" s="34"/>
      <c r="O1835" s="34"/>
      <c r="P1835" s="34"/>
      <c r="Q1835" s="34"/>
      <c r="R1835" s="34"/>
    </row>
    <row r="1836" spans="1:18" ht="15" customHeight="1">
      <c r="A1836" s="12">
        <v>642</v>
      </c>
      <c r="B1836" s="13" t="s">
        <v>2833</v>
      </c>
      <c r="C1836" s="22"/>
      <c r="D1836" s="22" t="s">
        <v>2834</v>
      </c>
      <c r="E1836" s="22" t="s">
        <v>2430</v>
      </c>
      <c r="F1836" s="15" t="s">
        <v>22</v>
      </c>
      <c r="G1836" s="26"/>
      <c r="H1836" s="58"/>
      <c r="I1836" s="22"/>
      <c r="J1836" s="14" t="s">
        <v>23</v>
      </c>
      <c r="K1836" s="22"/>
      <c r="L1836" s="22"/>
      <c r="M1836" s="22" t="s">
        <v>654</v>
      </c>
      <c r="N1836" s="25" t="s">
        <v>37</v>
      </c>
      <c r="O1836" s="22" t="s">
        <v>45</v>
      </c>
      <c r="P1836" s="14"/>
      <c r="Q1836" s="14"/>
      <c r="R1836" s="14" t="s">
        <v>1820</v>
      </c>
    </row>
    <row r="1837" spans="1:18" ht="15" customHeight="1">
      <c r="A1837" s="12">
        <v>1574</v>
      </c>
      <c r="B1837" s="13" t="s">
        <v>2835</v>
      </c>
      <c r="C1837" s="14"/>
      <c r="D1837" s="14" t="s">
        <v>2834</v>
      </c>
      <c r="E1837" s="22" t="s">
        <v>2430</v>
      </c>
      <c r="F1837" s="15" t="s">
        <v>22</v>
      </c>
      <c r="G1837" s="14"/>
      <c r="H1837" s="58">
        <v>3</v>
      </c>
      <c r="I1837" s="14"/>
      <c r="J1837" s="14" t="s">
        <v>23</v>
      </c>
      <c r="K1837" s="14"/>
      <c r="L1837" s="14"/>
      <c r="M1837" s="14" t="s">
        <v>650</v>
      </c>
      <c r="N1837" s="25" t="s">
        <v>289</v>
      </c>
      <c r="O1837" s="14" t="s">
        <v>2836</v>
      </c>
      <c r="P1837" s="14"/>
      <c r="Q1837" s="14"/>
      <c r="R1837" s="14" t="s">
        <v>2338</v>
      </c>
    </row>
    <row r="1838" spans="1:18" ht="15" customHeight="1">
      <c r="A1838" s="12">
        <v>2208</v>
      </c>
      <c r="B1838" s="13" t="s">
        <v>2837</v>
      </c>
      <c r="C1838" s="31"/>
      <c r="D1838" s="16">
        <v>611</v>
      </c>
      <c r="E1838" s="22" t="s">
        <v>2430</v>
      </c>
      <c r="F1838" s="15" t="s">
        <v>22</v>
      </c>
      <c r="G1838" s="18"/>
      <c r="H1838" s="58">
        <v>4</v>
      </c>
      <c r="I1838" s="16"/>
      <c r="J1838" s="14" t="s">
        <v>23</v>
      </c>
      <c r="K1838" s="34"/>
      <c r="L1838" s="34"/>
      <c r="M1838" s="34"/>
      <c r="N1838" s="34"/>
      <c r="O1838" s="34"/>
      <c r="P1838" s="34"/>
      <c r="Q1838" s="34"/>
      <c r="R1838" s="34"/>
    </row>
    <row r="1839" spans="1:18" ht="15" customHeight="1">
      <c r="A1839" s="12">
        <v>643</v>
      </c>
      <c r="B1839" s="13" t="s">
        <v>2838</v>
      </c>
      <c r="C1839" s="22"/>
      <c r="D1839" s="22" t="s">
        <v>2839</v>
      </c>
      <c r="E1839" s="22" t="s">
        <v>2430</v>
      </c>
      <c r="F1839" s="15" t="s">
        <v>22</v>
      </c>
      <c r="G1839" s="26"/>
      <c r="H1839" s="58"/>
      <c r="I1839" s="22"/>
      <c r="J1839" s="14" t="s">
        <v>23</v>
      </c>
      <c r="K1839" s="22"/>
      <c r="L1839" s="22"/>
      <c r="M1839" s="22" t="s">
        <v>654</v>
      </c>
      <c r="N1839" s="14" t="s">
        <v>25</v>
      </c>
      <c r="O1839" s="22"/>
      <c r="P1839" s="14"/>
      <c r="Q1839" s="14"/>
      <c r="R1839" s="14" t="s">
        <v>1820</v>
      </c>
    </row>
    <row r="1840" spans="1:18" ht="15" customHeight="1">
      <c r="A1840" s="12">
        <v>1356</v>
      </c>
      <c r="B1840" s="13" t="s">
        <v>2840</v>
      </c>
      <c r="C1840" s="14"/>
      <c r="D1840" s="14" t="s">
        <v>2839</v>
      </c>
      <c r="E1840" s="22" t="s">
        <v>2430</v>
      </c>
      <c r="F1840" s="15" t="s">
        <v>22</v>
      </c>
      <c r="G1840" s="21"/>
      <c r="H1840" s="58">
        <v>2</v>
      </c>
      <c r="I1840" s="14"/>
      <c r="J1840" s="14" t="s">
        <v>23</v>
      </c>
      <c r="K1840" s="14"/>
      <c r="L1840" s="14"/>
      <c r="M1840" s="14" t="s">
        <v>1534</v>
      </c>
      <c r="N1840" s="25" t="s">
        <v>37</v>
      </c>
      <c r="O1840" s="14" t="s">
        <v>2841</v>
      </c>
      <c r="P1840" s="14"/>
      <c r="Q1840" s="14"/>
      <c r="R1840" s="14" t="s">
        <v>2333</v>
      </c>
    </row>
    <row r="1841" spans="1:1027" ht="15" customHeight="1">
      <c r="A1841" s="12">
        <v>2209</v>
      </c>
      <c r="B1841" s="13" t="s">
        <v>2842</v>
      </c>
      <c r="C1841" s="31"/>
      <c r="D1841" s="16">
        <v>612</v>
      </c>
      <c r="E1841" s="22" t="s">
        <v>2430</v>
      </c>
      <c r="F1841" s="15" t="s">
        <v>22</v>
      </c>
      <c r="G1841" s="18"/>
      <c r="H1841" s="58">
        <v>2</v>
      </c>
      <c r="I1841" s="16"/>
      <c r="J1841" s="14" t="s">
        <v>23</v>
      </c>
      <c r="K1841" s="34"/>
      <c r="L1841" s="34"/>
      <c r="M1841" s="34"/>
      <c r="N1841" s="34"/>
      <c r="O1841" s="34"/>
      <c r="P1841" s="34"/>
      <c r="Q1841" s="34"/>
      <c r="R1841" s="34"/>
    </row>
    <row r="1842" spans="1:1027" ht="15" customHeight="1">
      <c r="A1842" s="12">
        <v>644</v>
      </c>
      <c r="B1842" s="13" t="s">
        <v>2843</v>
      </c>
      <c r="C1842" s="22"/>
      <c r="D1842" s="22" t="s">
        <v>2844</v>
      </c>
      <c r="E1842" s="22" t="s">
        <v>2430</v>
      </c>
      <c r="F1842" s="15" t="s">
        <v>22</v>
      </c>
      <c r="G1842" s="26"/>
      <c r="H1842" s="58"/>
      <c r="I1842" s="22"/>
      <c r="J1842" s="14" t="s">
        <v>23</v>
      </c>
      <c r="K1842" s="22"/>
      <c r="L1842" s="22"/>
      <c r="M1842" s="22" t="s">
        <v>654</v>
      </c>
      <c r="N1842" s="14" t="s">
        <v>25</v>
      </c>
      <c r="O1842" s="22"/>
      <c r="P1842" s="14"/>
      <c r="Q1842" s="14"/>
      <c r="R1842" s="14" t="s">
        <v>1820</v>
      </c>
    </row>
    <row r="1843" spans="1:1027" ht="15" customHeight="1">
      <c r="A1843" s="12">
        <v>1357</v>
      </c>
      <c r="B1843" s="13" t="s">
        <v>2845</v>
      </c>
      <c r="C1843" s="14"/>
      <c r="D1843" s="14" t="s">
        <v>2844</v>
      </c>
      <c r="E1843" s="22" t="s">
        <v>2430</v>
      </c>
      <c r="F1843" s="15" t="s">
        <v>22</v>
      </c>
      <c r="G1843" s="21"/>
      <c r="H1843" s="58">
        <v>1</v>
      </c>
      <c r="I1843" s="14"/>
      <c r="J1843" s="14" t="s">
        <v>23</v>
      </c>
      <c r="K1843" s="14"/>
      <c r="L1843" s="14"/>
      <c r="M1843" s="14" t="s">
        <v>1534</v>
      </c>
      <c r="N1843" s="14" t="s">
        <v>25</v>
      </c>
      <c r="O1843" s="14"/>
      <c r="P1843" s="14"/>
      <c r="Q1843" s="14"/>
      <c r="R1843" s="14" t="s">
        <v>2333</v>
      </c>
    </row>
    <row r="1844" spans="1:1027" ht="15" customHeight="1">
      <c r="A1844" s="12">
        <v>2210</v>
      </c>
      <c r="B1844" s="13" t="s">
        <v>2846</v>
      </c>
      <c r="C1844" s="31"/>
      <c r="D1844" s="16">
        <v>613</v>
      </c>
      <c r="E1844" s="22" t="s">
        <v>2430</v>
      </c>
      <c r="F1844" s="15" t="s">
        <v>22</v>
      </c>
      <c r="G1844" s="18"/>
      <c r="H1844" s="58"/>
      <c r="I1844" s="16"/>
      <c r="J1844" s="14" t="s">
        <v>23</v>
      </c>
      <c r="K1844" s="34"/>
      <c r="L1844" s="34"/>
      <c r="M1844" s="34"/>
      <c r="N1844" s="34"/>
      <c r="O1844" s="34"/>
      <c r="P1844" s="34"/>
      <c r="Q1844" s="34"/>
      <c r="R1844" s="34"/>
    </row>
    <row r="1845" spans="1:1027" ht="15" customHeight="1">
      <c r="A1845" s="12">
        <v>645</v>
      </c>
      <c r="B1845" s="13" t="s">
        <v>2847</v>
      </c>
      <c r="C1845" s="22"/>
      <c r="D1845" s="22" t="s">
        <v>2848</v>
      </c>
      <c r="E1845" s="22" t="s">
        <v>2430</v>
      </c>
      <c r="F1845" s="15" t="s">
        <v>22</v>
      </c>
      <c r="G1845" s="26"/>
      <c r="H1845" s="58"/>
      <c r="I1845" s="22"/>
      <c r="J1845" s="14" t="s">
        <v>23</v>
      </c>
      <c r="K1845" s="22"/>
      <c r="L1845" s="22"/>
      <c r="M1845" s="22" t="s">
        <v>654</v>
      </c>
      <c r="N1845" s="14" t="s">
        <v>25</v>
      </c>
      <c r="O1845" s="22"/>
      <c r="P1845" s="14"/>
      <c r="Q1845" s="14"/>
      <c r="R1845" s="14" t="s">
        <v>1820</v>
      </c>
    </row>
    <row r="1846" spans="1:1027" ht="15" customHeight="1">
      <c r="A1846" s="12">
        <v>1358</v>
      </c>
      <c r="B1846" s="13" t="s">
        <v>2849</v>
      </c>
      <c r="C1846" s="14"/>
      <c r="D1846" s="14" t="s">
        <v>2848</v>
      </c>
      <c r="E1846" s="22" t="s">
        <v>2430</v>
      </c>
      <c r="F1846" s="15" t="s">
        <v>22</v>
      </c>
      <c r="G1846" s="21"/>
      <c r="H1846" s="58">
        <v>2</v>
      </c>
      <c r="I1846" s="14"/>
      <c r="J1846" s="14" t="s">
        <v>23</v>
      </c>
      <c r="K1846" s="14"/>
      <c r="L1846" s="14"/>
      <c r="M1846" s="14" t="s">
        <v>1534</v>
      </c>
      <c r="N1846" s="14" t="s">
        <v>25</v>
      </c>
      <c r="O1846" s="14"/>
      <c r="P1846" s="14"/>
      <c r="Q1846" s="14"/>
      <c r="R1846" s="14" t="s">
        <v>2333</v>
      </c>
    </row>
    <row r="1847" spans="1:1027" ht="15" customHeight="1">
      <c r="A1847" s="12">
        <v>2211</v>
      </c>
      <c r="B1847" s="13" t="s">
        <v>2850</v>
      </c>
      <c r="C1847" s="31"/>
      <c r="D1847" s="16">
        <v>614</v>
      </c>
      <c r="E1847" s="22" t="s">
        <v>2430</v>
      </c>
      <c r="F1847" s="15" t="s">
        <v>22</v>
      </c>
      <c r="G1847" s="18"/>
      <c r="H1847" s="58"/>
      <c r="I1847" s="16"/>
      <c r="J1847" s="14" t="s">
        <v>23</v>
      </c>
      <c r="K1847" s="34"/>
      <c r="L1847" s="34"/>
      <c r="M1847" s="34"/>
      <c r="N1847" s="34"/>
      <c r="O1847" s="34"/>
      <c r="P1847" s="34"/>
      <c r="Q1847" s="34"/>
      <c r="R1847" s="34"/>
    </row>
    <row r="1848" spans="1:1027" ht="15" customHeight="1">
      <c r="A1848" s="12">
        <v>646</v>
      </c>
      <c r="B1848" s="13" t="s">
        <v>2851</v>
      </c>
      <c r="C1848" s="22"/>
      <c r="D1848" s="22" t="s">
        <v>2852</v>
      </c>
      <c r="E1848" s="22" t="s">
        <v>2430</v>
      </c>
      <c r="F1848" s="15" t="s">
        <v>22</v>
      </c>
      <c r="G1848" s="26"/>
      <c r="H1848" s="58"/>
      <c r="I1848" s="22"/>
      <c r="J1848" s="14" t="s">
        <v>23</v>
      </c>
      <c r="K1848" s="22"/>
      <c r="L1848" s="22"/>
      <c r="M1848" s="22" t="s">
        <v>654</v>
      </c>
      <c r="N1848" s="14" t="s">
        <v>25</v>
      </c>
      <c r="O1848" s="22"/>
      <c r="P1848" s="14"/>
      <c r="Q1848" s="14"/>
      <c r="R1848" s="14" t="s">
        <v>1820</v>
      </c>
    </row>
    <row r="1849" spans="1:1027" ht="15" customHeight="1">
      <c r="A1849" s="12">
        <v>1359</v>
      </c>
      <c r="B1849" s="13" t="s">
        <v>2853</v>
      </c>
      <c r="C1849" s="14"/>
      <c r="D1849" s="14" t="s">
        <v>2852</v>
      </c>
      <c r="E1849" s="22" t="s">
        <v>2430</v>
      </c>
      <c r="F1849" s="15" t="s">
        <v>22</v>
      </c>
      <c r="G1849" s="21"/>
      <c r="H1849" s="58">
        <v>2</v>
      </c>
      <c r="I1849" s="14"/>
      <c r="J1849" s="14" t="s">
        <v>23</v>
      </c>
      <c r="K1849" s="14"/>
      <c r="L1849" s="14"/>
      <c r="M1849" s="14" t="s">
        <v>1534</v>
      </c>
      <c r="N1849" s="25" t="s">
        <v>37</v>
      </c>
      <c r="O1849" s="14" t="s">
        <v>2669</v>
      </c>
      <c r="P1849" s="14"/>
      <c r="Q1849" s="14"/>
      <c r="R1849" s="14" t="s">
        <v>2333</v>
      </c>
    </row>
    <row r="1850" spans="1:1027" ht="15" customHeight="1">
      <c r="A1850" s="12">
        <v>2212</v>
      </c>
      <c r="B1850" s="13" t="s">
        <v>2854</v>
      </c>
      <c r="C1850" s="31"/>
      <c r="D1850" s="16">
        <v>615</v>
      </c>
      <c r="E1850" s="22" t="s">
        <v>2430</v>
      </c>
      <c r="F1850" s="15" t="s">
        <v>22</v>
      </c>
      <c r="G1850" s="18"/>
      <c r="H1850" s="58">
        <v>2</v>
      </c>
      <c r="I1850" s="16"/>
      <c r="J1850" s="14" t="s">
        <v>23</v>
      </c>
      <c r="K1850" s="34"/>
      <c r="L1850" s="34"/>
      <c r="M1850" s="34"/>
      <c r="N1850" s="34"/>
      <c r="O1850" s="34"/>
      <c r="P1850" s="34"/>
      <c r="Q1850" s="34"/>
      <c r="R1850" s="34"/>
    </row>
    <row r="1851" spans="1:1027" ht="24" customHeight="1">
      <c r="A1851" s="12">
        <v>3</v>
      </c>
      <c r="B1851" s="13" t="s">
        <v>2855</v>
      </c>
      <c r="C1851" s="14"/>
      <c r="D1851" s="14" t="s">
        <v>2856</v>
      </c>
      <c r="E1851" s="22" t="s">
        <v>2430</v>
      </c>
      <c r="F1851" s="15" t="s">
        <v>22</v>
      </c>
      <c r="G1851" s="14"/>
      <c r="H1851" s="58"/>
      <c r="I1851" s="14"/>
      <c r="J1851" s="14" t="s">
        <v>23</v>
      </c>
      <c r="K1851" s="15"/>
      <c r="L1851" s="15"/>
      <c r="M1851" s="14" t="s">
        <v>24</v>
      </c>
      <c r="N1851" s="14" t="s">
        <v>25</v>
      </c>
      <c r="O1851" s="14"/>
      <c r="P1851" s="14"/>
      <c r="Q1851" s="14"/>
      <c r="R1851" s="17">
        <v>43599</v>
      </c>
      <c r="S1851" s="12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  <c r="HY1851" s="3"/>
      <c r="HZ1851" s="3"/>
      <c r="IA1851" s="3"/>
      <c r="IB1851" s="3"/>
      <c r="IC1851" s="3"/>
      <c r="ID1851" s="3"/>
      <c r="IE1851" s="3"/>
      <c r="IF1851" s="3"/>
      <c r="IG1851" s="3"/>
      <c r="IH1851" s="3"/>
      <c r="II1851" s="3"/>
      <c r="IJ1851" s="3"/>
      <c r="IK1851" s="3"/>
      <c r="IL1851" s="3"/>
      <c r="IM1851" s="3"/>
      <c r="IN1851" s="3"/>
      <c r="IO1851" s="3"/>
      <c r="IP1851" s="3"/>
      <c r="IQ1851" s="3"/>
      <c r="IR1851" s="3"/>
      <c r="IS1851" s="3"/>
      <c r="IT1851" s="3"/>
      <c r="IU1851" s="3"/>
      <c r="IV1851" s="3"/>
      <c r="IW1851" s="3"/>
      <c r="IX1851" s="3"/>
      <c r="IY1851" s="3"/>
      <c r="IZ1851" s="3"/>
      <c r="JA1851" s="3"/>
      <c r="JB1851" s="3"/>
      <c r="JC1851" s="3"/>
      <c r="JD1851" s="3"/>
      <c r="JE1851" s="3"/>
      <c r="JF1851" s="3"/>
      <c r="JG1851" s="3"/>
      <c r="JH1851" s="3"/>
      <c r="JI1851" s="3"/>
      <c r="JJ1851" s="3"/>
      <c r="JK1851" s="3"/>
      <c r="JL1851" s="3"/>
      <c r="JM1851" s="3"/>
      <c r="JN1851" s="3"/>
      <c r="JO1851" s="3"/>
      <c r="JP1851" s="3"/>
      <c r="JQ1851" s="3"/>
      <c r="JR1851" s="3"/>
      <c r="JS1851" s="3"/>
      <c r="JT1851" s="3"/>
      <c r="JU1851" s="3"/>
      <c r="JV1851" s="3"/>
      <c r="JW1851" s="3"/>
      <c r="JX1851" s="3"/>
      <c r="JY1851" s="3"/>
      <c r="JZ1851" s="3"/>
      <c r="KA1851" s="3"/>
      <c r="KB1851" s="3"/>
      <c r="KC1851" s="3"/>
      <c r="KD1851" s="3"/>
      <c r="KE1851" s="3"/>
      <c r="KF1851" s="3"/>
      <c r="KG1851" s="3"/>
      <c r="KH1851" s="3"/>
      <c r="KI1851" s="3"/>
      <c r="KJ1851" s="3"/>
      <c r="KK1851" s="3"/>
      <c r="KL1851" s="3"/>
      <c r="KM1851" s="3"/>
      <c r="KN1851" s="3"/>
      <c r="KO1851" s="3"/>
      <c r="KP1851" s="3"/>
      <c r="KQ1851" s="3"/>
      <c r="KR1851" s="3"/>
      <c r="KS1851" s="3"/>
      <c r="KT1851" s="3"/>
      <c r="KU1851" s="3"/>
      <c r="KV1851" s="3"/>
      <c r="KW1851" s="3"/>
      <c r="KX1851" s="3"/>
      <c r="KY1851" s="3"/>
      <c r="KZ1851" s="3"/>
      <c r="LA1851" s="3"/>
      <c r="LB1851" s="3"/>
      <c r="LC1851" s="3"/>
      <c r="LD1851" s="3"/>
      <c r="LE1851" s="3"/>
      <c r="LF1851" s="3"/>
      <c r="LG1851" s="3"/>
      <c r="LH1851" s="3"/>
      <c r="LI1851" s="3"/>
      <c r="LJ1851" s="3"/>
      <c r="LK1851" s="3"/>
      <c r="LL1851" s="3"/>
      <c r="LM1851" s="3"/>
      <c r="LN1851" s="3"/>
      <c r="LO1851" s="3"/>
      <c r="LP1851" s="3"/>
      <c r="LQ1851" s="3"/>
      <c r="LR1851" s="3"/>
      <c r="LS1851" s="3"/>
      <c r="LT1851" s="3"/>
      <c r="LU1851" s="3"/>
      <c r="LV1851" s="3"/>
      <c r="LW1851" s="3"/>
      <c r="LX1851" s="3"/>
      <c r="LY1851" s="3"/>
      <c r="LZ1851" s="3"/>
      <c r="MA1851" s="3"/>
      <c r="MB1851" s="3"/>
      <c r="MC1851" s="3"/>
      <c r="MD1851" s="3"/>
      <c r="ME1851" s="3"/>
      <c r="MF1851" s="3"/>
      <c r="MG1851" s="3"/>
      <c r="MH1851" s="3"/>
      <c r="MI1851" s="3"/>
      <c r="MJ1851" s="3"/>
      <c r="MK1851" s="3"/>
      <c r="ML1851" s="3"/>
      <c r="MM1851" s="3"/>
      <c r="MN1851" s="3"/>
      <c r="MO1851" s="3"/>
      <c r="MP1851" s="3"/>
      <c r="MQ1851" s="3"/>
      <c r="MR1851" s="3"/>
      <c r="MS1851" s="3"/>
      <c r="MT1851" s="3"/>
      <c r="MU1851" s="3"/>
      <c r="MV1851" s="3"/>
      <c r="MW1851" s="3"/>
      <c r="MX1851" s="3"/>
      <c r="MY1851" s="3"/>
      <c r="MZ1851" s="3"/>
      <c r="NA1851" s="3"/>
      <c r="NB1851" s="3"/>
      <c r="NC1851" s="3"/>
      <c r="ND1851" s="3"/>
      <c r="NE1851" s="3"/>
      <c r="NF1851" s="3"/>
      <c r="NG1851" s="3"/>
      <c r="NH1851" s="3"/>
      <c r="NI1851" s="3"/>
      <c r="NJ1851" s="3"/>
      <c r="NK1851" s="3"/>
      <c r="NL1851" s="3"/>
      <c r="NM1851" s="3"/>
      <c r="NN1851" s="3"/>
      <c r="NO1851" s="3"/>
      <c r="NP1851" s="3"/>
      <c r="NQ1851" s="3"/>
      <c r="NR1851" s="3"/>
      <c r="NS1851" s="3"/>
      <c r="NT1851" s="3"/>
      <c r="NU1851" s="3"/>
      <c r="NV1851" s="3"/>
      <c r="NW1851" s="3"/>
      <c r="NX1851" s="3"/>
      <c r="NY1851" s="3"/>
      <c r="NZ1851" s="3"/>
      <c r="OA1851" s="3"/>
      <c r="OB1851" s="3"/>
      <c r="OC1851" s="3"/>
      <c r="OD1851" s="3"/>
      <c r="OE1851" s="3"/>
      <c r="OF1851" s="3"/>
      <c r="OG1851" s="3"/>
      <c r="OH1851" s="3"/>
      <c r="OI1851" s="3"/>
      <c r="OJ1851" s="3"/>
      <c r="OK1851" s="3"/>
      <c r="OL1851" s="3"/>
      <c r="OM1851" s="3"/>
      <c r="ON1851" s="3"/>
      <c r="OO1851" s="3"/>
      <c r="OP1851" s="3"/>
      <c r="OQ1851" s="3"/>
      <c r="OR1851" s="3"/>
      <c r="OS1851" s="3"/>
      <c r="OT1851" s="3"/>
      <c r="OU1851" s="3"/>
      <c r="OV1851" s="3"/>
      <c r="OW1851" s="3"/>
      <c r="OX1851" s="3"/>
      <c r="OY1851" s="3"/>
      <c r="OZ1851" s="3"/>
      <c r="PA1851" s="3"/>
      <c r="PB1851" s="3"/>
      <c r="PC1851" s="3"/>
      <c r="PD1851" s="3"/>
      <c r="PE1851" s="3"/>
      <c r="PF1851" s="3"/>
      <c r="PG1851" s="3"/>
      <c r="PH1851" s="3"/>
      <c r="PI1851" s="3"/>
      <c r="PJ1851" s="3"/>
      <c r="PK1851" s="3"/>
      <c r="PL1851" s="3"/>
      <c r="PM1851" s="3"/>
      <c r="PN1851" s="3"/>
      <c r="PO1851" s="3"/>
      <c r="PP1851" s="3"/>
      <c r="PQ1851" s="3"/>
      <c r="PR1851" s="3"/>
      <c r="PS1851" s="3"/>
      <c r="PT1851" s="3"/>
      <c r="PU1851" s="3"/>
      <c r="PV1851" s="3"/>
      <c r="PW1851" s="3"/>
      <c r="PX1851" s="3"/>
      <c r="PY1851" s="3"/>
      <c r="PZ1851" s="3"/>
      <c r="QA1851" s="3"/>
      <c r="QB1851" s="3"/>
      <c r="QC1851" s="3"/>
      <c r="QD1851" s="3"/>
      <c r="QE1851" s="3"/>
      <c r="QF1851" s="3"/>
      <c r="QG1851" s="3"/>
      <c r="QH1851" s="3"/>
      <c r="QI1851" s="3"/>
      <c r="QJ1851" s="3"/>
      <c r="QK1851" s="3"/>
      <c r="QL1851" s="3"/>
      <c r="QM1851" s="3"/>
      <c r="QN1851" s="3"/>
      <c r="QO1851" s="3"/>
      <c r="QP1851" s="3"/>
      <c r="QQ1851" s="3"/>
      <c r="QR1851" s="3"/>
      <c r="QS1851" s="3"/>
      <c r="QT1851" s="3"/>
      <c r="QU1851" s="3"/>
      <c r="QV1851" s="3"/>
      <c r="QW1851" s="3"/>
      <c r="QX1851" s="3"/>
      <c r="QY1851" s="3"/>
      <c r="QZ1851" s="3"/>
      <c r="RA1851" s="3"/>
      <c r="RB1851" s="3"/>
      <c r="RC1851" s="3"/>
      <c r="RD1851" s="3"/>
      <c r="RE1851" s="3"/>
      <c r="RF1851" s="3"/>
      <c r="RG1851" s="3"/>
      <c r="RH1851" s="3"/>
      <c r="RI1851" s="3"/>
      <c r="RJ1851" s="3"/>
      <c r="RK1851" s="3"/>
      <c r="RL1851" s="3"/>
      <c r="RM1851" s="3"/>
      <c r="RN1851" s="3"/>
      <c r="RO1851" s="3"/>
      <c r="RP1851" s="3"/>
      <c r="RQ1851" s="3"/>
      <c r="RR1851" s="3"/>
      <c r="RS1851" s="3"/>
      <c r="RT1851" s="3"/>
      <c r="RU1851" s="3"/>
      <c r="RV1851" s="3"/>
      <c r="RW1851" s="3"/>
      <c r="RX1851" s="3"/>
      <c r="RY1851" s="3"/>
      <c r="RZ1851" s="3"/>
      <c r="SA1851" s="3"/>
      <c r="SB1851" s="3"/>
      <c r="SC1851" s="3"/>
      <c r="SD1851" s="3"/>
      <c r="SE1851" s="3"/>
      <c r="SF1851" s="3"/>
      <c r="SG1851" s="3"/>
      <c r="SH1851" s="3"/>
      <c r="SI1851" s="3"/>
      <c r="SJ1851" s="3"/>
      <c r="SK1851" s="3"/>
      <c r="SL1851" s="3"/>
      <c r="SM1851" s="3"/>
      <c r="SN1851" s="3"/>
      <c r="SO1851" s="3"/>
      <c r="SP1851" s="3"/>
      <c r="SQ1851" s="3"/>
      <c r="SR1851" s="3"/>
      <c r="SS1851" s="3"/>
      <c r="ST1851" s="3"/>
      <c r="SU1851" s="3"/>
      <c r="SV1851" s="3"/>
      <c r="SW1851" s="3"/>
      <c r="SX1851" s="3"/>
      <c r="SY1851" s="3"/>
      <c r="SZ1851" s="3"/>
      <c r="TA1851" s="3"/>
      <c r="TB1851" s="3"/>
      <c r="TC1851" s="3"/>
      <c r="TD1851" s="3"/>
      <c r="TE1851" s="3"/>
      <c r="TF1851" s="3"/>
      <c r="TG1851" s="3"/>
      <c r="TH1851" s="3"/>
      <c r="TI1851" s="3"/>
      <c r="TJ1851" s="3"/>
      <c r="TK1851" s="3"/>
      <c r="TL1851" s="3"/>
      <c r="TM1851" s="3"/>
      <c r="TN1851" s="3"/>
      <c r="TO1851" s="3"/>
      <c r="TP1851" s="3"/>
      <c r="TQ1851" s="3"/>
      <c r="TR1851" s="3"/>
      <c r="TS1851" s="3"/>
      <c r="TT1851" s="3"/>
      <c r="TU1851" s="3"/>
      <c r="TV1851" s="3"/>
      <c r="TW1851" s="3"/>
      <c r="TX1851" s="3"/>
      <c r="TY1851" s="3"/>
      <c r="TZ1851" s="3"/>
      <c r="UA1851" s="3"/>
      <c r="UB1851" s="3"/>
      <c r="UC1851" s="3"/>
      <c r="UD1851" s="3"/>
      <c r="UE1851" s="3"/>
      <c r="UF1851" s="3"/>
      <c r="UG1851" s="3"/>
      <c r="UH1851" s="3"/>
      <c r="UI1851" s="3"/>
      <c r="UJ1851" s="3"/>
      <c r="UK1851" s="3"/>
      <c r="UL1851" s="3"/>
      <c r="UM1851" s="3"/>
      <c r="UN1851" s="3"/>
      <c r="UO1851" s="3"/>
      <c r="UP1851" s="3"/>
      <c r="UQ1851" s="3"/>
      <c r="UR1851" s="3"/>
      <c r="US1851" s="3"/>
      <c r="UT1851" s="3"/>
      <c r="UU1851" s="3"/>
      <c r="UV1851" s="3"/>
      <c r="UW1851" s="3"/>
      <c r="UX1851" s="3"/>
      <c r="UY1851" s="3"/>
      <c r="UZ1851" s="3"/>
      <c r="VA1851" s="3"/>
      <c r="VB1851" s="3"/>
      <c r="VC1851" s="3"/>
      <c r="VD1851" s="3"/>
      <c r="VE1851" s="3"/>
      <c r="VF1851" s="3"/>
      <c r="VG1851" s="3"/>
      <c r="VH1851" s="3"/>
      <c r="VI1851" s="3"/>
      <c r="VJ1851" s="3"/>
      <c r="VK1851" s="3"/>
      <c r="VL1851" s="3"/>
      <c r="VM1851" s="3"/>
      <c r="VN1851" s="3"/>
      <c r="VO1851" s="3"/>
      <c r="VP1851" s="3"/>
      <c r="VQ1851" s="3"/>
      <c r="VR1851" s="3"/>
      <c r="VS1851" s="3"/>
      <c r="VT1851" s="3"/>
      <c r="VU1851" s="3"/>
      <c r="VV1851" s="3"/>
      <c r="VW1851" s="3"/>
      <c r="VX1851" s="3"/>
      <c r="VY1851" s="3"/>
      <c r="VZ1851" s="3"/>
      <c r="WA1851" s="3"/>
      <c r="WB1851" s="3"/>
      <c r="WC1851" s="3"/>
      <c r="WD1851" s="3"/>
      <c r="WE1851" s="3"/>
      <c r="WF1851" s="3"/>
      <c r="WG1851" s="3"/>
      <c r="WH1851" s="3"/>
      <c r="WI1851" s="3"/>
      <c r="WJ1851" s="3"/>
      <c r="WK1851" s="3"/>
      <c r="WL1851" s="3"/>
      <c r="WM1851" s="3"/>
      <c r="WN1851" s="3"/>
      <c r="WO1851" s="3"/>
      <c r="WP1851" s="3"/>
      <c r="WQ1851" s="3"/>
      <c r="WR1851" s="3"/>
      <c r="WS1851" s="3"/>
      <c r="WT1851" s="3"/>
      <c r="WU1851" s="3"/>
      <c r="WV1851" s="3"/>
      <c r="WW1851" s="3"/>
      <c r="WX1851" s="3"/>
      <c r="WY1851" s="3"/>
      <c r="WZ1851" s="3"/>
      <c r="XA1851" s="3"/>
      <c r="XB1851" s="3"/>
      <c r="XC1851" s="3"/>
      <c r="XD1851" s="3"/>
      <c r="XE1851" s="3"/>
      <c r="XF1851" s="3"/>
      <c r="XG1851" s="3"/>
      <c r="XH1851" s="3"/>
      <c r="XI1851" s="3"/>
      <c r="XJ1851" s="3"/>
      <c r="XK1851" s="3"/>
      <c r="XL1851" s="3"/>
      <c r="XM1851" s="3"/>
      <c r="XN1851" s="3"/>
      <c r="XO1851" s="3"/>
      <c r="XP1851" s="3"/>
      <c r="XQ1851" s="3"/>
      <c r="XR1851" s="3"/>
      <c r="XS1851" s="3"/>
      <c r="XT1851" s="3"/>
      <c r="XU1851" s="3"/>
      <c r="XV1851" s="3"/>
      <c r="XW1851" s="3"/>
      <c r="XX1851" s="3"/>
      <c r="XY1851" s="3"/>
      <c r="XZ1851" s="3"/>
      <c r="YA1851" s="3"/>
      <c r="YB1851" s="3"/>
      <c r="YC1851" s="3"/>
      <c r="YD1851" s="3"/>
      <c r="YE1851" s="3"/>
      <c r="YF1851" s="3"/>
      <c r="YG1851" s="3"/>
      <c r="YH1851" s="3"/>
      <c r="YI1851" s="3"/>
      <c r="YJ1851" s="3"/>
      <c r="YK1851" s="3"/>
      <c r="YL1851" s="3"/>
      <c r="YM1851" s="3"/>
      <c r="YN1851" s="3"/>
      <c r="YO1851" s="3"/>
      <c r="YP1851" s="3"/>
      <c r="YQ1851" s="3"/>
      <c r="YR1851" s="3"/>
      <c r="YS1851" s="3"/>
      <c r="YT1851" s="3"/>
      <c r="YU1851" s="3"/>
      <c r="YV1851" s="3"/>
      <c r="YW1851" s="3"/>
      <c r="YX1851" s="3"/>
      <c r="YY1851" s="3"/>
      <c r="YZ1851" s="3"/>
      <c r="ZA1851" s="3"/>
      <c r="ZB1851" s="3"/>
      <c r="ZC1851" s="3"/>
      <c r="ZD1851" s="3"/>
      <c r="ZE1851" s="3"/>
      <c r="ZF1851" s="3"/>
      <c r="ZG1851" s="3"/>
      <c r="ZH1851" s="3"/>
      <c r="ZI1851" s="3"/>
      <c r="ZJ1851" s="3"/>
      <c r="ZK1851" s="3"/>
      <c r="ZL1851" s="3"/>
      <c r="ZM1851" s="3"/>
      <c r="ZN1851" s="3"/>
      <c r="ZO1851" s="3"/>
      <c r="ZP1851" s="3"/>
      <c r="ZQ1851" s="3"/>
      <c r="ZR1851" s="3"/>
      <c r="ZS1851" s="3"/>
      <c r="ZT1851" s="3"/>
      <c r="ZU1851" s="3"/>
      <c r="ZV1851" s="3"/>
      <c r="ZW1851" s="3"/>
      <c r="ZX1851" s="3"/>
      <c r="ZY1851" s="3"/>
      <c r="ZZ1851" s="3"/>
      <c r="AAA1851" s="3"/>
      <c r="AAB1851" s="3"/>
      <c r="AAC1851" s="3"/>
      <c r="AAD1851" s="3"/>
      <c r="AAE1851" s="3"/>
      <c r="AAF1851" s="3"/>
      <c r="AAG1851" s="3"/>
      <c r="AAH1851" s="3"/>
      <c r="AAI1851" s="3"/>
      <c r="AAJ1851" s="3"/>
      <c r="AAK1851" s="3"/>
      <c r="AAL1851" s="3"/>
      <c r="AAM1851" s="3"/>
      <c r="AAN1851" s="3"/>
      <c r="AAO1851" s="3"/>
      <c r="AAP1851" s="3"/>
      <c r="AAQ1851" s="3"/>
      <c r="AAR1851" s="3"/>
      <c r="AAS1851" s="3"/>
      <c r="AAT1851" s="3"/>
      <c r="AAU1851" s="3"/>
      <c r="AAV1851" s="3"/>
      <c r="AAW1851" s="3"/>
      <c r="AAX1851" s="3"/>
      <c r="AAY1851" s="3"/>
      <c r="AAZ1851" s="3"/>
      <c r="ABA1851" s="3"/>
      <c r="ABB1851" s="3"/>
      <c r="ABC1851" s="3"/>
      <c r="ABD1851" s="3"/>
      <c r="ABE1851" s="3"/>
      <c r="ABF1851" s="3"/>
      <c r="ABG1851" s="3"/>
      <c r="ABH1851" s="3"/>
      <c r="ABI1851" s="3"/>
      <c r="ABJ1851" s="3"/>
      <c r="ABK1851" s="3"/>
      <c r="ABL1851" s="3"/>
      <c r="ABM1851" s="3"/>
      <c r="ABN1851" s="3"/>
      <c r="ABO1851" s="3"/>
      <c r="ABP1851" s="3"/>
      <c r="ABQ1851" s="3"/>
      <c r="ABR1851" s="3"/>
      <c r="ABS1851" s="3"/>
      <c r="ABT1851" s="3"/>
      <c r="ABU1851" s="3"/>
      <c r="ABV1851" s="3"/>
      <c r="ABW1851" s="3"/>
      <c r="ABX1851" s="3"/>
      <c r="ABY1851" s="3"/>
      <c r="ABZ1851" s="3"/>
      <c r="ACA1851" s="3"/>
      <c r="ACB1851" s="3"/>
      <c r="ACC1851" s="3"/>
      <c r="ACD1851" s="3"/>
      <c r="ACE1851" s="3"/>
      <c r="ACF1851" s="3"/>
      <c r="ACG1851" s="3"/>
      <c r="ACH1851" s="3"/>
      <c r="ACI1851" s="3"/>
      <c r="ACJ1851" s="3"/>
      <c r="ACK1851" s="3"/>
      <c r="ACL1851" s="3"/>
      <c r="ACM1851" s="3"/>
      <c r="ACN1851" s="3"/>
      <c r="ACO1851" s="3"/>
      <c r="ACP1851" s="3"/>
      <c r="ACQ1851" s="3"/>
      <c r="ACR1851" s="3"/>
      <c r="ACS1851" s="3"/>
      <c r="ACT1851" s="3"/>
      <c r="ACU1851" s="3"/>
      <c r="ACV1851" s="3"/>
      <c r="ACW1851" s="3"/>
      <c r="ACX1851" s="3"/>
      <c r="ACY1851" s="3"/>
      <c r="ACZ1851" s="3"/>
      <c r="ADA1851" s="3"/>
      <c r="ADB1851" s="3"/>
      <c r="ADC1851" s="3"/>
      <c r="ADD1851" s="3"/>
      <c r="ADE1851" s="3"/>
      <c r="ADF1851" s="3"/>
      <c r="ADG1851" s="3"/>
      <c r="ADH1851" s="3"/>
      <c r="ADI1851" s="3"/>
      <c r="ADJ1851" s="3"/>
      <c r="ADK1851" s="3"/>
      <c r="ADL1851" s="3"/>
      <c r="ADM1851" s="3"/>
      <c r="ADN1851" s="3"/>
      <c r="ADO1851" s="3"/>
      <c r="ADP1851" s="3"/>
      <c r="ADQ1851" s="3"/>
      <c r="ADR1851" s="3"/>
      <c r="ADS1851" s="3"/>
      <c r="ADT1851" s="3"/>
      <c r="ADU1851" s="3"/>
      <c r="ADV1851" s="3"/>
      <c r="ADW1851" s="3"/>
      <c r="ADX1851" s="3"/>
      <c r="ADY1851" s="3"/>
      <c r="ADZ1851" s="3"/>
      <c r="AEA1851" s="3"/>
      <c r="AEB1851" s="3"/>
      <c r="AEC1851" s="3"/>
      <c r="AED1851" s="3"/>
      <c r="AEE1851" s="3"/>
      <c r="AEF1851" s="3"/>
      <c r="AEG1851" s="3"/>
      <c r="AEH1851" s="3"/>
      <c r="AEI1851" s="3"/>
      <c r="AEJ1851" s="3"/>
      <c r="AEK1851" s="3"/>
      <c r="AEL1851" s="3"/>
      <c r="AEM1851" s="3"/>
      <c r="AEN1851" s="3"/>
      <c r="AEO1851" s="3"/>
      <c r="AEP1851" s="3"/>
      <c r="AEQ1851" s="3"/>
      <c r="AER1851" s="3"/>
      <c r="AES1851" s="3"/>
      <c r="AET1851" s="3"/>
      <c r="AEU1851" s="3"/>
      <c r="AEV1851" s="3"/>
      <c r="AEW1851" s="3"/>
      <c r="AEX1851" s="3"/>
      <c r="AEY1851" s="3"/>
      <c r="AEZ1851" s="3"/>
      <c r="AFA1851" s="3"/>
      <c r="AFB1851" s="3"/>
      <c r="AFC1851" s="3"/>
      <c r="AFD1851" s="3"/>
      <c r="AFE1851" s="3"/>
      <c r="AFF1851" s="3"/>
      <c r="AFG1851" s="3"/>
      <c r="AFH1851" s="3"/>
      <c r="AFI1851" s="3"/>
      <c r="AFJ1851" s="3"/>
      <c r="AFK1851" s="3"/>
      <c r="AFL1851" s="3"/>
      <c r="AFM1851" s="3"/>
      <c r="AFN1851" s="3"/>
      <c r="AFO1851" s="3"/>
      <c r="AFP1851" s="3"/>
      <c r="AFQ1851" s="3"/>
      <c r="AFR1851" s="3"/>
      <c r="AFS1851" s="3"/>
      <c r="AFT1851" s="3"/>
      <c r="AFU1851" s="3"/>
      <c r="AFV1851" s="3"/>
      <c r="AFW1851" s="3"/>
      <c r="AFX1851" s="3"/>
      <c r="AFY1851" s="3"/>
      <c r="AFZ1851" s="3"/>
      <c r="AGA1851" s="3"/>
      <c r="AGB1851" s="3"/>
      <c r="AGC1851" s="3"/>
      <c r="AGD1851" s="3"/>
      <c r="AGE1851" s="3"/>
      <c r="AGF1851" s="3"/>
      <c r="AGG1851" s="3"/>
      <c r="AGH1851" s="3"/>
      <c r="AGI1851" s="3"/>
      <c r="AGJ1851" s="3"/>
      <c r="AGK1851" s="3"/>
      <c r="AGL1851" s="3"/>
      <c r="AGM1851" s="3"/>
      <c r="AGN1851" s="3"/>
      <c r="AGO1851" s="3"/>
      <c r="AGP1851" s="3"/>
      <c r="AGQ1851" s="3"/>
      <c r="AGR1851" s="3"/>
      <c r="AGS1851" s="3"/>
      <c r="AGT1851" s="3"/>
      <c r="AGU1851" s="3"/>
      <c r="AGV1851" s="3"/>
      <c r="AGW1851" s="3"/>
      <c r="AGX1851" s="3"/>
      <c r="AGY1851" s="3"/>
      <c r="AGZ1851" s="3"/>
      <c r="AHA1851" s="3"/>
      <c r="AHB1851" s="3"/>
      <c r="AHC1851" s="3"/>
      <c r="AHD1851" s="3"/>
      <c r="AHE1851" s="3"/>
      <c r="AHF1851" s="3"/>
      <c r="AHG1851" s="3"/>
      <c r="AHH1851" s="3"/>
      <c r="AHI1851" s="3"/>
      <c r="AHJ1851" s="3"/>
      <c r="AHK1851" s="3"/>
      <c r="AHL1851" s="3"/>
      <c r="AHM1851" s="3"/>
      <c r="AHN1851" s="3"/>
      <c r="AHO1851" s="3"/>
      <c r="AHP1851" s="3"/>
      <c r="AHQ1851" s="3"/>
      <c r="AHR1851" s="3"/>
      <c r="AHS1851" s="3"/>
      <c r="AHT1851" s="3"/>
      <c r="AHU1851" s="3"/>
      <c r="AHV1851" s="3"/>
      <c r="AHW1851" s="3"/>
      <c r="AHX1851" s="3"/>
      <c r="AHY1851" s="3"/>
      <c r="AHZ1851" s="3"/>
      <c r="AIA1851" s="3"/>
      <c r="AIB1851" s="3"/>
      <c r="AIC1851" s="3"/>
      <c r="AID1851" s="3"/>
      <c r="AIE1851" s="3"/>
      <c r="AIF1851" s="3"/>
      <c r="AIG1851" s="3"/>
      <c r="AIH1851" s="3"/>
      <c r="AII1851" s="3"/>
      <c r="AIJ1851" s="3"/>
      <c r="AIK1851" s="3"/>
      <c r="AIL1851" s="3"/>
      <c r="AIM1851" s="3"/>
      <c r="AIN1851" s="3"/>
      <c r="AIO1851" s="3"/>
      <c r="AIP1851" s="3"/>
      <c r="AIQ1851" s="3"/>
      <c r="AIR1851" s="3"/>
      <c r="AIS1851" s="3"/>
      <c r="AIT1851" s="3"/>
      <c r="AIU1851" s="3"/>
      <c r="AIV1851" s="3"/>
      <c r="AIW1851" s="3"/>
      <c r="AIX1851" s="3"/>
      <c r="AIY1851" s="3"/>
      <c r="AIZ1851" s="3"/>
      <c r="AJA1851" s="3"/>
      <c r="AJB1851" s="3"/>
      <c r="AJC1851" s="3"/>
      <c r="AJD1851" s="3"/>
      <c r="AJE1851" s="3"/>
      <c r="AJF1851" s="3"/>
      <c r="AJG1851" s="3"/>
      <c r="AJH1851" s="3"/>
      <c r="AJI1851" s="3"/>
      <c r="AJJ1851" s="3"/>
      <c r="AJK1851" s="3"/>
      <c r="AJL1851" s="3"/>
      <c r="AJM1851" s="3"/>
      <c r="AJN1851" s="3"/>
      <c r="AJO1851" s="3"/>
      <c r="AJP1851" s="3"/>
      <c r="AJQ1851" s="3"/>
      <c r="AJR1851" s="3"/>
      <c r="AJS1851" s="3"/>
      <c r="AJT1851" s="3"/>
      <c r="AJU1851" s="3"/>
      <c r="AJV1851" s="3"/>
      <c r="AJW1851" s="3"/>
      <c r="AJX1851" s="3"/>
      <c r="AJY1851" s="3"/>
      <c r="AJZ1851" s="3"/>
      <c r="AKA1851" s="3"/>
      <c r="AKB1851" s="3"/>
      <c r="AKC1851" s="3"/>
      <c r="AKD1851" s="3"/>
      <c r="AKE1851" s="3"/>
      <c r="AKF1851" s="3"/>
      <c r="AKG1851" s="3"/>
      <c r="AKH1851" s="3"/>
      <c r="AKI1851" s="3"/>
      <c r="AKJ1851" s="3"/>
      <c r="AKK1851" s="3"/>
      <c r="AKL1851" s="3"/>
      <c r="AKM1851" s="3"/>
      <c r="AKN1851" s="3"/>
      <c r="AKO1851" s="3"/>
      <c r="AKP1851" s="3"/>
      <c r="AKQ1851" s="3"/>
      <c r="AKR1851" s="3"/>
      <c r="AKS1851" s="3"/>
      <c r="AKT1851" s="3"/>
      <c r="AKU1851" s="3"/>
      <c r="AKV1851" s="3"/>
      <c r="AKW1851" s="3"/>
      <c r="AKX1851" s="3"/>
      <c r="AKY1851" s="3"/>
      <c r="AKZ1851" s="3"/>
      <c r="ALA1851" s="3"/>
      <c r="ALB1851" s="3"/>
      <c r="ALC1851" s="3"/>
      <c r="ALD1851" s="3"/>
      <c r="ALE1851" s="3"/>
      <c r="ALF1851" s="3"/>
      <c r="ALG1851" s="3"/>
      <c r="ALH1851" s="3"/>
      <c r="ALI1851" s="3"/>
      <c r="ALJ1851" s="3"/>
      <c r="ALK1851" s="3"/>
      <c r="ALL1851" s="3"/>
      <c r="ALM1851" s="3"/>
      <c r="ALN1851" s="3"/>
      <c r="ALO1851" s="3"/>
      <c r="ALP1851" s="3"/>
      <c r="ALQ1851" s="3"/>
      <c r="ALR1851" s="3"/>
      <c r="ALS1851" s="3"/>
      <c r="ALT1851" s="3"/>
      <c r="ALU1851" s="3"/>
      <c r="ALV1851" s="3"/>
      <c r="ALW1851" s="3"/>
      <c r="ALX1851" s="3"/>
      <c r="ALY1851" s="3"/>
      <c r="ALZ1851" s="3"/>
      <c r="AMA1851" s="3"/>
      <c r="AMB1851" s="3"/>
      <c r="AMC1851" s="3"/>
      <c r="AMD1851" s="3"/>
      <c r="AME1851" s="3"/>
      <c r="AMF1851" s="3"/>
      <c r="AMG1851" s="3"/>
      <c r="AMH1851" s="3"/>
      <c r="AMI1851" s="3"/>
      <c r="AMJ1851" s="3"/>
      <c r="AMK1851" s="3"/>
      <c r="AML1851" s="3"/>
      <c r="AMM1851" s="3"/>
    </row>
    <row r="1852" spans="1:1027" ht="15" customHeight="1">
      <c r="A1852" s="12">
        <v>647</v>
      </c>
      <c r="B1852" s="13" t="s">
        <v>2857</v>
      </c>
      <c r="C1852" s="22"/>
      <c r="D1852" s="22" t="s">
        <v>2856</v>
      </c>
      <c r="E1852" s="22" t="s">
        <v>2430</v>
      </c>
      <c r="F1852" s="15" t="s">
        <v>22</v>
      </c>
      <c r="G1852" s="26"/>
      <c r="H1852" s="58"/>
      <c r="I1852" s="22"/>
      <c r="J1852" s="14" t="s">
        <v>23</v>
      </c>
      <c r="K1852" s="22"/>
      <c r="L1852" s="22"/>
      <c r="M1852" s="22" t="s">
        <v>654</v>
      </c>
      <c r="N1852" s="14" t="s">
        <v>25</v>
      </c>
      <c r="O1852" s="22"/>
      <c r="P1852" s="14"/>
      <c r="Q1852" s="14"/>
      <c r="R1852" s="14" t="s">
        <v>1820</v>
      </c>
    </row>
    <row r="1853" spans="1:1027" ht="15" customHeight="1">
      <c r="A1853" s="12">
        <v>1360</v>
      </c>
      <c r="B1853" s="13" t="s">
        <v>2858</v>
      </c>
      <c r="C1853" s="14"/>
      <c r="D1853" s="14" t="s">
        <v>2856</v>
      </c>
      <c r="E1853" s="22" t="s">
        <v>2430</v>
      </c>
      <c r="F1853" s="15" t="s">
        <v>22</v>
      </c>
      <c r="G1853" s="21"/>
      <c r="H1853" s="58">
        <v>4</v>
      </c>
      <c r="I1853" s="14"/>
      <c r="J1853" s="14" t="s">
        <v>23</v>
      </c>
      <c r="K1853" s="14"/>
      <c r="L1853" s="14"/>
      <c r="M1853" s="14" t="s">
        <v>1534</v>
      </c>
      <c r="N1853" s="14" t="s">
        <v>25</v>
      </c>
      <c r="O1853" s="14"/>
      <c r="P1853" s="14"/>
      <c r="Q1853" s="14"/>
      <c r="R1853" s="14" t="s">
        <v>2333</v>
      </c>
    </row>
    <row r="1854" spans="1:1027" ht="15" customHeight="1">
      <c r="A1854" s="12">
        <v>648</v>
      </c>
      <c r="B1854" s="13" t="s">
        <v>2859</v>
      </c>
      <c r="C1854" s="22"/>
      <c r="D1854" s="22" t="s">
        <v>2860</v>
      </c>
      <c r="E1854" s="22" t="s">
        <v>2626</v>
      </c>
      <c r="F1854" s="15" t="s">
        <v>22</v>
      </c>
      <c r="G1854" s="26"/>
      <c r="H1854" s="58"/>
      <c r="I1854" s="22"/>
      <c r="J1854" s="14" t="s">
        <v>23</v>
      </c>
      <c r="K1854" s="22"/>
      <c r="L1854" s="22"/>
      <c r="M1854" s="22" t="s">
        <v>654</v>
      </c>
      <c r="N1854" s="25" t="s">
        <v>37</v>
      </c>
      <c r="O1854" s="22" t="s">
        <v>179</v>
      </c>
      <c r="P1854" s="14"/>
      <c r="Q1854" s="14"/>
      <c r="R1854" s="14" t="s">
        <v>1820</v>
      </c>
    </row>
    <row r="1855" spans="1:1027" ht="15" customHeight="1">
      <c r="A1855" s="12">
        <v>1361</v>
      </c>
      <c r="B1855" s="13" t="s">
        <v>2861</v>
      </c>
      <c r="C1855" s="14"/>
      <c r="D1855" s="14" t="s">
        <v>2860</v>
      </c>
      <c r="E1855" s="14" t="s">
        <v>2626</v>
      </c>
      <c r="F1855" s="15" t="s">
        <v>22</v>
      </c>
      <c r="G1855" s="21"/>
      <c r="H1855" s="58">
        <v>4</v>
      </c>
      <c r="I1855" s="14"/>
      <c r="J1855" s="14" t="s">
        <v>23</v>
      </c>
      <c r="K1855" s="14"/>
      <c r="L1855" s="14"/>
      <c r="M1855" s="14" t="s">
        <v>1534</v>
      </c>
      <c r="N1855" s="25" t="s">
        <v>37</v>
      </c>
      <c r="O1855" s="14" t="s">
        <v>2862</v>
      </c>
      <c r="P1855" s="14"/>
      <c r="Q1855" s="14"/>
      <c r="R1855" s="14" t="s">
        <v>2333</v>
      </c>
    </row>
    <row r="1856" spans="1:1027" ht="15" customHeight="1">
      <c r="A1856" s="12">
        <v>2213</v>
      </c>
      <c r="B1856" s="13" t="s">
        <v>2863</v>
      </c>
      <c r="C1856" s="31"/>
      <c r="D1856" s="16">
        <v>617</v>
      </c>
      <c r="E1856" s="16" t="s">
        <v>2626</v>
      </c>
      <c r="F1856" s="15" t="s">
        <v>22</v>
      </c>
      <c r="G1856" s="18"/>
      <c r="H1856" s="58">
        <v>4</v>
      </c>
      <c r="I1856" s="16"/>
      <c r="J1856" s="14" t="s">
        <v>23</v>
      </c>
      <c r="K1856" s="34"/>
      <c r="L1856" s="34"/>
      <c r="M1856" s="34"/>
      <c r="N1856" s="34"/>
      <c r="O1856" s="34"/>
      <c r="P1856" s="34"/>
      <c r="Q1856" s="34"/>
      <c r="R1856" s="34"/>
    </row>
    <row r="1857" spans="1:18" ht="15" customHeight="1">
      <c r="A1857" s="12">
        <v>649</v>
      </c>
      <c r="B1857" s="13" t="s">
        <v>2864</v>
      </c>
      <c r="C1857" s="13"/>
      <c r="D1857" s="22" t="s">
        <v>2865</v>
      </c>
      <c r="E1857" s="14" t="s">
        <v>21</v>
      </c>
      <c r="F1857" s="15" t="s">
        <v>22</v>
      </c>
      <c r="G1857" s="26"/>
      <c r="H1857" s="58"/>
      <c r="I1857" s="22"/>
      <c r="J1857" s="14" t="s">
        <v>23</v>
      </c>
      <c r="K1857" s="22"/>
      <c r="L1857" s="22"/>
      <c r="M1857" s="22" t="s">
        <v>654</v>
      </c>
      <c r="N1857" s="14" t="s">
        <v>25</v>
      </c>
      <c r="O1857" s="22"/>
      <c r="P1857" s="14"/>
      <c r="Q1857" s="14"/>
      <c r="R1857" s="14" t="s">
        <v>1820</v>
      </c>
    </row>
    <row r="1858" spans="1:18" ht="15" customHeight="1">
      <c r="A1858" s="12">
        <v>1362</v>
      </c>
      <c r="B1858" s="13" t="s">
        <v>2866</v>
      </c>
      <c r="C1858" s="14"/>
      <c r="D1858" s="14" t="s">
        <v>2865</v>
      </c>
      <c r="E1858" s="14" t="s">
        <v>21</v>
      </c>
      <c r="F1858" s="15" t="s">
        <v>22</v>
      </c>
      <c r="G1858" s="21"/>
      <c r="H1858" s="58">
        <v>3</v>
      </c>
      <c r="I1858" s="14"/>
      <c r="J1858" s="14" t="s">
        <v>23</v>
      </c>
      <c r="K1858" s="14"/>
      <c r="L1858" s="14"/>
      <c r="M1858" s="14" t="s">
        <v>1534</v>
      </c>
      <c r="N1858" s="14" t="s">
        <v>25</v>
      </c>
      <c r="O1858" s="14"/>
      <c r="P1858" s="14"/>
      <c r="Q1858" s="14"/>
      <c r="R1858" s="14" t="s">
        <v>2333</v>
      </c>
    </row>
    <row r="1859" spans="1:18" ht="15" customHeight="1">
      <c r="A1859" s="12">
        <v>2214</v>
      </c>
      <c r="B1859" s="13" t="s">
        <v>2867</v>
      </c>
      <c r="C1859" s="31"/>
      <c r="D1859" s="16">
        <v>618</v>
      </c>
      <c r="E1859" s="14" t="s">
        <v>21</v>
      </c>
      <c r="F1859" s="15" t="s">
        <v>22</v>
      </c>
      <c r="G1859" s="18"/>
      <c r="H1859" s="58">
        <v>2</v>
      </c>
      <c r="I1859" s="16"/>
      <c r="J1859" s="14" t="s">
        <v>23</v>
      </c>
      <c r="K1859" s="34"/>
      <c r="L1859" s="34"/>
      <c r="M1859" s="34"/>
      <c r="N1859" s="34"/>
      <c r="O1859" s="34"/>
      <c r="P1859" s="34"/>
      <c r="Q1859" s="34"/>
      <c r="R1859" s="34"/>
    </row>
    <row r="1860" spans="1:18" ht="15" customHeight="1">
      <c r="A1860" s="12">
        <v>650</v>
      </c>
      <c r="B1860" s="13" t="s">
        <v>2868</v>
      </c>
      <c r="C1860" s="22"/>
      <c r="D1860" s="22" t="s">
        <v>2869</v>
      </c>
      <c r="E1860" s="22" t="s">
        <v>2430</v>
      </c>
      <c r="F1860" s="15" t="s">
        <v>22</v>
      </c>
      <c r="G1860" s="26"/>
      <c r="H1860" s="58"/>
      <c r="I1860" s="22"/>
      <c r="J1860" s="14" t="s">
        <v>23</v>
      </c>
      <c r="K1860" s="22"/>
      <c r="L1860" s="22"/>
      <c r="M1860" s="22" t="s">
        <v>654</v>
      </c>
      <c r="N1860" s="25" t="s">
        <v>289</v>
      </c>
      <c r="O1860" s="22" t="s">
        <v>45</v>
      </c>
      <c r="P1860" s="14"/>
      <c r="Q1860" s="14"/>
      <c r="R1860" s="14" t="s">
        <v>1820</v>
      </c>
    </row>
    <row r="1861" spans="1:18" ht="15" customHeight="1">
      <c r="A1861" s="12">
        <v>1363</v>
      </c>
      <c r="B1861" s="13" t="s">
        <v>2870</v>
      </c>
      <c r="C1861" s="14"/>
      <c r="D1861" s="14" t="s">
        <v>2869</v>
      </c>
      <c r="E1861" s="22" t="s">
        <v>2430</v>
      </c>
      <c r="F1861" s="15" t="s">
        <v>22</v>
      </c>
      <c r="G1861" s="21"/>
      <c r="H1861" s="58">
        <v>2</v>
      </c>
      <c r="I1861" s="14"/>
      <c r="J1861" s="14" t="s">
        <v>23</v>
      </c>
      <c r="K1861" s="14"/>
      <c r="L1861" s="14"/>
      <c r="M1861" s="14" t="s">
        <v>1534</v>
      </c>
      <c r="N1861" s="25" t="s">
        <v>289</v>
      </c>
      <c r="O1861" s="14" t="s">
        <v>2871</v>
      </c>
      <c r="P1861" s="14"/>
      <c r="Q1861" s="14"/>
      <c r="R1861" s="14" t="s">
        <v>2333</v>
      </c>
    </row>
    <row r="1862" spans="1:18" ht="15" customHeight="1">
      <c r="A1862" s="12">
        <v>2215</v>
      </c>
      <c r="B1862" s="13" t="s">
        <v>2872</v>
      </c>
      <c r="C1862" s="31"/>
      <c r="D1862" s="16">
        <v>619</v>
      </c>
      <c r="E1862" s="22" t="s">
        <v>2430</v>
      </c>
      <c r="F1862" s="15" t="s">
        <v>22</v>
      </c>
      <c r="G1862" s="18"/>
      <c r="H1862" s="58"/>
      <c r="I1862" s="16"/>
      <c r="J1862" s="14" t="s">
        <v>23</v>
      </c>
      <c r="K1862" s="34"/>
      <c r="L1862" s="34"/>
      <c r="M1862" s="34"/>
      <c r="N1862" s="34"/>
      <c r="O1862" s="34"/>
      <c r="P1862" s="34"/>
      <c r="Q1862" s="34"/>
      <c r="R1862" s="34"/>
    </row>
    <row r="1863" spans="1:18" ht="15" customHeight="1">
      <c r="A1863" s="12">
        <v>651</v>
      </c>
      <c r="B1863" s="13" t="s">
        <v>2873</v>
      </c>
      <c r="C1863" s="22"/>
      <c r="D1863" s="22" t="s">
        <v>2874</v>
      </c>
      <c r="E1863" s="22" t="s">
        <v>2430</v>
      </c>
      <c r="F1863" s="15" t="s">
        <v>22</v>
      </c>
      <c r="G1863" s="26"/>
      <c r="H1863" s="58"/>
      <c r="I1863" s="22"/>
      <c r="J1863" s="14" t="s">
        <v>23</v>
      </c>
      <c r="K1863" s="22"/>
      <c r="L1863" s="22"/>
      <c r="M1863" s="22" t="s">
        <v>654</v>
      </c>
      <c r="N1863" s="14" t="s">
        <v>25</v>
      </c>
      <c r="O1863" s="22"/>
      <c r="P1863" s="14"/>
      <c r="Q1863" s="14"/>
      <c r="R1863" s="14" t="s">
        <v>1820</v>
      </c>
    </row>
    <row r="1864" spans="1:18" ht="15" customHeight="1">
      <c r="A1864" s="12">
        <v>1364</v>
      </c>
      <c r="B1864" s="13" t="s">
        <v>2875</v>
      </c>
      <c r="C1864" s="14"/>
      <c r="D1864" s="14" t="s">
        <v>2874</v>
      </c>
      <c r="E1864" s="22" t="s">
        <v>2430</v>
      </c>
      <c r="F1864" s="15" t="s">
        <v>22</v>
      </c>
      <c r="G1864" s="21"/>
      <c r="H1864" s="58">
        <v>2</v>
      </c>
      <c r="I1864" s="14"/>
      <c r="J1864" s="14" t="s">
        <v>23</v>
      </c>
      <c r="K1864" s="14"/>
      <c r="L1864" s="14"/>
      <c r="M1864" s="14" t="s">
        <v>1534</v>
      </c>
      <c r="N1864" s="25" t="s">
        <v>289</v>
      </c>
      <c r="O1864" s="14" t="s">
        <v>2876</v>
      </c>
      <c r="P1864" s="14"/>
      <c r="Q1864" s="14"/>
      <c r="R1864" s="14" t="s">
        <v>2333</v>
      </c>
    </row>
    <row r="1865" spans="1:18" ht="15" customHeight="1">
      <c r="A1865" s="12">
        <v>2216</v>
      </c>
      <c r="B1865" s="13" t="s">
        <v>2877</v>
      </c>
      <c r="C1865" s="31"/>
      <c r="D1865" s="16">
        <v>620</v>
      </c>
      <c r="E1865" s="22" t="s">
        <v>2430</v>
      </c>
      <c r="F1865" s="15" t="s">
        <v>22</v>
      </c>
      <c r="G1865" s="18"/>
      <c r="H1865" s="58">
        <v>1</v>
      </c>
      <c r="I1865" s="16"/>
      <c r="J1865" s="14" t="s">
        <v>23</v>
      </c>
      <c r="K1865" s="18"/>
      <c r="L1865" s="18"/>
      <c r="M1865" s="18"/>
      <c r="N1865" s="18"/>
      <c r="O1865" s="18"/>
      <c r="P1865" s="18"/>
      <c r="Q1865" s="18"/>
      <c r="R1865" s="18"/>
    </row>
    <row r="1866" spans="1:18" ht="15" customHeight="1">
      <c r="A1866" s="12">
        <v>652</v>
      </c>
      <c r="B1866" s="13" t="s">
        <v>2878</v>
      </c>
      <c r="C1866" s="22"/>
      <c r="D1866" s="22" t="s">
        <v>2879</v>
      </c>
      <c r="E1866" s="22" t="s">
        <v>2430</v>
      </c>
      <c r="F1866" s="15" t="s">
        <v>22</v>
      </c>
      <c r="G1866" s="26"/>
      <c r="H1866" s="58"/>
      <c r="I1866" s="22"/>
      <c r="J1866" s="14" t="s">
        <v>23</v>
      </c>
      <c r="K1866" s="22"/>
      <c r="L1866" s="22"/>
      <c r="M1866" s="22" t="s">
        <v>654</v>
      </c>
      <c r="N1866" s="14" t="s">
        <v>25</v>
      </c>
      <c r="O1866" s="22"/>
      <c r="P1866" s="14"/>
      <c r="Q1866" s="14"/>
      <c r="R1866" s="14" t="s">
        <v>1820</v>
      </c>
    </row>
    <row r="1867" spans="1:18" ht="15" customHeight="1">
      <c r="A1867" s="12">
        <v>1365</v>
      </c>
      <c r="B1867" s="13" t="s">
        <v>2880</v>
      </c>
      <c r="C1867" s="14"/>
      <c r="D1867" s="14" t="s">
        <v>2879</v>
      </c>
      <c r="E1867" s="22" t="s">
        <v>2430</v>
      </c>
      <c r="F1867" s="15" t="s">
        <v>22</v>
      </c>
      <c r="G1867" s="21"/>
      <c r="H1867" s="58">
        <v>1</v>
      </c>
      <c r="I1867" s="14"/>
      <c r="J1867" s="14" t="s">
        <v>23</v>
      </c>
      <c r="K1867" s="14"/>
      <c r="L1867" s="14"/>
      <c r="M1867" s="14" t="s">
        <v>1534</v>
      </c>
      <c r="N1867" s="25" t="s">
        <v>37</v>
      </c>
      <c r="O1867" s="14" t="s">
        <v>2871</v>
      </c>
      <c r="P1867" s="14"/>
      <c r="Q1867" s="14"/>
      <c r="R1867" s="14" t="s">
        <v>2333</v>
      </c>
    </row>
    <row r="1868" spans="1:18" ht="15" customHeight="1">
      <c r="A1868" s="12">
        <v>2217</v>
      </c>
      <c r="B1868" s="13" t="s">
        <v>2881</v>
      </c>
      <c r="C1868" s="31"/>
      <c r="D1868" s="16">
        <v>621</v>
      </c>
      <c r="E1868" s="22" t="s">
        <v>2430</v>
      </c>
      <c r="F1868" s="15" t="s">
        <v>22</v>
      </c>
      <c r="G1868" s="18"/>
      <c r="H1868" s="58"/>
      <c r="I1868" s="16"/>
      <c r="J1868" s="14" t="s">
        <v>23</v>
      </c>
      <c r="K1868" s="18"/>
      <c r="L1868" s="18"/>
      <c r="M1868" s="18"/>
      <c r="N1868" s="18"/>
      <c r="O1868" s="18"/>
      <c r="P1868" s="18"/>
      <c r="Q1868" s="18"/>
      <c r="R1868" s="18"/>
    </row>
    <row r="1869" spans="1:18" ht="15" customHeight="1">
      <c r="A1869" s="12">
        <v>653</v>
      </c>
      <c r="B1869" s="13" t="s">
        <v>2882</v>
      </c>
      <c r="C1869" s="22"/>
      <c r="D1869" s="22" t="s">
        <v>2883</v>
      </c>
      <c r="E1869" s="22" t="s">
        <v>2430</v>
      </c>
      <c r="F1869" s="15" t="s">
        <v>22</v>
      </c>
      <c r="G1869" s="26"/>
      <c r="H1869" s="58"/>
      <c r="I1869" s="22"/>
      <c r="J1869" s="14" t="s">
        <v>23</v>
      </c>
      <c r="K1869" s="22"/>
      <c r="L1869" s="22"/>
      <c r="M1869" s="22" t="s">
        <v>654</v>
      </c>
      <c r="N1869" s="14" t="s">
        <v>25</v>
      </c>
      <c r="O1869" s="22"/>
      <c r="P1869" s="14"/>
      <c r="Q1869" s="14"/>
      <c r="R1869" s="14" t="s">
        <v>1820</v>
      </c>
    </row>
    <row r="1870" spans="1:18" ht="15" customHeight="1">
      <c r="A1870" s="12">
        <v>1366</v>
      </c>
      <c r="B1870" s="13" t="s">
        <v>2884</v>
      </c>
      <c r="C1870" s="14"/>
      <c r="D1870" s="14" t="s">
        <v>2883</v>
      </c>
      <c r="E1870" s="22" t="s">
        <v>2430</v>
      </c>
      <c r="F1870" s="15" t="s">
        <v>22</v>
      </c>
      <c r="G1870" s="21"/>
      <c r="H1870" s="58">
        <v>2</v>
      </c>
      <c r="I1870" s="14"/>
      <c r="J1870" s="14" t="s">
        <v>23</v>
      </c>
      <c r="K1870" s="14"/>
      <c r="L1870" s="14"/>
      <c r="M1870" s="14" t="s">
        <v>1534</v>
      </c>
      <c r="N1870" s="14" t="s">
        <v>25</v>
      </c>
      <c r="O1870" s="14"/>
      <c r="P1870" s="14"/>
      <c r="Q1870" s="14"/>
      <c r="R1870" s="14" t="s">
        <v>2333</v>
      </c>
    </row>
    <row r="1871" spans="1:18" ht="15" customHeight="1">
      <c r="A1871" s="12">
        <v>2218</v>
      </c>
      <c r="B1871" s="13" t="s">
        <v>2885</v>
      </c>
      <c r="C1871" s="31"/>
      <c r="D1871" s="16">
        <v>622</v>
      </c>
      <c r="E1871" s="22" t="s">
        <v>2430</v>
      </c>
      <c r="F1871" s="15" t="s">
        <v>22</v>
      </c>
      <c r="G1871" s="18"/>
      <c r="H1871" s="58"/>
      <c r="I1871" s="16"/>
      <c r="J1871" s="14" t="s">
        <v>23</v>
      </c>
      <c r="K1871" s="18"/>
      <c r="L1871" s="18"/>
      <c r="M1871" s="18"/>
      <c r="N1871" s="18"/>
      <c r="O1871" s="18"/>
      <c r="P1871" s="18"/>
      <c r="Q1871" s="18"/>
      <c r="R1871" s="18"/>
    </row>
    <row r="1872" spans="1:18" ht="24" customHeight="1">
      <c r="A1872" s="12">
        <v>654</v>
      </c>
      <c r="B1872" s="13" t="s">
        <v>2886</v>
      </c>
      <c r="C1872" s="22"/>
      <c r="D1872" s="22" t="s">
        <v>2887</v>
      </c>
      <c r="E1872" s="22" t="s">
        <v>2430</v>
      </c>
      <c r="F1872" s="15" t="s">
        <v>22</v>
      </c>
      <c r="G1872" s="26"/>
      <c r="H1872" s="58"/>
      <c r="I1872" s="22"/>
      <c r="J1872" s="14" t="s">
        <v>23</v>
      </c>
      <c r="K1872" s="22"/>
      <c r="L1872" s="22"/>
      <c r="M1872" s="22" t="s">
        <v>654</v>
      </c>
      <c r="N1872" s="14" t="s">
        <v>25</v>
      </c>
      <c r="O1872" s="22"/>
      <c r="P1872" s="14"/>
      <c r="Q1872" s="14"/>
      <c r="R1872" s="14" t="s">
        <v>1820</v>
      </c>
    </row>
    <row r="1873" spans="1:1027" ht="15" customHeight="1">
      <c r="A1873" s="12">
        <v>1367</v>
      </c>
      <c r="B1873" s="13" t="s">
        <v>2888</v>
      </c>
      <c r="C1873" s="14"/>
      <c r="D1873" s="14" t="s">
        <v>2887</v>
      </c>
      <c r="E1873" s="22" t="s">
        <v>2430</v>
      </c>
      <c r="F1873" s="15" t="s">
        <v>22</v>
      </c>
      <c r="G1873" s="21"/>
      <c r="H1873" s="58">
        <v>1</v>
      </c>
      <c r="I1873" s="14"/>
      <c r="J1873" s="14" t="s">
        <v>23</v>
      </c>
      <c r="K1873" s="14"/>
      <c r="L1873" s="14"/>
      <c r="M1873" s="14" t="s">
        <v>1534</v>
      </c>
      <c r="N1873" s="25" t="s">
        <v>289</v>
      </c>
      <c r="O1873" s="14" t="s">
        <v>2889</v>
      </c>
      <c r="P1873" s="14"/>
      <c r="Q1873" s="14"/>
      <c r="R1873" s="14" t="s">
        <v>2333</v>
      </c>
    </row>
    <row r="1874" spans="1:1027" ht="15" customHeight="1">
      <c r="A1874" s="12">
        <v>2219</v>
      </c>
      <c r="B1874" s="13" t="s">
        <v>2890</v>
      </c>
      <c r="C1874" s="31"/>
      <c r="D1874" s="16">
        <v>623</v>
      </c>
      <c r="E1874" s="22" t="s">
        <v>2430</v>
      </c>
      <c r="F1874" s="15" t="s">
        <v>22</v>
      </c>
      <c r="G1874" s="18"/>
      <c r="H1874" s="58"/>
      <c r="I1874" s="16"/>
      <c r="J1874" s="14" t="s">
        <v>23</v>
      </c>
      <c r="K1874" s="18"/>
      <c r="L1874" s="18"/>
      <c r="M1874" s="18"/>
      <c r="N1874" s="18"/>
      <c r="O1874" s="18"/>
      <c r="P1874" s="18"/>
      <c r="Q1874" s="18"/>
      <c r="R1874" s="18"/>
    </row>
    <row r="1875" spans="1:1027" ht="15" customHeight="1">
      <c r="A1875" s="12">
        <v>4</v>
      </c>
      <c r="B1875" s="13" t="s">
        <v>2891</v>
      </c>
      <c r="C1875" s="14"/>
      <c r="D1875" s="14" t="s">
        <v>2892</v>
      </c>
      <c r="E1875" s="22" t="s">
        <v>2430</v>
      </c>
      <c r="F1875" s="15" t="s">
        <v>22</v>
      </c>
      <c r="G1875" s="14"/>
      <c r="H1875" s="58"/>
      <c r="I1875" s="14"/>
      <c r="J1875" s="14" t="s">
        <v>23</v>
      </c>
      <c r="K1875" s="15"/>
      <c r="L1875" s="15"/>
      <c r="M1875" s="14" t="s">
        <v>24</v>
      </c>
      <c r="N1875" s="14" t="s">
        <v>25</v>
      </c>
      <c r="O1875" s="14"/>
      <c r="P1875" s="14"/>
      <c r="Q1875" s="14"/>
      <c r="R1875" s="17">
        <v>43599</v>
      </c>
      <c r="S1875" s="12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  <c r="HY1875" s="3"/>
      <c r="HZ1875" s="3"/>
      <c r="IA1875" s="3"/>
      <c r="IB1875" s="3"/>
      <c r="IC1875" s="3"/>
      <c r="ID1875" s="3"/>
      <c r="IE1875" s="3"/>
      <c r="IF1875" s="3"/>
      <c r="IG1875" s="3"/>
      <c r="IH1875" s="3"/>
      <c r="II1875" s="3"/>
      <c r="IJ1875" s="3"/>
      <c r="IK1875" s="3"/>
      <c r="IL1875" s="3"/>
      <c r="IM1875" s="3"/>
      <c r="IN1875" s="3"/>
      <c r="IO1875" s="3"/>
      <c r="IP1875" s="3"/>
      <c r="IQ1875" s="3"/>
      <c r="IR1875" s="3"/>
      <c r="IS1875" s="3"/>
      <c r="IT1875" s="3"/>
      <c r="IU1875" s="3"/>
      <c r="IV1875" s="3"/>
      <c r="IW1875" s="3"/>
      <c r="IX1875" s="3"/>
      <c r="IY1875" s="3"/>
      <c r="IZ1875" s="3"/>
      <c r="JA1875" s="3"/>
      <c r="JB1875" s="3"/>
      <c r="JC1875" s="3"/>
      <c r="JD1875" s="3"/>
      <c r="JE1875" s="3"/>
      <c r="JF1875" s="3"/>
      <c r="JG1875" s="3"/>
      <c r="JH1875" s="3"/>
      <c r="JI1875" s="3"/>
      <c r="JJ1875" s="3"/>
      <c r="JK1875" s="3"/>
      <c r="JL1875" s="3"/>
      <c r="JM1875" s="3"/>
      <c r="JN1875" s="3"/>
      <c r="JO1875" s="3"/>
      <c r="JP1875" s="3"/>
      <c r="JQ1875" s="3"/>
      <c r="JR1875" s="3"/>
      <c r="JS1875" s="3"/>
      <c r="JT1875" s="3"/>
      <c r="JU1875" s="3"/>
      <c r="JV1875" s="3"/>
      <c r="JW1875" s="3"/>
      <c r="JX1875" s="3"/>
      <c r="JY1875" s="3"/>
      <c r="JZ1875" s="3"/>
      <c r="KA1875" s="3"/>
      <c r="KB1875" s="3"/>
      <c r="KC1875" s="3"/>
      <c r="KD1875" s="3"/>
      <c r="KE1875" s="3"/>
      <c r="KF1875" s="3"/>
      <c r="KG1875" s="3"/>
      <c r="KH1875" s="3"/>
      <c r="KI1875" s="3"/>
      <c r="KJ1875" s="3"/>
      <c r="KK1875" s="3"/>
      <c r="KL1875" s="3"/>
      <c r="KM1875" s="3"/>
      <c r="KN1875" s="3"/>
      <c r="KO1875" s="3"/>
      <c r="KP1875" s="3"/>
      <c r="KQ1875" s="3"/>
      <c r="KR1875" s="3"/>
      <c r="KS1875" s="3"/>
      <c r="KT1875" s="3"/>
      <c r="KU1875" s="3"/>
      <c r="KV1875" s="3"/>
      <c r="KW1875" s="3"/>
      <c r="KX1875" s="3"/>
      <c r="KY1875" s="3"/>
      <c r="KZ1875" s="3"/>
      <c r="LA1875" s="3"/>
      <c r="LB1875" s="3"/>
      <c r="LC1875" s="3"/>
      <c r="LD1875" s="3"/>
      <c r="LE1875" s="3"/>
      <c r="LF1875" s="3"/>
      <c r="LG1875" s="3"/>
      <c r="LH1875" s="3"/>
      <c r="LI1875" s="3"/>
      <c r="LJ1875" s="3"/>
      <c r="LK1875" s="3"/>
      <c r="LL1875" s="3"/>
      <c r="LM1875" s="3"/>
      <c r="LN1875" s="3"/>
      <c r="LO1875" s="3"/>
      <c r="LP1875" s="3"/>
      <c r="LQ1875" s="3"/>
      <c r="LR1875" s="3"/>
      <c r="LS1875" s="3"/>
      <c r="LT1875" s="3"/>
      <c r="LU1875" s="3"/>
      <c r="LV1875" s="3"/>
      <c r="LW1875" s="3"/>
      <c r="LX1875" s="3"/>
      <c r="LY1875" s="3"/>
      <c r="LZ1875" s="3"/>
      <c r="MA1875" s="3"/>
      <c r="MB1875" s="3"/>
      <c r="MC1875" s="3"/>
      <c r="MD1875" s="3"/>
      <c r="ME1875" s="3"/>
      <c r="MF1875" s="3"/>
      <c r="MG1875" s="3"/>
      <c r="MH1875" s="3"/>
      <c r="MI1875" s="3"/>
      <c r="MJ1875" s="3"/>
      <c r="MK1875" s="3"/>
      <c r="ML1875" s="3"/>
      <c r="MM1875" s="3"/>
      <c r="MN1875" s="3"/>
      <c r="MO1875" s="3"/>
      <c r="MP1875" s="3"/>
      <c r="MQ1875" s="3"/>
      <c r="MR1875" s="3"/>
      <c r="MS1875" s="3"/>
      <c r="MT1875" s="3"/>
      <c r="MU1875" s="3"/>
      <c r="MV1875" s="3"/>
      <c r="MW1875" s="3"/>
      <c r="MX1875" s="3"/>
      <c r="MY1875" s="3"/>
      <c r="MZ1875" s="3"/>
      <c r="NA1875" s="3"/>
      <c r="NB1875" s="3"/>
      <c r="NC1875" s="3"/>
      <c r="ND1875" s="3"/>
      <c r="NE1875" s="3"/>
      <c r="NF1875" s="3"/>
      <c r="NG1875" s="3"/>
      <c r="NH1875" s="3"/>
      <c r="NI1875" s="3"/>
      <c r="NJ1875" s="3"/>
      <c r="NK1875" s="3"/>
      <c r="NL1875" s="3"/>
      <c r="NM1875" s="3"/>
      <c r="NN1875" s="3"/>
      <c r="NO1875" s="3"/>
      <c r="NP1875" s="3"/>
      <c r="NQ1875" s="3"/>
      <c r="NR1875" s="3"/>
      <c r="NS1875" s="3"/>
      <c r="NT1875" s="3"/>
      <c r="NU1875" s="3"/>
      <c r="NV1875" s="3"/>
      <c r="NW1875" s="3"/>
      <c r="NX1875" s="3"/>
      <c r="NY1875" s="3"/>
      <c r="NZ1875" s="3"/>
      <c r="OA1875" s="3"/>
      <c r="OB1875" s="3"/>
      <c r="OC1875" s="3"/>
      <c r="OD1875" s="3"/>
      <c r="OE1875" s="3"/>
      <c r="OF1875" s="3"/>
      <c r="OG1875" s="3"/>
      <c r="OH1875" s="3"/>
      <c r="OI1875" s="3"/>
      <c r="OJ1875" s="3"/>
      <c r="OK1875" s="3"/>
      <c r="OL1875" s="3"/>
      <c r="OM1875" s="3"/>
      <c r="ON1875" s="3"/>
      <c r="OO1875" s="3"/>
      <c r="OP1875" s="3"/>
      <c r="OQ1875" s="3"/>
      <c r="OR1875" s="3"/>
      <c r="OS1875" s="3"/>
      <c r="OT1875" s="3"/>
      <c r="OU1875" s="3"/>
      <c r="OV1875" s="3"/>
      <c r="OW1875" s="3"/>
      <c r="OX1875" s="3"/>
      <c r="OY1875" s="3"/>
      <c r="OZ1875" s="3"/>
      <c r="PA1875" s="3"/>
      <c r="PB1875" s="3"/>
      <c r="PC1875" s="3"/>
      <c r="PD1875" s="3"/>
      <c r="PE1875" s="3"/>
      <c r="PF1875" s="3"/>
      <c r="PG1875" s="3"/>
      <c r="PH1875" s="3"/>
      <c r="PI1875" s="3"/>
      <c r="PJ1875" s="3"/>
      <c r="PK1875" s="3"/>
      <c r="PL1875" s="3"/>
      <c r="PM1875" s="3"/>
      <c r="PN1875" s="3"/>
      <c r="PO1875" s="3"/>
      <c r="PP1875" s="3"/>
      <c r="PQ1875" s="3"/>
      <c r="PR1875" s="3"/>
      <c r="PS1875" s="3"/>
      <c r="PT1875" s="3"/>
      <c r="PU1875" s="3"/>
      <c r="PV1875" s="3"/>
      <c r="PW1875" s="3"/>
      <c r="PX1875" s="3"/>
      <c r="PY1875" s="3"/>
      <c r="PZ1875" s="3"/>
      <c r="QA1875" s="3"/>
      <c r="QB1875" s="3"/>
      <c r="QC1875" s="3"/>
      <c r="QD1875" s="3"/>
      <c r="QE1875" s="3"/>
      <c r="QF1875" s="3"/>
      <c r="QG1875" s="3"/>
      <c r="QH1875" s="3"/>
      <c r="QI1875" s="3"/>
      <c r="QJ1875" s="3"/>
      <c r="QK1875" s="3"/>
      <c r="QL1875" s="3"/>
      <c r="QM1875" s="3"/>
      <c r="QN1875" s="3"/>
      <c r="QO1875" s="3"/>
      <c r="QP1875" s="3"/>
      <c r="QQ1875" s="3"/>
      <c r="QR1875" s="3"/>
      <c r="QS1875" s="3"/>
      <c r="QT1875" s="3"/>
      <c r="QU1875" s="3"/>
      <c r="QV1875" s="3"/>
      <c r="QW1875" s="3"/>
      <c r="QX1875" s="3"/>
      <c r="QY1875" s="3"/>
      <c r="QZ1875" s="3"/>
      <c r="RA1875" s="3"/>
      <c r="RB1875" s="3"/>
      <c r="RC1875" s="3"/>
      <c r="RD1875" s="3"/>
      <c r="RE1875" s="3"/>
      <c r="RF1875" s="3"/>
      <c r="RG1875" s="3"/>
      <c r="RH1875" s="3"/>
      <c r="RI1875" s="3"/>
      <c r="RJ1875" s="3"/>
      <c r="RK1875" s="3"/>
      <c r="RL1875" s="3"/>
      <c r="RM1875" s="3"/>
      <c r="RN1875" s="3"/>
      <c r="RO1875" s="3"/>
      <c r="RP1875" s="3"/>
      <c r="RQ1875" s="3"/>
      <c r="RR1875" s="3"/>
      <c r="RS1875" s="3"/>
      <c r="RT1875" s="3"/>
      <c r="RU1875" s="3"/>
      <c r="RV1875" s="3"/>
      <c r="RW1875" s="3"/>
      <c r="RX1875" s="3"/>
      <c r="RY1875" s="3"/>
      <c r="RZ1875" s="3"/>
      <c r="SA1875" s="3"/>
      <c r="SB1875" s="3"/>
      <c r="SC1875" s="3"/>
      <c r="SD1875" s="3"/>
      <c r="SE1875" s="3"/>
      <c r="SF1875" s="3"/>
      <c r="SG1875" s="3"/>
      <c r="SH1875" s="3"/>
      <c r="SI1875" s="3"/>
      <c r="SJ1875" s="3"/>
      <c r="SK1875" s="3"/>
      <c r="SL1875" s="3"/>
      <c r="SM1875" s="3"/>
      <c r="SN1875" s="3"/>
      <c r="SO1875" s="3"/>
      <c r="SP1875" s="3"/>
      <c r="SQ1875" s="3"/>
      <c r="SR1875" s="3"/>
      <c r="SS1875" s="3"/>
      <c r="ST1875" s="3"/>
      <c r="SU1875" s="3"/>
      <c r="SV1875" s="3"/>
      <c r="SW1875" s="3"/>
      <c r="SX1875" s="3"/>
      <c r="SY1875" s="3"/>
      <c r="SZ1875" s="3"/>
      <c r="TA1875" s="3"/>
      <c r="TB1875" s="3"/>
      <c r="TC1875" s="3"/>
      <c r="TD1875" s="3"/>
      <c r="TE1875" s="3"/>
      <c r="TF1875" s="3"/>
      <c r="TG1875" s="3"/>
      <c r="TH1875" s="3"/>
      <c r="TI1875" s="3"/>
      <c r="TJ1875" s="3"/>
      <c r="TK1875" s="3"/>
      <c r="TL1875" s="3"/>
      <c r="TM1875" s="3"/>
      <c r="TN1875" s="3"/>
      <c r="TO1875" s="3"/>
      <c r="TP1875" s="3"/>
      <c r="TQ1875" s="3"/>
      <c r="TR1875" s="3"/>
      <c r="TS1875" s="3"/>
      <c r="TT1875" s="3"/>
      <c r="TU1875" s="3"/>
      <c r="TV1875" s="3"/>
      <c r="TW1875" s="3"/>
      <c r="TX1875" s="3"/>
      <c r="TY1875" s="3"/>
      <c r="TZ1875" s="3"/>
      <c r="UA1875" s="3"/>
      <c r="UB1875" s="3"/>
      <c r="UC1875" s="3"/>
      <c r="UD1875" s="3"/>
      <c r="UE1875" s="3"/>
      <c r="UF1875" s="3"/>
      <c r="UG1875" s="3"/>
      <c r="UH1875" s="3"/>
      <c r="UI1875" s="3"/>
      <c r="UJ1875" s="3"/>
      <c r="UK1875" s="3"/>
      <c r="UL1875" s="3"/>
      <c r="UM1875" s="3"/>
      <c r="UN1875" s="3"/>
      <c r="UO1875" s="3"/>
      <c r="UP1875" s="3"/>
      <c r="UQ1875" s="3"/>
      <c r="UR1875" s="3"/>
      <c r="US1875" s="3"/>
      <c r="UT1875" s="3"/>
      <c r="UU1875" s="3"/>
      <c r="UV1875" s="3"/>
      <c r="UW1875" s="3"/>
      <c r="UX1875" s="3"/>
      <c r="UY1875" s="3"/>
      <c r="UZ1875" s="3"/>
      <c r="VA1875" s="3"/>
      <c r="VB1875" s="3"/>
      <c r="VC1875" s="3"/>
      <c r="VD1875" s="3"/>
      <c r="VE1875" s="3"/>
      <c r="VF1875" s="3"/>
      <c r="VG1875" s="3"/>
      <c r="VH1875" s="3"/>
      <c r="VI1875" s="3"/>
      <c r="VJ1875" s="3"/>
      <c r="VK1875" s="3"/>
      <c r="VL1875" s="3"/>
      <c r="VM1875" s="3"/>
      <c r="VN1875" s="3"/>
      <c r="VO1875" s="3"/>
      <c r="VP1875" s="3"/>
      <c r="VQ1875" s="3"/>
      <c r="VR1875" s="3"/>
      <c r="VS1875" s="3"/>
      <c r="VT1875" s="3"/>
      <c r="VU1875" s="3"/>
      <c r="VV1875" s="3"/>
      <c r="VW1875" s="3"/>
      <c r="VX1875" s="3"/>
      <c r="VY1875" s="3"/>
      <c r="VZ1875" s="3"/>
      <c r="WA1875" s="3"/>
      <c r="WB1875" s="3"/>
      <c r="WC1875" s="3"/>
      <c r="WD1875" s="3"/>
      <c r="WE1875" s="3"/>
      <c r="WF1875" s="3"/>
      <c r="WG1875" s="3"/>
      <c r="WH1875" s="3"/>
      <c r="WI1875" s="3"/>
      <c r="WJ1875" s="3"/>
      <c r="WK1875" s="3"/>
      <c r="WL1875" s="3"/>
      <c r="WM1875" s="3"/>
      <c r="WN1875" s="3"/>
      <c r="WO1875" s="3"/>
      <c r="WP1875" s="3"/>
      <c r="WQ1875" s="3"/>
      <c r="WR1875" s="3"/>
      <c r="WS1875" s="3"/>
      <c r="WT1875" s="3"/>
      <c r="WU1875" s="3"/>
      <c r="WV1875" s="3"/>
      <c r="WW1875" s="3"/>
      <c r="WX1875" s="3"/>
      <c r="WY1875" s="3"/>
      <c r="WZ1875" s="3"/>
      <c r="XA1875" s="3"/>
      <c r="XB1875" s="3"/>
      <c r="XC1875" s="3"/>
      <c r="XD1875" s="3"/>
      <c r="XE1875" s="3"/>
      <c r="XF1875" s="3"/>
      <c r="XG1875" s="3"/>
      <c r="XH1875" s="3"/>
      <c r="XI1875" s="3"/>
      <c r="XJ1875" s="3"/>
      <c r="XK1875" s="3"/>
      <c r="XL1875" s="3"/>
      <c r="XM1875" s="3"/>
      <c r="XN1875" s="3"/>
      <c r="XO1875" s="3"/>
      <c r="XP1875" s="3"/>
      <c r="XQ1875" s="3"/>
      <c r="XR1875" s="3"/>
      <c r="XS1875" s="3"/>
      <c r="XT1875" s="3"/>
      <c r="XU1875" s="3"/>
      <c r="XV1875" s="3"/>
      <c r="XW1875" s="3"/>
      <c r="XX1875" s="3"/>
      <c r="XY1875" s="3"/>
      <c r="XZ1875" s="3"/>
      <c r="YA1875" s="3"/>
      <c r="YB1875" s="3"/>
      <c r="YC1875" s="3"/>
      <c r="YD1875" s="3"/>
      <c r="YE1875" s="3"/>
      <c r="YF1875" s="3"/>
      <c r="YG1875" s="3"/>
      <c r="YH1875" s="3"/>
      <c r="YI1875" s="3"/>
      <c r="YJ1875" s="3"/>
      <c r="YK1875" s="3"/>
      <c r="YL1875" s="3"/>
      <c r="YM1875" s="3"/>
      <c r="YN1875" s="3"/>
      <c r="YO1875" s="3"/>
      <c r="YP1875" s="3"/>
      <c r="YQ1875" s="3"/>
      <c r="YR1875" s="3"/>
      <c r="YS1875" s="3"/>
      <c r="YT1875" s="3"/>
      <c r="YU1875" s="3"/>
      <c r="YV1875" s="3"/>
      <c r="YW1875" s="3"/>
      <c r="YX1875" s="3"/>
      <c r="YY1875" s="3"/>
      <c r="YZ1875" s="3"/>
      <c r="ZA1875" s="3"/>
      <c r="ZB1875" s="3"/>
      <c r="ZC1875" s="3"/>
      <c r="ZD1875" s="3"/>
      <c r="ZE1875" s="3"/>
      <c r="ZF1875" s="3"/>
      <c r="ZG1875" s="3"/>
      <c r="ZH1875" s="3"/>
      <c r="ZI1875" s="3"/>
      <c r="ZJ1875" s="3"/>
      <c r="ZK1875" s="3"/>
      <c r="ZL1875" s="3"/>
      <c r="ZM1875" s="3"/>
      <c r="ZN1875" s="3"/>
      <c r="ZO1875" s="3"/>
      <c r="ZP1875" s="3"/>
      <c r="ZQ1875" s="3"/>
      <c r="ZR1875" s="3"/>
      <c r="ZS1875" s="3"/>
      <c r="ZT1875" s="3"/>
      <c r="ZU1875" s="3"/>
      <c r="ZV1875" s="3"/>
      <c r="ZW1875" s="3"/>
      <c r="ZX1875" s="3"/>
      <c r="ZY1875" s="3"/>
      <c r="ZZ1875" s="3"/>
      <c r="AAA1875" s="3"/>
      <c r="AAB1875" s="3"/>
      <c r="AAC1875" s="3"/>
      <c r="AAD1875" s="3"/>
      <c r="AAE1875" s="3"/>
      <c r="AAF1875" s="3"/>
      <c r="AAG1875" s="3"/>
      <c r="AAH1875" s="3"/>
      <c r="AAI1875" s="3"/>
      <c r="AAJ1875" s="3"/>
      <c r="AAK1875" s="3"/>
      <c r="AAL1875" s="3"/>
      <c r="AAM1875" s="3"/>
      <c r="AAN1875" s="3"/>
      <c r="AAO1875" s="3"/>
      <c r="AAP1875" s="3"/>
      <c r="AAQ1875" s="3"/>
      <c r="AAR1875" s="3"/>
      <c r="AAS1875" s="3"/>
      <c r="AAT1875" s="3"/>
      <c r="AAU1875" s="3"/>
      <c r="AAV1875" s="3"/>
      <c r="AAW1875" s="3"/>
      <c r="AAX1875" s="3"/>
      <c r="AAY1875" s="3"/>
      <c r="AAZ1875" s="3"/>
      <c r="ABA1875" s="3"/>
      <c r="ABB1875" s="3"/>
      <c r="ABC1875" s="3"/>
      <c r="ABD1875" s="3"/>
      <c r="ABE1875" s="3"/>
      <c r="ABF1875" s="3"/>
      <c r="ABG1875" s="3"/>
      <c r="ABH1875" s="3"/>
      <c r="ABI1875" s="3"/>
      <c r="ABJ1875" s="3"/>
      <c r="ABK1875" s="3"/>
      <c r="ABL1875" s="3"/>
      <c r="ABM1875" s="3"/>
      <c r="ABN1875" s="3"/>
      <c r="ABO1875" s="3"/>
      <c r="ABP1875" s="3"/>
      <c r="ABQ1875" s="3"/>
      <c r="ABR1875" s="3"/>
      <c r="ABS1875" s="3"/>
      <c r="ABT1875" s="3"/>
      <c r="ABU1875" s="3"/>
      <c r="ABV1875" s="3"/>
      <c r="ABW1875" s="3"/>
      <c r="ABX1875" s="3"/>
      <c r="ABY1875" s="3"/>
      <c r="ABZ1875" s="3"/>
      <c r="ACA1875" s="3"/>
      <c r="ACB1875" s="3"/>
      <c r="ACC1875" s="3"/>
      <c r="ACD1875" s="3"/>
      <c r="ACE1875" s="3"/>
      <c r="ACF1875" s="3"/>
      <c r="ACG1875" s="3"/>
      <c r="ACH1875" s="3"/>
      <c r="ACI1875" s="3"/>
      <c r="ACJ1875" s="3"/>
      <c r="ACK1875" s="3"/>
      <c r="ACL1875" s="3"/>
      <c r="ACM1875" s="3"/>
      <c r="ACN1875" s="3"/>
      <c r="ACO1875" s="3"/>
      <c r="ACP1875" s="3"/>
      <c r="ACQ1875" s="3"/>
      <c r="ACR1875" s="3"/>
      <c r="ACS1875" s="3"/>
      <c r="ACT1875" s="3"/>
      <c r="ACU1875" s="3"/>
      <c r="ACV1875" s="3"/>
      <c r="ACW1875" s="3"/>
      <c r="ACX1875" s="3"/>
      <c r="ACY1875" s="3"/>
      <c r="ACZ1875" s="3"/>
      <c r="ADA1875" s="3"/>
      <c r="ADB1875" s="3"/>
      <c r="ADC1875" s="3"/>
      <c r="ADD1875" s="3"/>
      <c r="ADE1875" s="3"/>
      <c r="ADF1875" s="3"/>
      <c r="ADG1875" s="3"/>
      <c r="ADH1875" s="3"/>
      <c r="ADI1875" s="3"/>
      <c r="ADJ1875" s="3"/>
      <c r="ADK1875" s="3"/>
      <c r="ADL1875" s="3"/>
      <c r="ADM1875" s="3"/>
      <c r="ADN1875" s="3"/>
      <c r="ADO1875" s="3"/>
      <c r="ADP1875" s="3"/>
      <c r="ADQ1875" s="3"/>
      <c r="ADR1875" s="3"/>
      <c r="ADS1875" s="3"/>
      <c r="ADT1875" s="3"/>
      <c r="ADU1875" s="3"/>
      <c r="ADV1875" s="3"/>
      <c r="ADW1875" s="3"/>
      <c r="ADX1875" s="3"/>
      <c r="ADY1875" s="3"/>
      <c r="ADZ1875" s="3"/>
      <c r="AEA1875" s="3"/>
      <c r="AEB1875" s="3"/>
      <c r="AEC1875" s="3"/>
      <c r="AED1875" s="3"/>
      <c r="AEE1875" s="3"/>
      <c r="AEF1875" s="3"/>
      <c r="AEG1875" s="3"/>
      <c r="AEH1875" s="3"/>
      <c r="AEI1875" s="3"/>
      <c r="AEJ1875" s="3"/>
      <c r="AEK1875" s="3"/>
      <c r="AEL1875" s="3"/>
      <c r="AEM1875" s="3"/>
      <c r="AEN1875" s="3"/>
      <c r="AEO1875" s="3"/>
      <c r="AEP1875" s="3"/>
      <c r="AEQ1875" s="3"/>
      <c r="AER1875" s="3"/>
      <c r="AES1875" s="3"/>
      <c r="AET1875" s="3"/>
      <c r="AEU1875" s="3"/>
      <c r="AEV1875" s="3"/>
      <c r="AEW1875" s="3"/>
      <c r="AEX1875" s="3"/>
      <c r="AEY1875" s="3"/>
      <c r="AEZ1875" s="3"/>
      <c r="AFA1875" s="3"/>
      <c r="AFB1875" s="3"/>
      <c r="AFC1875" s="3"/>
      <c r="AFD1875" s="3"/>
      <c r="AFE1875" s="3"/>
      <c r="AFF1875" s="3"/>
      <c r="AFG1875" s="3"/>
      <c r="AFH1875" s="3"/>
      <c r="AFI1875" s="3"/>
      <c r="AFJ1875" s="3"/>
      <c r="AFK1875" s="3"/>
      <c r="AFL1875" s="3"/>
      <c r="AFM1875" s="3"/>
      <c r="AFN1875" s="3"/>
      <c r="AFO1875" s="3"/>
      <c r="AFP1875" s="3"/>
      <c r="AFQ1875" s="3"/>
      <c r="AFR1875" s="3"/>
      <c r="AFS1875" s="3"/>
      <c r="AFT1875" s="3"/>
      <c r="AFU1875" s="3"/>
      <c r="AFV1875" s="3"/>
      <c r="AFW1875" s="3"/>
      <c r="AFX1875" s="3"/>
      <c r="AFY1875" s="3"/>
      <c r="AFZ1875" s="3"/>
      <c r="AGA1875" s="3"/>
      <c r="AGB1875" s="3"/>
      <c r="AGC1875" s="3"/>
      <c r="AGD1875" s="3"/>
      <c r="AGE1875" s="3"/>
      <c r="AGF1875" s="3"/>
      <c r="AGG1875" s="3"/>
      <c r="AGH1875" s="3"/>
      <c r="AGI1875" s="3"/>
      <c r="AGJ1875" s="3"/>
      <c r="AGK1875" s="3"/>
      <c r="AGL1875" s="3"/>
      <c r="AGM1875" s="3"/>
      <c r="AGN1875" s="3"/>
      <c r="AGO1875" s="3"/>
      <c r="AGP1875" s="3"/>
      <c r="AGQ1875" s="3"/>
      <c r="AGR1875" s="3"/>
      <c r="AGS1875" s="3"/>
      <c r="AGT1875" s="3"/>
      <c r="AGU1875" s="3"/>
      <c r="AGV1875" s="3"/>
      <c r="AGW1875" s="3"/>
      <c r="AGX1875" s="3"/>
      <c r="AGY1875" s="3"/>
      <c r="AGZ1875" s="3"/>
      <c r="AHA1875" s="3"/>
      <c r="AHB1875" s="3"/>
      <c r="AHC1875" s="3"/>
      <c r="AHD1875" s="3"/>
      <c r="AHE1875" s="3"/>
      <c r="AHF1875" s="3"/>
      <c r="AHG1875" s="3"/>
      <c r="AHH1875" s="3"/>
      <c r="AHI1875" s="3"/>
      <c r="AHJ1875" s="3"/>
      <c r="AHK1875" s="3"/>
      <c r="AHL1875" s="3"/>
      <c r="AHM1875" s="3"/>
      <c r="AHN1875" s="3"/>
      <c r="AHO1875" s="3"/>
      <c r="AHP1875" s="3"/>
      <c r="AHQ1875" s="3"/>
      <c r="AHR1875" s="3"/>
      <c r="AHS1875" s="3"/>
      <c r="AHT1875" s="3"/>
      <c r="AHU1875" s="3"/>
      <c r="AHV1875" s="3"/>
      <c r="AHW1875" s="3"/>
      <c r="AHX1875" s="3"/>
      <c r="AHY1875" s="3"/>
      <c r="AHZ1875" s="3"/>
      <c r="AIA1875" s="3"/>
      <c r="AIB1875" s="3"/>
      <c r="AIC1875" s="3"/>
      <c r="AID1875" s="3"/>
      <c r="AIE1875" s="3"/>
      <c r="AIF1875" s="3"/>
      <c r="AIG1875" s="3"/>
      <c r="AIH1875" s="3"/>
      <c r="AII1875" s="3"/>
      <c r="AIJ1875" s="3"/>
      <c r="AIK1875" s="3"/>
      <c r="AIL1875" s="3"/>
      <c r="AIM1875" s="3"/>
      <c r="AIN1875" s="3"/>
      <c r="AIO1875" s="3"/>
      <c r="AIP1875" s="3"/>
      <c r="AIQ1875" s="3"/>
      <c r="AIR1875" s="3"/>
      <c r="AIS1875" s="3"/>
      <c r="AIT1875" s="3"/>
      <c r="AIU1875" s="3"/>
      <c r="AIV1875" s="3"/>
      <c r="AIW1875" s="3"/>
      <c r="AIX1875" s="3"/>
      <c r="AIY1875" s="3"/>
      <c r="AIZ1875" s="3"/>
      <c r="AJA1875" s="3"/>
      <c r="AJB1875" s="3"/>
      <c r="AJC1875" s="3"/>
      <c r="AJD1875" s="3"/>
      <c r="AJE1875" s="3"/>
      <c r="AJF1875" s="3"/>
      <c r="AJG1875" s="3"/>
      <c r="AJH1875" s="3"/>
      <c r="AJI1875" s="3"/>
      <c r="AJJ1875" s="3"/>
      <c r="AJK1875" s="3"/>
      <c r="AJL1875" s="3"/>
      <c r="AJM1875" s="3"/>
      <c r="AJN1875" s="3"/>
      <c r="AJO1875" s="3"/>
      <c r="AJP1875" s="3"/>
      <c r="AJQ1875" s="3"/>
      <c r="AJR1875" s="3"/>
      <c r="AJS1875" s="3"/>
      <c r="AJT1875" s="3"/>
      <c r="AJU1875" s="3"/>
      <c r="AJV1875" s="3"/>
      <c r="AJW1875" s="3"/>
      <c r="AJX1875" s="3"/>
      <c r="AJY1875" s="3"/>
      <c r="AJZ1875" s="3"/>
      <c r="AKA1875" s="3"/>
      <c r="AKB1875" s="3"/>
      <c r="AKC1875" s="3"/>
      <c r="AKD1875" s="3"/>
      <c r="AKE1875" s="3"/>
      <c r="AKF1875" s="3"/>
      <c r="AKG1875" s="3"/>
      <c r="AKH1875" s="3"/>
      <c r="AKI1875" s="3"/>
      <c r="AKJ1875" s="3"/>
      <c r="AKK1875" s="3"/>
      <c r="AKL1875" s="3"/>
      <c r="AKM1875" s="3"/>
      <c r="AKN1875" s="3"/>
      <c r="AKO1875" s="3"/>
      <c r="AKP1875" s="3"/>
      <c r="AKQ1875" s="3"/>
      <c r="AKR1875" s="3"/>
      <c r="AKS1875" s="3"/>
      <c r="AKT1875" s="3"/>
      <c r="AKU1875" s="3"/>
      <c r="AKV1875" s="3"/>
      <c r="AKW1875" s="3"/>
      <c r="AKX1875" s="3"/>
      <c r="AKY1875" s="3"/>
      <c r="AKZ1875" s="3"/>
      <c r="ALA1875" s="3"/>
      <c r="ALB1875" s="3"/>
      <c r="ALC1875" s="3"/>
      <c r="ALD1875" s="3"/>
      <c r="ALE1875" s="3"/>
      <c r="ALF1875" s="3"/>
      <c r="ALG1875" s="3"/>
      <c r="ALH1875" s="3"/>
      <c r="ALI1875" s="3"/>
      <c r="ALJ1875" s="3"/>
      <c r="ALK1875" s="3"/>
      <c r="ALL1875" s="3"/>
      <c r="ALM1875" s="3"/>
      <c r="ALN1875" s="3"/>
      <c r="ALO1875" s="3"/>
      <c r="ALP1875" s="3"/>
      <c r="ALQ1875" s="3"/>
      <c r="ALR1875" s="3"/>
      <c r="ALS1875" s="3"/>
      <c r="ALT1875" s="3"/>
      <c r="ALU1875" s="3"/>
      <c r="ALV1875" s="3"/>
      <c r="ALW1875" s="3"/>
      <c r="ALX1875" s="3"/>
      <c r="ALY1875" s="3"/>
      <c r="ALZ1875" s="3"/>
      <c r="AMA1875" s="3"/>
      <c r="AMB1875" s="3"/>
      <c r="AMC1875" s="3"/>
      <c r="AMD1875" s="3"/>
      <c r="AME1875" s="3"/>
      <c r="AMF1875" s="3"/>
      <c r="AMG1875" s="3"/>
      <c r="AMH1875" s="3"/>
      <c r="AMI1875" s="3"/>
      <c r="AMJ1875" s="3"/>
      <c r="AMK1875" s="3"/>
      <c r="AML1875" s="3"/>
      <c r="AMM1875" s="3"/>
    </row>
    <row r="1876" spans="1:1027" ht="15" customHeight="1">
      <c r="A1876" s="12">
        <v>655</v>
      </c>
      <c r="B1876" s="13" t="s">
        <v>2893</v>
      </c>
      <c r="C1876" s="22"/>
      <c r="D1876" s="22" t="s">
        <v>2892</v>
      </c>
      <c r="E1876" s="22" t="s">
        <v>2430</v>
      </c>
      <c r="F1876" s="15" t="s">
        <v>22</v>
      </c>
      <c r="G1876" s="26"/>
      <c r="H1876" s="58"/>
      <c r="I1876" s="22"/>
      <c r="J1876" s="14" t="s">
        <v>23</v>
      </c>
      <c r="K1876" s="22"/>
      <c r="L1876" s="22"/>
      <c r="M1876" s="22" t="s">
        <v>654</v>
      </c>
      <c r="N1876" s="14" t="s">
        <v>25</v>
      </c>
      <c r="O1876" s="22"/>
      <c r="P1876" s="14"/>
      <c r="Q1876" s="14"/>
      <c r="R1876" s="14" t="s">
        <v>1820</v>
      </c>
    </row>
    <row r="1877" spans="1:1027" ht="15" customHeight="1">
      <c r="A1877" s="12">
        <v>1368</v>
      </c>
      <c r="B1877" s="13" t="s">
        <v>2894</v>
      </c>
      <c r="C1877" s="14"/>
      <c r="D1877" s="14" t="s">
        <v>2892</v>
      </c>
      <c r="E1877" s="22" t="s">
        <v>2430</v>
      </c>
      <c r="F1877" s="15" t="s">
        <v>22</v>
      </c>
      <c r="G1877" s="21"/>
      <c r="H1877" s="58">
        <v>1</v>
      </c>
      <c r="I1877" s="14"/>
      <c r="J1877" s="14" t="s">
        <v>23</v>
      </c>
      <c r="K1877" s="14"/>
      <c r="L1877" s="14"/>
      <c r="M1877" s="14" t="s">
        <v>1534</v>
      </c>
      <c r="N1877" s="14" t="s">
        <v>25</v>
      </c>
      <c r="O1877" s="14"/>
      <c r="P1877" s="14"/>
      <c r="Q1877" s="14"/>
      <c r="R1877" s="14" t="s">
        <v>2333</v>
      </c>
    </row>
    <row r="1878" spans="1:1027" ht="15" customHeight="1">
      <c r="A1878" s="12">
        <v>2220</v>
      </c>
      <c r="B1878" s="13" t="s">
        <v>2895</v>
      </c>
      <c r="C1878" s="31"/>
      <c r="D1878" s="16">
        <v>624</v>
      </c>
      <c r="E1878" s="22" t="s">
        <v>2430</v>
      </c>
      <c r="F1878" s="15" t="s">
        <v>22</v>
      </c>
      <c r="G1878" s="18"/>
      <c r="H1878" s="58"/>
      <c r="I1878" s="16"/>
      <c r="J1878" s="14" t="s">
        <v>23</v>
      </c>
      <c r="K1878" s="18"/>
      <c r="L1878" s="18"/>
      <c r="M1878" s="18"/>
      <c r="N1878" s="18"/>
      <c r="O1878" s="18"/>
      <c r="P1878" s="18"/>
      <c r="Q1878" s="18"/>
      <c r="R1878" s="18"/>
    </row>
    <row r="1879" spans="1:1027" ht="15" customHeight="1">
      <c r="A1879" s="12">
        <v>656</v>
      </c>
      <c r="B1879" s="13" t="s">
        <v>2896</v>
      </c>
      <c r="C1879" s="22"/>
      <c r="D1879" s="22" t="s">
        <v>2897</v>
      </c>
      <c r="E1879" s="22" t="s">
        <v>2430</v>
      </c>
      <c r="F1879" s="15" t="s">
        <v>22</v>
      </c>
      <c r="G1879" s="26"/>
      <c r="H1879" s="58"/>
      <c r="I1879" s="22"/>
      <c r="J1879" s="14" t="s">
        <v>23</v>
      </c>
      <c r="K1879" s="22"/>
      <c r="L1879" s="22"/>
      <c r="M1879" s="22" t="s">
        <v>654</v>
      </c>
      <c r="N1879" s="14" t="s">
        <v>25</v>
      </c>
      <c r="O1879" s="22"/>
      <c r="P1879" s="14"/>
      <c r="Q1879" s="14"/>
      <c r="R1879" s="14" t="s">
        <v>1820</v>
      </c>
    </row>
    <row r="1880" spans="1:1027" ht="15" customHeight="1">
      <c r="A1880" s="12">
        <v>1369</v>
      </c>
      <c r="B1880" s="13" t="s">
        <v>2898</v>
      </c>
      <c r="C1880" s="38"/>
      <c r="D1880" s="14" t="s">
        <v>2897</v>
      </c>
      <c r="E1880" s="22" t="s">
        <v>2430</v>
      </c>
      <c r="F1880" s="15" t="s">
        <v>22</v>
      </c>
      <c r="G1880" s="21"/>
      <c r="H1880" s="58"/>
      <c r="I1880" s="14"/>
      <c r="J1880" s="14" t="s">
        <v>23</v>
      </c>
      <c r="K1880" s="14"/>
      <c r="L1880" s="14"/>
      <c r="M1880" s="14" t="s">
        <v>1534</v>
      </c>
      <c r="N1880" s="14" t="s">
        <v>25</v>
      </c>
      <c r="O1880" s="14"/>
      <c r="P1880" s="14"/>
      <c r="Q1880" s="14"/>
      <c r="R1880" s="14" t="s">
        <v>2333</v>
      </c>
    </row>
    <row r="1881" spans="1:1027" ht="15" customHeight="1">
      <c r="A1881" s="12">
        <v>2221</v>
      </c>
      <c r="B1881" s="13" t="s">
        <v>2899</v>
      </c>
      <c r="C1881" s="31"/>
      <c r="D1881" s="16">
        <v>625</v>
      </c>
      <c r="E1881" s="22" t="s">
        <v>2430</v>
      </c>
      <c r="F1881" s="15" t="s">
        <v>22</v>
      </c>
      <c r="G1881" s="18"/>
      <c r="H1881" s="58"/>
      <c r="I1881" s="16"/>
      <c r="J1881" s="14" t="s">
        <v>23</v>
      </c>
      <c r="K1881" s="18"/>
      <c r="L1881" s="18"/>
      <c r="M1881" s="18"/>
      <c r="N1881" s="18"/>
      <c r="O1881" s="18"/>
      <c r="P1881" s="18"/>
      <c r="Q1881" s="18"/>
      <c r="R1881" s="18"/>
    </row>
    <row r="1882" spans="1:1027" ht="15" customHeight="1">
      <c r="A1882" s="12">
        <v>657</v>
      </c>
      <c r="B1882" s="13" t="s">
        <v>2900</v>
      </c>
      <c r="C1882" s="22"/>
      <c r="D1882" s="22" t="s">
        <v>2901</v>
      </c>
      <c r="E1882" s="22" t="s">
        <v>2430</v>
      </c>
      <c r="F1882" s="15" t="s">
        <v>22</v>
      </c>
      <c r="G1882" s="26"/>
      <c r="H1882" s="58"/>
      <c r="I1882" s="22"/>
      <c r="J1882" s="14" t="s">
        <v>23</v>
      </c>
      <c r="K1882" s="22"/>
      <c r="L1882" s="22"/>
      <c r="M1882" s="22" t="s">
        <v>654</v>
      </c>
      <c r="N1882" s="14" t="s">
        <v>25</v>
      </c>
      <c r="O1882" s="22"/>
      <c r="P1882" s="14"/>
      <c r="Q1882" s="14"/>
      <c r="R1882" s="14" t="s">
        <v>1820</v>
      </c>
    </row>
    <row r="1883" spans="1:1027" ht="15" customHeight="1">
      <c r="A1883" s="12">
        <v>1458</v>
      </c>
      <c r="B1883" s="13" t="s">
        <v>2902</v>
      </c>
      <c r="C1883" s="14"/>
      <c r="D1883" s="14" t="s">
        <v>2901</v>
      </c>
      <c r="E1883" s="22" t="s">
        <v>2430</v>
      </c>
      <c r="F1883" s="15" t="s">
        <v>22</v>
      </c>
      <c r="G1883" s="21"/>
      <c r="H1883" s="58"/>
      <c r="I1883" s="14"/>
      <c r="J1883" s="14" t="s">
        <v>23</v>
      </c>
      <c r="K1883" s="14"/>
      <c r="L1883" s="14"/>
      <c r="M1883" s="14" t="s">
        <v>2651</v>
      </c>
      <c r="N1883" s="14" t="s">
        <v>25</v>
      </c>
      <c r="O1883" s="14"/>
      <c r="P1883" s="14"/>
      <c r="Q1883" s="14"/>
      <c r="R1883" s="14" t="s">
        <v>1824</v>
      </c>
    </row>
    <row r="1884" spans="1:1027" ht="15" customHeight="1">
      <c r="A1884" s="12">
        <v>2222</v>
      </c>
      <c r="B1884" s="13" t="s">
        <v>2903</v>
      </c>
      <c r="C1884" s="31"/>
      <c r="D1884" s="16">
        <v>626</v>
      </c>
      <c r="E1884" s="22" t="s">
        <v>2430</v>
      </c>
      <c r="F1884" s="15" t="s">
        <v>22</v>
      </c>
      <c r="G1884" s="18"/>
      <c r="H1884" s="58"/>
      <c r="I1884" s="16"/>
      <c r="J1884" s="14" t="s">
        <v>23</v>
      </c>
      <c r="K1884" s="18"/>
      <c r="L1884" s="18"/>
      <c r="M1884" s="18"/>
      <c r="N1884" s="18"/>
      <c r="O1884" s="18"/>
      <c r="P1884" s="18"/>
      <c r="Q1884" s="18"/>
      <c r="R1884" s="18"/>
    </row>
    <row r="1885" spans="1:1027" ht="15" customHeight="1">
      <c r="A1885" s="12">
        <v>658</v>
      </c>
      <c r="B1885" s="13" t="s">
        <v>2904</v>
      </c>
      <c r="C1885" s="22"/>
      <c r="D1885" s="22" t="s">
        <v>2905</v>
      </c>
      <c r="E1885" s="22" t="s">
        <v>2430</v>
      </c>
      <c r="F1885" s="15" t="s">
        <v>22</v>
      </c>
      <c r="G1885" s="26"/>
      <c r="H1885" s="58"/>
      <c r="I1885" s="22"/>
      <c r="J1885" s="14" t="s">
        <v>23</v>
      </c>
      <c r="K1885" s="22"/>
      <c r="L1885" s="22"/>
      <c r="M1885" s="22" t="s">
        <v>654</v>
      </c>
      <c r="N1885" s="25" t="s">
        <v>37</v>
      </c>
      <c r="O1885" s="22" t="s">
        <v>80</v>
      </c>
      <c r="P1885" s="14"/>
      <c r="Q1885" s="14"/>
      <c r="R1885" s="14" t="s">
        <v>1820</v>
      </c>
    </row>
    <row r="1886" spans="1:1027" ht="15" customHeight="1">
      <c r="A1886" s="12">
        <v>1459</v>
      </c>
      <c r="B1886" s="13" t="s">
        <v>2906</v>
      </c>
      <c r="C1886" s="14"/>
      <c r="D1886" s="14" t="s">
        <v>2905</v>
      </c>
      <c r="E1886" s="22" t="s">
        <v>2430</v>
      </c>
      <c r="F1886" s="15" t="s">
        <v>22</v>
      </c>
      <c r="G1886" s="21"/>
      <c r="H1886" s="58">
        <v>2</v>
      </c>
      <c r="I1886" s="14"/>
      <c r="J1886" s="14" t="s">
        <v>23</v>
      </c>
      <c r="K1886" s="14"/>
      <c r="L1886" s="14"/>
      <c r="M1886" s="14" t="s">
        <v>2651</v>
      </c>
      <c r="N1886" s="25" t="s">
        <v>37</v>
      </c>
      <c r="O1886" s="14" t="s">
        <v>2907</v>
      </c>
      <c r="P1886" s="14"/>
      <c r="Q1886" s="14"/>
      <c r="R1886" s="14" t="s">
        <v>1824</v>
      </c>
    </row>
    <row r="1887" spans="1:1027" ht="15" customHeight="1">
      <c r="A1887" s="12">
        <v>2223</v>
      </c>
      <c r="B1887" s="13" t="s">
        <v>2908</v>
      </c>
      <c r="C1887" s="31"/>
      <c r="D1887" s="16">
        <v>627</v>
      </c>
      <c r="E1887" s="22" t="s">
        <v>2430</v>
      </c>
      <c r="F1887" s="15" t="s">
        <v>22</v>
      </c>
      <c r="G1887" s="18"/>
      <c r="H1887" s="58">
        <v>3</v>
      </c>
      <c r="I1887" s="16"/>
      <c r="J1887" s="14" t="s">
        <v>23</v>
      </c>
      <c r="K1887" s="18"/>
      <c r="L1887" s="18"/>
      <c r="M1887" s="18"/>
      <c r="N1887" s="18"/>
      <c r="O1887" s="18"/>
      <c r="P1887" s="18"/>
      <c r="Q1887" s="18"/>
      <c r="R1887" s="18"/>
    </row>
    <row r="1888" spans="1:1027" ht="15" customHeight="1">
      <c r="A1888" s="12">
        <v>659</v>
      </c>
      <c r="B1888" s="13" t="s">
        <v>2909</v>
      </c>
      <c r="C1888" s="22"/>
      <c r="D1888" s="22" t="s">
        <v>2910</v>
      </c>
      <c r="E1888" s="22" t="s">
        <v>2430</v>
      </c>
      <c r="F1888" s="15" t="s">
        <v>22</v>
      </c>
      <c r="G1888" s="26"/>
      <c r="H1888" s="58"/>
      <c r="I1888" s="22"/>
      <c r="J1888" s="14" t="s">
        <v>23</v>
      </c>
      <c r="K1888" s="22"/>
      <c r="L1888" s="22"/>
      <c r="M1888" s="22" t="s">
        <v>654</v>
      </c>
      <c r="N1888" s="25" t="s">
        <v>289</v>
      </c>
      <c r="O1888" s="22" t="s">
        <v>189</v>
      </c>
      <c r="P1888" s="14"/>
      <c r="Q1888" s="14"/>
      <c r="R1888" s="14" t="s">
        <v>1820</v>
      </c>
    </row>
    <row r="1889" spans="1:18" ht="15" customHeight="1">
      <c r="A1889" s="12">
        <v>1460</v>
      </c>
      <c r="B1889" s="13" t="s">
        <v>2911</v>
      </c>
      <c r="C1889" s="14"/>
      <c r="D1889" s="14" t="s">
        <v>2910</v>
      </c>
      <c r="E1889" s="22" t="s">
        <v>2430</v>
      </c>
      <c r="F1889" s="15" t="s">
        <v>22</v>
      </c>
      <c r="G1889" s="21"/>
      <c r="H1889" s="58">
        <v>1</v>
      </c>
      <c r="I1889" s="14"/>
      <c r="J1889" s="14" t="s">
        <v>23</v>
      </c>
      <c r="K1889" s="14"/>
      <c r="L1889" s="14"/>
      <c r="M1889" s="14" t="s">
        <v>2651</v>
      </c>
      <c r="N1889" s="14" t="s">
        <v>25</v>
      </c>
      <c r="O1889" s="14"/>
      <c r="P1889" s="14"/>
      <c r="Q1889" s="14"/>
      <c r="R1889" s="14" t="s">
        <v>1824</v>
      </c>
    </row>
    <row r="1890" spans="1:18" ht="15" customHeight="1">
      <c r="A1890" s="12">
        <v>2224</v>
      </c>
      <c r="B1890" s="13" t="s">
        <v>2912</v>
      </c>
      <c r="C1890" s="31"/>
      <c r="D1890" s="16">
        <v>628</v>
      </c>
      <c r="E1890" s="22" t="s">
        <v>2430</v>
      </c>
      <c r="F1890" s="15" t="s">
        <v>22</v>
      </c>
      <c r="G1890" s="18"/>
      <c r="H1890" s="58">
        <v>2</v>
      </c>
      <c r="I1890" s="16"/>
      <c r="J1890" s="14" t="s">
        <v>23</v>
      </c>
      <c r="K1890" s="18"/>
      <c r="L1890" s="18"/>
      <c r="M1890" s="18"/>
      <c r="N1890" s="18"/>
      <c r="O1890" s="18"/>
      <c r="P1890" s="18"/>
      <c r="Q1890" s="18"/>
      <c r="R1890" s="18"/>
    </row>
    <row r="1891" spans="1:18" ht="15" customHeight="1">
      <c r="A1891" s="12">
        <v>660</v>
      </c>
      <c r="B1891" s="13" t="s">
        <v>2913</v>
      </c>
      <c r="C1891" s="22"/>
      <c r="D1891" s="22" t="s">
        <v>2914</v>
      </c>
      <c r="E1891" s="22" t="s">
        <v>2430</v>
      </c>
      <c r="F1891" s="15" t="s">
        <v>22</v>
      </c>
      <c r="G1891" s="26"/>
      <c r="H1891" s="58"/>
      <c r="I1891" s="22"/>
      <c r="J1891" s="14" t="s">
        <v>23</v>
      </c>
      <c r="K1891" s="22"/>
      <c r="L1891" s="22"/>
      <c r="M1891" s="22" t="s">
        <v>654</v>
      </c>
      <c r="N1891" s="14" t="s">
        <v>25</v>
      </c>
      <c r="O1891" s="22"/>
      <c r="P1891" s="14"/>
      <c r="Q1891" s="14"/>
      <c r="R1891" s="14" t="s">
        <v>1820</v>
      </c>
    </row>
    <row r="1892" spans="1:18" ht="15" customHeight="1">
      <c r="A1892" s="12">
        <v>1461</v>
      </c>
      <c r="B1892" s="13" t="s">
        <v>2915</v>
      </c>
      <c r="C1892" s="14"/>
      <c r="D1892" s="14" t="s">
        <v>2914</v>
      </c>
      <c r="E1892" s="22" t="s">
        <v>2430</v>
      </c>
      <c r="F1892" s="15" t="s">
        <v>22</v>
      </c>
      <c r="G1892" s="21"/>
      <c r="H1892" s="58"/>
      <c r="I1892" s="14"/>
      <c r="J1892" s="14" t="s">
        <v>23</v>
      </c>
      <c r="K1892" s="14"/>
      <c r="L1892" s="14"/>
      <c r="M1892" s="14" t="s">
        <v>2651</v>
      </c>
      <c r="N1892" s="14" t="s">
        <v>25</v>
      </c>
      <c r="O1892" s="14"/>
      <c r="P1892" s="14"/>
      <c r="Q1892" s="14"/>
      <c r="R1892" s="14" t="s">
        <v>1824</v>
      </c>
    </row>
    <row r="1893" spans="1:18" ht="15" customHeight="1">
      <c r="A1893" s="12">
        <v>2225</v>
      </c>
      <c r="B1893" s="13" t="s">
        <v>2916</v>
      </c>
      <c r="C1893" s="31"/>
      <c r="D1893" s="16">
        <v>629</v>
      </c>
      <c r="E1893" s="22" t="s">
        <v>2430</v>
      </c>
      <c r="F1893" s="15" t="s">
        <v>22</v>
      </c>
      <c r="G1893" s="18"/>
      <c r="H1893" s="58"/>
      <c r="I1893" s="16"/>
      <c r="J1893" s="14" t="s">
        <v>23</v>
      </c>
      <c r="K1893" s="18"/>
      <c r="L1893" s="18"/>
      <c r="M1893" s="18"/>
      <c r="N1893" s="18"/>
      <c r="O1893" s="18"/>
      <c r="P1893" s="18"/>
      <c r="Q1893" s="18"/>
      <c r="R1893" s="18"/>
    </row>
    <row r="1894" spans="1:18" ht="15" customHeight="1">
      <c r="A1894" s="12">
        <v>661</v>
      </c>
      <c r="B1894" s="13" t="s">
        <v>2917</v>
      </c>
      <c r="C1894" s="22"/>
      <c r="D1894" s="22" t="s">
        <v>2918</v>
      </c>
      <c r="E1894" s="22" t="s">
        <v>2430</v>
      </c>
      <c r="F1894" s="15" t="s">
        <v>22</v>
      </c>
      <c r="G1894" s="26"/>
      <c r="H1894" s="58"/>
      <c r="I1894" s="22"/>
      <c r="J1894" s="14" t="s">
        <v>23</v>
      </c>
      <c r="K1894" s="22"/>
      <c r="L1894" s="22"/>
      <c r="M1894" s="22" t="s">
        <v>654</v>
      </c>
      <c r="N1894" s="14" t="s">
        <v>25</v>
      </c>
      <c r="O1894" s="22"/>
      <c r="P1894" s="14"/>
      <c r="Q1894" s="14"/>
      <c r="R1894" s="14" t="s">
        <v>1820</v>
      </c>
    </row>
    <row r="1895" spans="1:18" ht="15" customHeight="1">
      <c r="A1895" s="12">
        <v>1462</v>
      </c>
      <c r="B1895" s="13" t="s">
        <v>2919</v>
      </c>
      <c r="C1895" s="14"/>
      <c r="D1895" s="14" t="s">
        <v>2918</v>
      </c>
      <c r="E1895" s="22" t="s">
        <v>2430</v>
      </c>
      <c r="F1895" s="15" t="s">
        <v>22</v>
      </c>
      <c r="G1895" s="21"/>
      <c r="H1895" s="58"/>
      <c r="I1895" s="14"/>
      <c r="J1895" s="14" t="s">
        <v>23</v>
      </c>
      <c r="K1895" s="14"/>
      <c r="L1895" s="14"/>
      <c r="M1895" s="14" t="s">
        <v>2651</v>
      </c>
      <c r="N1895" s="14" t="s">
        <v>25</v>
      </c>
      <c r="O1895" s="14"/>
      <c r="P1895" s="14"/>
      <c r="Q1895" s="14"/>
      <c r="R1895" s="14" t="s">
        <v>1824</v>
      </c>
    </row>
    <row r="1896" spans="1:18" ht="15" customHeight="1">
      <c r="A1896" s="12">
        <v>2226</v>
      </c>
      <c r="B1896" s="13" t="s">
        <v>2920</v>
      </c>
      <c r="C1896" s="31"/>
      <c r="D1896" s="16">
        <v>630</v>
      </c>
      <c r="E1896" s="22" t="s">
        <v>2430</v>
      </c>
      <c r="F1896" s="15" t="s">
        <v>22</v>
      </c>
      <c r="G1896" s="18"/>
      <c r="H1896" s="58"/>
      <c r="I1896" s="16"/>
      <c r="J1896" s="14" t="s">
        <v>23</v>
      </c>
      <c r="K1896" s="18"/>
      <c r="L1896" s="18"/>
      <c r="M1896" s="18"/>
      <c r="N1896" s="18"/>
      <c r="O1896" s="18"/>
      <c r="P1896" s="18"/>
      <c r="Q1896" s="18"/>
      <c r="R1896" s="18"/>
    </row>
    <row r="1897" spans="1:18" ht="15" customHeight="1">
      <c r="A1897" s="12">
        <v>662</v>
      </c>
      <c r="B1897" s="13" t="s">
        <v>2921</v>
      </c>
      <c r="C1897" s="22"/>
      <c r="D1897" s="22" t="s">
        <v>2922</v>
      </c>
      <c r="E1897" s="22" t="s">
        <v>2430</v>
      </c>
      <c r="F1897" s="15" t="s">
        <v>22</v>
      </c>
      <c r="G1897" s="26"/>
      <c r="H1897" s="58"/>
      <c r="I1897" s="22"/>
      <c r="J1897" s="14" t="s">
        <v>23</v>
      </c>
      <c r="K1897" s="22"/>
      <c r="L1897" s="22"/>
      <c r="M1897" s="22" t="s">
        <v>654</v>
      </c>
      <c r="N1897" s="25" t="s">
        <v>289</v>
      </c>
      <c r="O1897" s="22" t="s">
        <v>189</v>
      </c>
      <c r="P1897" s="14"/>
      <c r="Q1897" s="14"/>
      <c r="R1897" s="14" t="s">
        <v>1820</v>
      </c>
    </row>
    <row r="1898" spans="1:18" ht="15" customHeight="1">
      <c r="A1898" s="12">
        <v>1463</v>
      </c>
      <c r="B1898" s="13" t="s">
        <v>2923</v>
      </c>
      <c r="C1898" s="14"/>
      <c r="D1898" s="14" t="s">
        <v>2922</v>
      </c>
      <c r="E1898" s="22" t="s">
        <v>2430</v>
      </c>
      <c r="F1898" s="15" t="s">
        <v>22</v>
      </c>
      <c r="G1898" s="21"/>
      <c r="H1898" s="58"/>
      <c r="I1898" s="14"/>
      <c r="J1898" s="14" t="s">
        <v>23</v>
      </c>
      <c r="K1898" s="14"/>
      <c r="L1898" s="14"/>
      <c r="M1898" s="14" t="s">
        <v>2651</v>
      </c>
      <c r="N1898" s="14" t="s">
        <v>25</v>
      </c>
      <c r="O1898" s="14"/>
      <c r="P1898" s="14"/>
      <c r="Q1898" s="14"/>
      <c r="R1898" s="14" t="s">
        <v>1824</v>
      </c>
    </row>
    <row r="1899" spans="1:18" ht="15" customHeight="1">
      <c r="A1899" s="12">
        <v>2227</v>
      </c>
      <c r="B1899" s="13" t="s">
        <v>2924</v>
      </c>
      <c r="C1899" s="31"/>
      <c r="D1899" s="16">
        <v>631</v>
      </c>
      <c r="E1899" s="22" t="s">
        <v>2430</v>
      </c>
      <c r="F1899" s="15" t="s">
        <v>22</v>
      </c>
      <c r="G1899" s="18"/>
      <c r="H1899" s="58"/>
      <c r="I1899" s="16"/>
      <c r="J1899" s="14" t="s">
        <v>23</v>
      </c>
      <c r="K1899" s="18"/>
      <c r="L1899" s="18"/>
      <c r="M1899" s="18"/>
      <c r="N1899" s="18"/>
      <c r="O1899" s="18"/>
      <c r="P1899" s="18"/>
      <c r="Q1899" s="18"/>
      <c r="R1899" s="18"/>
    </row>
    <row r="1900" spans="1:18" ht="15" customHeight="1">
      <c r="A1900" s="12">
        <v>663</v>
      </c>
      <c r="B1900" s="13" t="s">
        <v>2925</v>
      </c>
      <c r="C1900" s="22"/>
      <c r="D1900" s="22" t="s">
        <v>2926</v>
      </c>
      <c r="E1900" s="22" t="s">
        <v>2430</v>
      </c>
      <c r="F1900" s="15" t="s">
        <v>22</v>
      </c>
      <c r="G1900" s="26"/>
      <c r="H1900" s="58"/>
      <c r="I1900" s="22"/>
      <c r="J1900" s="14" t="s">
        <v>23</v>
      </c>
      <c r="K1900" s="22"/>
      <c r="L1900" s="22"/>
      <c r="M1900" s="22" t="s">
        <v>654</v>
      </c>
      <c r="N1900" s="14" t="s">
        <v>25</v>
      </c>
      <c r="O1900" s="22"/>
      <c r="P1900" s="14"/>
      <c r="Q1900" s="14"/>
      <c r="R1900" s="14" t="s">
        <v>1820</v>
      </c>
    </row>
    <row r="1901" spans="1:18" ht="15" customHeight="1">
      <c r="A1901" s="12">
        <v>1464</v>
      </c>
      <c r="B1901" s="13" t="s">
        <v>2927</v>
      </c>
      <c r="C1901" s="14"/>
      <c r="D1901" s="14" t="s">
        <v>2926</v>
      </c>
      <c r="E1901" s="22" t="s">
        <v>2430</v>
      </c>
      <c r="F1901" s="15" t="s">
        <v>22</v>
      </c>
      <c r="G1901" s="21"/>
      <c r="H1901" s="58"/>
      <c r="I1901" s="14"/>
      <c r="J1901" s="14" t="s">
        <v>23</v>
      </c>
      <c r="K1901" s="14"/>
      <c r="L1901" s="14"/>
      <c r="M1901" s="14" t="s">
        <v>2651</v>
      </c>
      <c r="N1901" s="14" t="s">
        <v>25</v>
      </c>
      <c r="O1901" s="14"/>
      <c r="P1901" s="14"/>
      <c r="Q1901" s="14"/>
      <c r="R1901" s="14" t="s">
        <v>1824</v>
      </c>
    </row>
    <row r="1902" spans="1:18" ht="15" customHeight="1">
      <c r="A1902" s="12">
        <v>2228</v>
      </c>
      <c r="B1902" s="13" t="s">
        <v>2928</v>
      </c>
      <c r="C1902" s="31"/>
      <c r="D1902" s="16">
        <v>632</v>
      </c>
      <c r="E1902" s="22" t="s">
        <v>2430</v>
      </c>
      <c r="F1902" s="15" t="s">
        <v>22</v>
      </c>
      <c r="G1902" s="18"/>
      <c r="H1902" s="58"/>
      <c r="I1902" s="16"/>
      <c r="J1902" s="14" t="s">
        <v>23</v>
      </c>
      <c r="K1902" s="18"/>
      <c r="L1902" s="18"/>
      <c r="M1902" s="18"/>
      <c r="N1902" s="18"/>
      <c r="O1902" s="18"/>
      <c r="P1902" s="18"/>
      <c r="Q1902" s="18"/>
      <c r="R1902" s="18"/>
    </row>
    <row r="1903" spans="1:18" ht="15" customHeight="1">
      <c r="A1903" s="12">
        <v>664</v>
      </c>
      <c r="B1903" s="13" t="s">
        <v>2929</v>
      </c>
      <c r="C1903" s="22"/>
      <c r="D1903" s="22" t="s">
        <v>2930</v>
      </c>
      <c r="E1903" s="22" t="s">
        <v>2430</v>
      </c>
      <c r="F1903" s="15" t="s">
        <v>22</v>
      </c>
      <c r="G1903" s="26"/>
      <c r="H1903" s="58"/>
      <c r="I1903" s="22"/>
      <c r="J1903" s="14" t="s">
        <v>23</v>
      </c>
      <c r="K1903" s="22"/>
      <c r="L1903" s="22"/>
      <c r="M1903" s="22" t="s">
        <v>654</v>
      </c>
      <c r="N1903" s="14" t="s">
        <v>25</v>
      </c>
      <c r="O1903" s="22"/>
      <c r="P1903" s="14"/>
      <c r="Q1903" s="14"/>
      <c r="R1903" s="14" t="s">
        <v>1820</v>
      </c>
    </row>
    <row r="1904" spans="1:18" ht="15" customHeight="1">
      <c r="A1904" s="12">
        <v>1465</v>
      </c>
      <c r="B1904" s="13" t="s">
        <v>2931</v>
      </c>
      <c r="C1904" s="14"/>
      <c r="D1904" s="14" t="s">
        <v>2930</v>
      </c>
      <c r="E1904" s="22" t="s">
        <v>2430</v>
      </c>
      <c r="F1904" s="15" t="s">
        <v>22</v>
      </c>
      <c r="G1904" s="21"/>
      <c r="H1904" s="58"/>
      <c r="I1904" s="14"/>
      <c r="J1904" s="14" t="s">
        <v>23</v>
      </c>
      <c r="K1904" s="14"/>
      <c r="L1904" s="14"/>
      <c r="M1904" s="14" t="s">
        <v>2651</v>
      </c>
      <c r="N1904" s="14" t="s">
        <v>25</v>
      </c>
      <c r="O1904" s="14"/>
      <c r="P1904" s="14"/>
      <c r="Q1904" s="14"/>
      <c r="R1904" s="14" t="s">
        <v>1824</v>
      </c>
    </row>
    <row r="1905" spans="1:1027" ht="15" customHeight="1">
      <c r="A1905" s="12">
        <v>2229</v>
      </c>
      <c r="B1905" s="13" t="s">
        <v>2932</v>
      </c>
      <c r="C1905" s="31"/>
      <c r="D1905" s="16">
        <v>633</v>
      </c>
      <c r="E1905" s="22" t="s">
        <v>2430</v>
      </c>
      <c r="F1905" s="15" t="s">
        <v>22</v>
      </c>
      <c r="G1905" s="18"/>
      <c r="H1905" s="58"/>
      <c r="I1905" s="16"/>
      <c r="J1905" s="14" t="s">
        <v>23</v>
      </c>
      <c r="K1905" s="18"/>
      <c r="L1905" s="18"/>
      <c r="M1905" s="18"/>
      <c r="N1905" s="18"/>
      <c r="O1905" s="18"/>
      <c r="P1905" s="18"/>
      <c r="Q1905" s="18"/>
      <c r="R1905" s="18"/>
    </row>
    <row r="1906" spans="1:1027" ht="15" customHeight="1">
      <c r="A1906" s="12">
        <v>665</v>
      </c>
      <c r="B1906" s="13" t="s">
        <v>2933</v>
      </c>
      <c r="C1906" s="22"/>
      <c r="D1906" s="22" t="s">
        <v>2934</v>
      </c>
      <c r="E1906" s="22" t="s">
        <v>2430</v>
      </c>
      <c r="F1906" s="15" t="s">
        <v>22</v>
      </c>
      <c r="G1906" s="26"/>
      <c r="H1906" s="58"/>
      <c r="I1906" s="22"/>
      <c r="J1906" s="14" t="s">
        <v>23</v>
      </c>
      <c r="K1906" s="22"/>
      <c r="L1906" s="22"/>
      <c r="M1906" s="22" t="s">
        <v>654</v>
      </c>
      <c r="N1906" s="14" t="s">
        <v>25</v>
      </c>
      <c r="O1906" s="22"/>
      <c r="P1906" s="14"/>
      <c r="Q1906" s="14"/>
      <c r="R1906" s="14" t="s">
        <v>1820</v>
      </c>
    </row>
    <row r="1907" spans="1:1027" ht="15" customHeight="1">
      <c r="A1907" s="12">
        <v>1466</v>
      </c>
      <c r="B1907" s="13" t="s">
        <v>2935</v>
      </c>
      <c r="C1907" s="14"/>
      <c r="D1907" s="14" t="s">
        <v>2934</v>
      </c>
      <c r="E1907" s="22" t="s">
        <v>2430</v>
      </c>
      <c r="F1907" s="15" t="s">
        <v>22</v>
      </c>
      <c r="G1907" s="21"/>
      <c r="H1907" s="58"/>
      <c r="I1907" s="14"/>
      <c r="J1907" s="14" t="s">
        <v>23</v>
      </c>
      <c r="K1907" s="14"/>
      <c r="L1907" s="14"/>
      <c r="M1907" s="14" t="s">
        <v>2651</v>
      </c>
      <c r="N1907" s="14" t="s">
        <v>25</v>
      </c>
      <c r="O1907" s="14"/>
      <c r="P1907" s="14"/>
      <c r="Q1907" s="14"/>
      <c r="R1907" s="14" t="s">
        <v>1824</v>
      </c>
    </row>
    <row r="1908" spans="1:1027" ht="15" customHeight="1">
      <c r="A1908" s="12">
        <v>2230</v>
      </c>
      <c r="B1908" s="13" t="s">
        <v>2936</v>
      </c>
      <c r="C1908" s="31"/>
      <c r="D1908" s="16">
        <v>634</v>
      </c>
      <c r="E1908" s="22" t="s">
        <v>2430</v>
      </c>
      <c r="F1908" s="15" t="s">
        <v>22</v>
      </c>
      <c r="G1908" s="18"/>
      <c r="H1908" s="58"/>
      <c r="I1908" s="16"/>
      <c r="J1908" s="14" t="s">
        <v>23</v>
      </c>
      <c r="K1908" s="18"/>
      <c r="L1908" s="18"/>
      <c r="M1908" s="18"/>
      <c r="N1908" s="18"/>
      <c r="O1908" s="18"/>
      <c r="P1908" s="18"/>
      <c r="Q1908" s="18"/>
      <c r="R1908" s="18"/>
    </row>
    <row r="1909" spans="1:1027" ht="15" customHeight="1">
      <c r="A1909" s="12">
        <v>11</v>
      </c>
      <c r="B1909" s="13" t="s">
        <v>2937</v>
      </c>
      <c r="C1909" s="14"/>
      <c r="D1909" s="14" t="s">
        <v>2938</v>
      </c>
      <c r="E1909" s="22" t="s">
        <v>2430</v>
      </c>
      <c r="F1909" s="15" t="s">
        <v>22</v>
      </c>
      <c r="G1909" s="14"/>
      <c r="H1909" s="58"/>
      <c r="I1909" s="14"/>
      <c r="J1909" s="14" t="s">
        <v>23</v>
      </c>
      <c r="K1909" s="15"/>
      <c r="L1909" s="15"/>
      <c r="M1909" s="14" t="s">
        <v>24</v>
      </c>
      <c r="N1909" s="14" t="s">
        <v>25</v>
      </c>
      <c r="O1909" s="14"/>
      <c r="P1909" s="14"/>
      <c r="Q1909" s="14"/>
      <c r="R1909" s="17">
        <v>43599</v>
      </c>
      <c r="S1909" s="12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  <c r="HY1909" s="3"/>
      <c r="HZ1909" s="3"/>
      <c r="IA1909" s="3"/>
      <c r="IB1909" s="3"/>
      <c r="IC1909" s="3"/>
      <c r="ID1909" s="3"/>
      <c r="IE1909" s="3"/>
      <c r="IF1909" s="3"/>
      <c r="IG1909" s="3"/>
      <c r="IH1909" s="3"/>
      <c r="II1909" s="3"/>
      <c r="IJ1909" s="3"/>
      <c r="IK1909" s="3"/>
      <c r="IL1909" s="3"/>
      <c r="IM1909" s="3"/>
      <c r="IN1909" s="3"/>
      <c r="IO1909" s="3"/>
      <c r="IP1909" s="3"/>
      <c r="IQ1909" s="3"/>
      <c r="IR1909" s="3"/>
      <c r="IS1909" s="3"/>
      <c r="IT1909" s="3"/>
      <c r="IU1909" s="3"/>
      <c r="IV1909" s="3"/>
      <c r="IW1909" s="3"/>
      <c r="IX1909" s="3"/>
      <c r="IY1909" s="3"/>
      <c r="IZ1909" s="3"/>
      <c r="JA1909" s="3"/>
      <c r="JB1909" s="3"/>
      <c r="JC1909" s="3"/>
      <c r="JD1909" s="3"/>
      <c r="JE1909" s="3"/>
      <c r="JF1909" s="3"/>
      <c r="JG1909" s="3"/>
      <c r="JH1909" s="3"/>
      <c r="JI1909" s="3"/>
      <c r="JJ1909" s="3"/>
      <c r="JK1909" s="3"/>
      <c r="JL1909" s="3"/>
      <c r="JM1909" s="3"/>
      <c r="JN1909" s="3"/>
      <c r="JO1909" s="3"/>
      <c r="JP1909" s="3"/>
      <c r="JQ1909" s="3"/>
      <c r="JR1909" s="3"/>
      <c r="JS1909" s="3"/>
      <c r="JT1909" s="3"/>
      <c r="JU1909" s="3"/>
      <c r="JV1909" s="3"/>
      <c r="JW1909" s="3"/>
      <c r="JX1909" s="3"/>
      <c r="JY1909" s="3"/>
      <c r="JZ1909" s="3"/>
      <c r="KA1909" s="3"/>
      <c r="KB1909" s="3"/>
      <c r="KC1909" s="3"/>
      <c r="KD1909" s="3"/>
      <c r="KE1909" s="3"/>
      <c r="KF1909" s="3"/>
      <c r="KG1909" s="3"/>
      <c r="KH1909" s="3"/>
      <c r="KI1909" s="3"/>
      <c r="KJ1909" s="3"/>
      <c r="KK1909" s="3"/>
      <c r="KL1909" s="3"/>
      <c r="KM1909" s="3"/>
      <c r="KN1909" s="3"/>
      <c r="KO1909" s="3"/>
      <c r="KP1909" s="3"/>
      <c r="KQ1909" s="3"/>
      <c r="KR1909" s="3"/>
      <c r="KS1909" s="3"/>
      <c r="KT1909" s="3"/>
      <c r="KU1909" s="3"/>
      <c r="KV1909" s="3"/>
      <c r="KW1909" s="3"/>
      <c r="KX1909" s="3"/>
      <c r="KY1909" s="3"/>
      <c r="KZ1909" s="3"/>
      <c r="LA1909" s="3"/>
      <c r="LB1909" s="3"/>
      <c r="LC1909" s="3"/>
      <c r="LD1909" s="3"/>
      <c r="LE1909" s="3"/>
      <c r="LF1909" s="3"/>
      <c r="LG1909" s="3"/>
      <c r="LH1909" s="3"/>
      <c r="LI1909" s="3"/>
      <c r="LJ1909" s="3"/>
      <c r="LK1909" s="3"/>
      <c r="LL1909" s="3"/>
      <c r="LM1909" s="3"/>
      <c r="LN1909" s="3"/>
      <c r="LO1909" s="3"/>
      <c r="LP1909" s="3"/>
      <c r="LQ1909" s="3"/>
      <c r="LR1909" s="3"/>
      <c r="LS1909" s="3"/>
      <c r="LT1909" s="3"/>
      <c r="LU1909" s="3"/>
      <c r="LV1909" s="3"/>
      <c r="LW1909" s="3"/>
      <c r="LX1909" s="3"/>
      <c r="LY1909" s="3"/>
      <c r="LZ1909" s="3"/>
      <c r="MA1909" s="3"/>
      <c r="MB1909" s="3"/>
      <c r="MC1909" s="3"/>
      <c r="MD1909" s="3"/>
      <c r="ME1909" s="3"/>
      <c r="MF1909" s="3"/>
      <c r="MG1909" s="3"/>
      <c r="MH1909" s="3"/>
      <c r="MI1909" s="3"/>
      <c r="MJ1909" s="3"/>
      <c r="MK1909" s="3"/>
      <c r="ML1909" s="3"/>
      <c r="MM1909" s="3"/>
      <c r="MN1909" s="3"/>
      <c r="MO1909" s="3"/>
      <c r="MP1909" s="3"/>
      <c r="MQ1909" s="3"/>
      <c r="MR1909" s="3"/>
      <c r="MS1909" s="3"/>
      <c r="MT1909" s="3"/>
      <c r="MU1909" s="3"/>
      <c r="MV1909" s="3"/>
      <c r="MW1909" s="3"/>
      <c r="MX1909" s="3"/>
      <c r="MY1909" s="3"/>
      <c r="MZ1909" s="3"/>
      <c r="NA1909" s="3"/>
      <c r="NB1909" s="3"/>
      <c r="NC1909" s="3"/>
      <c r="ND1909" s="3"/>
      <c r="NE1909" s="3"/>
      <c r="NF1909" s="3"/>
      <c r="NG1909" s="3"/>
      <c r="NH1909" s="3"/>
      <c r="NI1909" s="3"/>
      <c r="NJ1909" s="3"/>
      <c r="NK1909" s="3"/>
      <c r="NL1909" s="3"/>
      <c r="NM1909" s="3"/>
      <c r="NN1909" s="3"/>
      <c r="NO1909" s="3"/>
      <c r="NP1909" s="3"/>
      <c r="NQ1909" s="3"/>
      <c r="NR1909" s="3"/>
      <c r="NS1909" s="3"/>
      <c r="NT1909" s="3"/>
      <c r="NU1909" s="3"/>
      <c r="NV1909" s="3"/>
      <c r="NW1909" s="3"/>
      <c r="NX1909" s="3"/>
      <c r="NY1909" s="3"/>
      <c r="NZ1909" s="3"/>
      <c r="OA1909" s="3"/>
      <c r="OB1909" s="3"/>
      <c r="OC1909" s="3"/>
      <c r="OD1909" s="3"/>
      <c r="OE1909" s="3"/>
      <c r="OF1909" s="3"/>
      <c r="OG1909" s="3"/>
      <c r="OH1909" s="3"/>
      <c r="OI1909" s="3"/>
      <c r="OJ1909" s="3"/>
      <c r="OK1909" s="3"/>
      <c r="OL1909" s="3"/>
      <c r="OM1909" s="3"/>
      <c r="ON1909" s="3"/>
      <c r="OO1909" s="3"/>
      <c r="OP1909" s="3"/>
      <c r="OQ1909" s="3"/>
      <c r="OR1909" s="3"/>
      <c r="OS1909" s="3"/>
      <c r="OT1909" s="3"/>
      <c r="OU1909" s="3"/>
      <c r="OV1909" s="3"/>
      <c r="OW1909" s="3"/>
      <c r="OX1909" s="3"/>
      <c r="OY1909" s="3"/>
      <c r="OZ1909" s="3"/>
      <c r="PA1909" s="3"/>
      <c r="PB1909" s="3"/>
      <c r="PC1909" s="3"/>
      <c r="PD1909" s="3"/>
      <c r="PE1909" s="3"/>
      <c r="PF1909" s="3"/>
      <c r="PG1909" s="3"/>
      <c r="PH1909" s="3"/>
      <c r="PI1909" s="3"/>
      <c r="PJ1909" s="3"/>
      <c r="PK1909" s="3"/>
      <c r="PL1909" s="3"/>
      <c r="PM1909" s="3"/>
      <c r="PN1909" s="3"/>
      <c r="PO1909" s="3"/>
      <c r="PP1909" s="3"/>
      <c r="PQ1909" s="3"/>
      <c r="PR1909" s="3"/>
      <c r="PS1909" s="3"/>
      <c r="PT1909" s="3"/>
      <c r="PU1909" s="3"/>
      <c r="PV1909" s="3"/>
      <c r="PW1909" s="3"/>
      <c r="PX1909" s="3"/>
      <c r="PY1909" s="3"/>
      <c r="PZ1909" s="3"/>
      <c r="QA1909" s="3"/>
      <c r="QB1909" s="3"/>
      <c r="QC1909" s="3"/>
      <c r="QD1909" s="3"/>
      <c r="QE1909" s="3"/>
      <c r="QF1909" s="3"/>
      <c r="QG1909" s="3"/>
      <c r="QH1909" s="3"/>
      <c r="QI1909" s="3"/>
      <c r="QJ1909" s="3"/>
      <c r="QK1909" s="3"/>
      <c r="QL1909" s="3"/>
      <c r="QM1909" s="3"/>
      <c r="QN1909" s="3"/>
      <c r="QO1909" s="3"/>
      <c r="QP1909" s="3"/>
      <c r="QQ1909" s="3"/>
      <c r="QR1909" s="3"/>
      <c r="QS1909" s="3"/>
      <c r="QT1909" s="3"/>
      <c r="QU1909" s="3"/>
      <c r="QV1909" s="3"/>
      <c r="QW1909" s="3"/>
      <c r="QX1909" s="3"/>
      <c r="QY1909" s="3"/>
      <c r="QZ1909" s="3"/>
      <c r="RA1909" s="3"/>
      <c r="RB1909" s="3"/>
      <c r="RC1909" s="3"/>
      <c r="RD1909" s="3"/>
      <c r="RE1909" s="3"/>
      <c r="RF1909" s="3"/>
      <c r="RG1909" s="3"/>
      <c r="RH1909" s="3"/>
      <c r="RI1909" s="3"/>
      <c r="RJ1909" s="3"/>
      <c r="RK1909" s="3"/>
      <c r="RL1909" s="3"/>
      <c r="RM1909" s="3"/>
      <c r="RN1909" s="3"/>
      <c r="RO1909" s="3"/>
      <c r="RP1909" s="3"/>
      <c r="RQ1909" s="3"/>
      <c r="RR1909" s="3"/>
      <c r="RS1909" s="3"/>
      <c r="RT1909" s="3"/>
      <c r="RU1909" s="3"/>
      <c r="RV1909" s="3"/>
      <c r="RW1909" s="3"/>
      <c r="RX1909" s="3"/>
      <c r="RY1909" s="3"/>
      <c r="RZ1909" s="3"/>
      <c r="SA1909" s="3"/>
      <c r="SB1909" s="3"/>
      <c r="SC1909" s="3"/>
      <c r="SD1909" s="3"/>
      <c r="SE1909" s="3"/>
      <c r="SF1909" s="3"/>
      <c r="SG1909" s="3"/>
      <c r="SH1909" s="3"/>
      <c r="SI1909" s="3"/>
      <c r="SJ1909" s="3"/>
      <c r="SK1909" s="3"/>
      <c r="SL1909" s="3"/>
      <c r="SM1909" s="3"/>
      <c r="SN1909" s="3"/>
      <c r="SO1909" s="3"/>
      <c r="SP1909" s="3"/>
      <c r="SQ1909" s="3"/>
      <c r="SR1909" s="3"/>
      <c r="SS1909" s="3"/>
      <c r="ST1909" s="3"/>
      <c r="SU1909" s="3"/>
      <c r="SV1909" s="3"/>
      <c r="SW1909" s="3"/>
      <c r="SX1909" s="3"/>
      <c r="SY1909" s="3"/>
      <c r="SZ1909" s="3"/>
      <c r="TA1909" s="3"/>
      <c r="TB1909" s="3"/>
      <c r="TC1909" s="3"/>
      <c r="TD1909" s="3"/>
      <c r="TE1909" s="3"/>
      <c r="TF1909" s="3"/>
      <c r="TG1909" s="3"/>
      <c r="TH1909" s="3"/>
      <c r="TI1909" s="3"/>
      <c r="TJ1909" s="3"/>
      <c r="TK1909" s="3"/>
      <c r="TL1909" s="3"/>
      <c r="TM1909" s="3"/>
      <c r="TN1909" s="3"/>
      <c r="TO1909" s="3"/>
      <c r="TP1909" s="3"/>
      <c r="TQ1909" s="3"/>
      <c r="TR1909" s="3"/>
      <c r="TS1909" s="3"/>
      <c r="TT1909" s="3"/>
      <c r="TU1909" s="3"/>
      <c r="TV1909" s="3"/>
      <c r="TW1909" s="3"/>
      <c r="TX1909" s="3"/>
      <c r="TY1909" s="3"/>
      <c r="TZ1909" s="3"/>
      <c r="UA1909" s="3"/>
      <c r="UB1909" s="3"/>
      <c r="UC1909" s="3"/>
      <c r="UD1909" s="3"/>
      <c r="UE1909" s="3"/>
      <c r="UF1909" s="3"/>
      <c r="UG1909" s="3"/>
      <c r="UH1909" s="3"/>
      <c r="UI1909" s="3"/>
      <c r="UJ1909" s="3"/>
      <c r="UK1909" s="3"/>
      <c r="UL1909" s="3"/>
      <c r="UM1909" s="3"/>
      <c r="UN1909" s="3"/>
      <c r="UO1909" s="3"/>
      <c r="UP1909" s="3"/>
      <c r="UQ1909" s="3"/>
      <c r="UR1909" s="3"/>
      <c r="US1909" s="3"/>
      <c r="UT1909" s="3"/>
      <c r="UU1909" s="3"/>
      <c r="UV1909" s="3"/>
      <c r="UW1909" s="3"/>
      <c r="UX1909" s="3"/>
      <c r="UY1909" s="3"/>
      <c r="UZ1909" s="3"/>
      <c r="VA1909" s="3"/>
      <c r="VB1909" s="3"/>
      <c r="VC1909" s="3"/>
      <c r="VD1909" s="3"/>
      <c r="VE1909" s="3"/>
      <c r="VF1909" s="3"/>
      <c r="VG1909" s="3"/>
      <c r="VH1909" s="3"/>
      <c r="VI1909" s="3"/>
      <c r="VJ1909" s="3"/>
      <c r="VK1909" s="3"/>
      <c r="VL1909" s="3"/>
      <c r="VM1909" s="3"/>
      <c r="VN1909" s="3"/>
      <c r="VO1909" s="3"/>
      <c r="VP1909" s="3"/>
      <c r="VQ1909" s="3"/>
      <c r="VR1909" s="3"/>
      <c r="VS1909" s="3"/>
      <c r="VT1909" s="3"/>
      <c r="VU1909" s="3"/>
      <c r="VV1909" s="3"/>
      <c r="VW1909" s="3"/>
      <c r="VX1909" s="3"/>
      <c r="VY1909" s="3"/>
      <c r="VZ1909" s="3"/>
      <c r="WA1909" s="3"/>
      <c r="WB1909" s="3"/>
      <c r="WC1909" s="3"/>
      <c r="WD1909" s="3"/>
      <c r="WE1909" s="3"/>
      <c r="WF1909" s="3"/>
      <c r="WG1909" s="3"/>
      <c r="WH1909" s="3"/>
      <c r="WI1909" s="3"/>
      <c r="WJ1909" s="3"/>
      <c r="WK1909" s="3"/>
      <c r="WL1909" s="3"/>
      <c r="WM1909" s="3"/>
      <c r="WN1909" s="3"/>
      <c r="WO1909" s="3"/>
      <c r="WP1909" s="3"/>
      <c r="WQ1909" s="3"/>
      <c r="WR1909" s="3"/>
      <c r="WS1909" s="3"/>
      <c r="WT1909" s="3"/>
      <c r="WU1909" s="3"/>
      <c r="WV1909" s="3"/>
      <c r="WW1909" s="3"/>
      <c r="WX1909" s="3"/>
      <c r="WY1909" s="3"/>
      <c r="WZ1909" s="3"/>
      <c r="XA1909" s="3"/>
      <c r="XB1909" s="3"/>
      <c r="XC1909" s="3"/>
      <c r="XD1909" s="3"/>
      <c r="XE1909" s="3"/>
      <c r="XF1909" s="3"/>
      <c r="XG1909" s="3"/>
      <c r="XH1909" s="3"/>
      <c r="XI1909" s="3"/>
      <c r="XJ1909" s="3"/>
      <c r="XK1909" s="3"/>
      <c r="XL1909" s="3"/>
      <c r="XM1909" s="3"/>
      <c r="XN1909" s="3"/>
      <c r="XO1909" s="3"/>
      <c r="XP1909" s="3"/>
      <c r="XQ1909" s="3"/>
      <c r="XR1909" s="3"/>
      <c r="XS1909" s="3"/>
      <c r="XT1909" s="3"/>
      <c r="XU1909" s="3"/>
      <c r="XV1909" s="3"/>
      <c r="XW1909" s="3"/>
      <c r="XX1909" s="3"/>
      <c r="XY1909" s="3"/>
      <c r="XZ1909" s="3"/>
      <c r="YA1909" s="3"/>
      <c r="YB1909" s="3"/>
      <c r="YC1909" s="3"/>
      <c r="YD1909" s="3"/>
      <c r="YE1909" s="3"/>
      <c r="YF1909" s="3"/>
      <c r="YG1909" s="3"/>
      <c r="YH1909" s="3"/>
      <c r="YI1909" s="3"/>
      <c r="YJ1909" s="3"/>
      <c r="YK1909" s="3"/>
      <c r="YL1909" s="3"/>
      <c r="YM1909" s="3"/>
      <c r="YN1909" s="3"/>
      <c r="YO1909" s="3"/>
      <c r="YP1909" s="3"/>
      <c r="YQ1909" s="3"/>
      <c r="YR1909" s="3"/>
      <c r="YS1909" s="3"/>
      <c r="YT1909" s="3"/>
      <c r="YU1909" s="3"/>
      <c r="YV1909" s="3"/>
      <c r="YW1909" s="3"/>
      <c r="YX1909" s="3"/>
      <c r="YY1909" s="3"/>
      <c r="YZ1909" s="3"/>
      <c r="ZA1909" s="3"/>
      <c r="ZB1909" s="3"/>
      <c r="ZC1909" s="3"/>
      <c r="ZD1909" s="3"/>
      <c r="ZE1909" s="3"/>
      <c r="ZF1909" s="3"/>
      <c r="ZG1909" s="3"/>
      <c r="ZH1909" s="3"/>
      <c r="ZI1909" s="3"/>
      <c r="ZJ1909" s="3"/>
      <c r="ZK1909" s="3"/>
      <c r="ZL1909" s="3"/>
      <c r="ZM1909" s="3"/>
      <c r="ZN1909" s="3"/>
      <c r="ZO1909" s="3"/>
      <c r="ZP1909" s="3"/>
      <c r="ZQ1909" s="3"/>
      <c r="ZR1909" s="3"/>
      <c r="ZS1909" s="3"/>
      <c r="ZT1909" s="3"/>
      <c r="ZU1909" s="3"/>
      <c r="ZV1909" s="3"/>
      <c r="ZW1909" s="3"/>
      <c r="ZX1909" s="3"/>
      <c r="ZY1909" s="3"/>
      <c r="ZZ1909" s="3"/>
      <c r="AAA1909" s="3"/>
      <c r="AAB1909" s="3"/>
      <c r="AAC1909" s="3"/>
      <c r="AAD1909" s="3"/>
      <c r="AAE1909" s="3"/>
      <c r="AAF1909" s="3"/>
      <c r="AAG1909" s="3"/>
      <c r="AAH1909" s="3"/>
      <c r="AAI1909" s="3"/>
      <c r="AAJ1909" s="3"/>
      <c r="AAK1909" s="3"/>
      <c r="AAL1909" s="3"/>
      <c r="AAM1909" s="3"/>
      <c r="AAN1909" s="3"/>
      <c r="AAO1909" s="3"/>
      <c r="AAP1909" s="3"/>
      <c r="AAQ1909" s="3"/>
      <c r="AAR1909" s="3"/>
      <c r="AAS1909" s="3"/>
      <c r="AAT1909" s="3"/>
      <c r="AAU1909" s="3"/>
      <c r="AAV1909" s="3"/>
      <c r="AAW1909" s="3"/>
      <c r="AAX1909" s="3"/>
      <c r="AAY1909" s="3"/>
      <c r="AAZ1909" s="3"/>
      <c r="ABA1909" s="3"/>
      <c r="ABB1909" s="3"/>
      <c r="ABC1909" s="3"/>
      <c r="ABD1909" s="3"/>
      <c r="ABE1909" s="3"/>
      <c r="ABF1909" s="3"/>
      <c r="ABG1909" s="3"/>
      <c r="ABH1909" s="3"/>
      <c r="ABI1909" s="3"/>
      <c r="ABJ1909" s="3"/>
      <c r="ABK1909" s="3"/>
      <c r="ABL1909" s="3"/>
      <c r="ABM1909" s="3"/>
      <c r="ABN1909" s="3"/>
      <c r="ABO1909" s="3"/>
      <c r="ABP1909" s="3"/>
      <c r="ABQ1909" s="3"/>
      <c r="ABR1909" s="3"/>
      <c r="ABS1909" s="3"/>
      <c r="ABT1909" s="3"/>
      <c r="ABU1909" s="3"/>
      <c r="ABV1909" s="3"/>
      <c r="ABW1909" s="3"/>
      <c r="ABX1909" s="3"/>
      <c r="ABY1909" s="3"/>
      <c r="ABZ1909" s="3"/>
      <c r="ACA1909" s="3"/>
      <c r="ACB1909" s="3"/>
      <c r="ACC1909" s="3"/>
      <c r="ACD1909" s="3"/>
      <c r="ACE1909" s="3"/>
      <c r="ACF1909" s="3"/>
      <c r="ACG1909" s="3"/>
      <c r="ACH1909" s="3"/>
      <c r="ACI1909" s="3"/>
      <c r="ACJ1909" s="3"/>
      <c r="ACK1909" s="3"/>
      <c r="ACL1909" s="3"/>
      <c r="ACM1909" s="3"/>
      <c r="ACN1909" s="3"/>
      <c r="ACO1909" s="3"/>
      <c r="ACP1909" s="3"/>
      <c r="ACQ1909" s="3"/>
      <c r="ACR1909" s="3"/>
      <c r="ACS1909" s="3"/>
      <c r="ACT1909" s="3"/>
      <c r="ACU1909" s="3"/>
      <c r="ACV1909" s="3"/>
      <c r="ACW1909" s="3"/>
      <c r="ACX1909" s="3"/>
      <c r="ACY1909" s="3"/>
      <c r="ACZ1909" s="3"/>
      <c r="ADA1909" s="3"/>
      <c r="ADB1909" s="3"/>
      <c r="ADC1909" s="3"/>
      <c r="ADD1909" s="3"/>
      <c r="ADE1909" s="3"/>
      <c r="ADF1909" s="3"/>
      <c r="ADG1909" s="3"/>
      <c r="ADH1909" s="3"/>
      <c r="ADI1909" s="3"/>
      <c r="ADJ1909" s="3"/>
      <c r="ADK1909" s="3"/>
      <c r="ADL1909" s="3"/>
      <c r="ADM1909" s="3"/>
      <c r="ADN1909" s="3"/>
      <c r="ADO1909" s="3"/>
      <c r="ADP1909" s="3"/>
      <c r="ADQ1909" s="3"/>
      <c r="ADR1909" s="3"/>
      <c r="ADS1909" s="3"/>
      <c r="ADT1909" s="3"/>
      <c r="ADU1909" s="3"/>
      <c r="ADV1909" s="3"/>
      <c r="ADW1909" s="3"/>
      <c r="ADX1909" s="3"/>
      <c r="ADY1909" s="3"/>
      <c r="ADZ1909" s="3"/>
      <c r="AEA1909" s="3"/>
      <c r="AEB1909" s="3"/>
      <c r="AEC1909" s="3"/>
      <c r="AED1909" s="3"/>
      <c r="AEE1909" s="3"/>
      <c r="AEF1909" s="3"/>
      <c r="AEG1909" s="3"/>
      <c r="AEH1909" s="3"/>
      <c r="AEI1909" s="3"/>
      <c r="AEJ1909" s="3"/>
      <c r="AEK1909" s="3"/>
      <c r="AEL1909" s="3"/>
      <c r="AEM1909" s="3"/>
      <c r="AEN1909" s="3"/>
      <c r="AEO1909" s="3"/>
      <c r="AEP1909" s="3"/>
      <c r="AEQ1909" s="3"/>
      <c r="AER1909" s="3"/>
      <c r="AES1909" s="3"/>
      <c r="AET1909" s="3"/>
      <c r="AEU1909" s="3"/>
      <c r="AEV1909" s="3"/>
      <c r="AEW1909" s="3"/>
      <c r="AEX1909" s="3"/>
      <c r="AEY1909" s="3"/>
      <c r="AEZ1909" s="3"/>
      <c r="AFA1909" s="3"/>
      <c r="AFB1909" s="3"/>
      <c r="AFC1909" s="3"/>
      <c r="AFD1909" s="3"/>
      <c r="AFE1909" s="3"/>
      <c r="AFF1909" s="3"/>
      <c r="AFG1909" s="3"/>
      <c r="AFH1909" s="3"/>
      <c r="AFI1909" s="3"/>
      <c r="AFJ1909" s="3"/>
      <c r="AFK1909" s="3"/>
      <c r="AFL1909" s="3"/>
      <c r="AFM1909" s="3"/>
      <c r="AFN1909" s="3"/>
      <c r="AFO1909" s="3"/>
      <c r="AFP1909" s="3"/>
      <c r="AFQ1909" s="3"/>
      <c r="AFR1909" s="3"/>
      <c r="AFS1909" s="3"/>
      <c r="AFT1909" s="3"/>
      <c r="AFU1909" s="3"/>
      <c r="AFV1909" s="3"/>
      <c r="AFW1909" s="3"/>
      <c r="AFX1909" s="3"/>
      <c r="AFY1909" s="3"/>
      <c r="AFZ1909" s="3"/>
      <c r="AGA1909" s="3"/>
      <c r="AGB1909" s="3"/>
      <c r="AGC1909" s="3"/>
      <c r="AGD1909" s="3"/>
      <c r="AGE1909" s="3"/>
      <c r="AGF1909" s="3"/>
      <c r="AGG1909" s="3"/>
      <c r="AGH1909" s="3"/>
      <c r="AGI1909" s="3"/>
      <c r="AGJ1909" s="3"/>
      <c r="AGK1909" s="3"/>
      <c r="AGL1909" s="3"/>
      <c r="AGM1909" s="3"/>
      <c r="AGN1909" s="3"/>
      <c r="AGO1909" s="3"/>
      <c r="AGP1909" s="3"/>
      <c r="AGQ1909" s="3"/>
      <c r="AGR1909" s="3"/>
      <c r="AGS1909" s="3"/>
      <c r="AGT1909" s="3"/>
      <c r="AGU1909" s="3"/>
      <c r="AGV1909" s="3"/>
      <c r="AGW1909" s="3"/>
      <c r="AGX1909" s="3"/>
      <c r="AGY1909" s="3"/>
      <c r="AGZ1909" s="3"/>
      <c r="AHA1909" s="3"/>
      <c r="AHB1909" s="3"/>
      <c r="AHC1909" s="3"/>
      <c r="AHD1909" s="3"/>
      <c r="AHE1909" s="3"/>
      <c r="AHF1909" s="3"/>
      <c r="AHG1909" s="3"/>
      <c r="AHH1909" s="3"/>
      <c r="AHI1909" s="3"/>
      <c r="AHJ1909" s="3"/>
      <c r="AHK1909" s="3"/>
      <c r="AHL1909" s="3"/>
      <c r="AHM1909" s="3"/>
      <c r="AHN1909" s="3"/>
      <c r="AHO1909" s="3"/>
      <c r="AHP1909" s="3"/>
      <c r="AHQ1909" s="3"/>
      <c r="AHR1909" s="3"/>
      <c r="AHS1909" s="3"/>
      <c r="AHT1909" s="3"/>
      <c r="AHU1909" s="3"/>
      <c r="AHV1909" s="3"/>
      <c r="AHW1909" s="3"/>
      <c r="AHX1909" s="3"/>
      <c r="AHY1909" s="3"/>
      <c r="AHZ1909" s="3"/>
      <c r="AIA1909" s="3"/>
      <c r="AIB1909" s="3"/>
      <c r="AIC1909" s="3"/>
      <c r="AID1909" s="3"/>
      <c r="AIE1909" s="3"/>
      <c r="AIF1909" s="3"/>
      <c r="AIG1909" s="3"/>
      <c r="AIH1909" s="3"/>
      <c r="AII1909" s="3"/>
      <c r="AIJ1909" s="3"/>
      <c r="AIK1909" s="3"/>
      <c r="AIL1909" s="3"/>
      <c r="AIM1909" s="3"/>
      <c r="AIN1909" s="3"/>
      <c r="AIO1909" s="3"/>
      <c r="AIP1909" s="3"/>
      <c r="AIQ1909" s="3"/>
      <c r="AIR1909" s="3"/>
      <c r="AIS1909" s="3"/>
      <c r="AIT1909" s="3"/>
      <c r="AIU1909" s="3"/>
      <c r="AIV1909" s="3"/>
      <c r="AIW1909" s="3"/>
      <c r="AIX1909" s="3"/>
      <c r="AIY1909" s="3"/>
      <c r="AIZ1909" s="3"/>
      <c r="AJA1909" s="3"/>
      <c r="AJB1909" s="3"/>
      <c r="AJC1909" s="3"/>
      <c r="AJD1909" s="3"/>
      <c r="AJE1909" s="3"/>
      <c r="AJF1909" s="3"/>
      <c r="AJG1909" s="3"/>
      <c r="AJH1909" s="3"/>
      <c r="AJI1909" s="3"/>
      <c r="AJJ1909" s="3"/>
      <c r="AJK1909" s="3"/>
      <c r="AJL1909" s="3"/>
      <c r="AJM1909" s="3"/>
      <c r="AJN1909" s="3"/>
      <c r="AJO1909" s="3"/>
      <c r="AJP1909" s="3"/>
      <c r="AJQ1909" s="3"/>
      <c r="AJR1909" s="3"/>
      <c r="AJS1909" s="3"/>
      <c r="AJT1909" s="3"/>
      <c r="AJU1909" s="3"/>
      <c r="AJV1909" s="3"/>
      <c r="AJW1909" s="3"/>
      <c r="AJX1909" s="3"/>
      <c r="AJY1909" s="3"/>
      <c r="AJZ1909" s="3"/>
      <c r="AKA1909" s="3"/>
      <c r="AKB1909" s="3"/>
      <c r="AKC1909" s="3"/>
      <c r="AKD1909" s="3"/>
      <c r="AKE1909" s="3"/>
      <c r="AKF1909" s="3"/>
      <c r="AKG1909" s="3"/>
      <c r="AKH1909" s="3"/>
      <c r="AKI1909" s="3"/>
      <c r="AKJ1909" s="3"/>
      <c r="AKK1909" s="3"/>
      <c r="AKL1909" s="3"/>
      <c r="AKM1909" s="3"/>
      <c r="AKN1909" s="3"/>
      <c r="AKO1909" s="3"/>
      <c r="AKP1909" s="3"/>
      <c r="AKQ1909" s="3"/>
      <c r="AKR1909" s="3"/>
      <c r="AKS1909" s="3"/>
      <c r="AKT1909" s="3"/>
      <c r="AKU1909" s="3"/>
      <c r="AKV1909" s="3"/>
      <c r="AKW1909" s="3"/>
      <c r="AKX1909" s="3"/>
      <c r="AKY1909" s="3"/>
      <c r="AKZ1909" s="3"/>
      <c r="ALA1909" s="3"/>
      <c r="ALB1909" s="3"/>
      <c r="ALC1909" s="3"/>
      <c r="ALD1909" s="3"/>
      <c r="ALE1909" s="3"/>
      <c r="ALF1909" s="3"/>
      <c r="ALG1909" s="3"/>
      <c r="ALH1909" s="3"/>
      <c r="ALI1909" s="3"/>
      <c r="ALJ1909" s="3"/>
      <c r="ALK1909" s="3"/>
      <c r="ALL1909" s="3"/>
      <c r="ALM1909" s="3"/>
      <c r="ALN1909" s="3"/>
      <c r="ALO1909" s="3"/>
      <c r="ALP1909" s="3"/>
      <c r="ALQ1909" s="3"/>
      <c r="ALR1909" s="3"/>
      <c r="ALS1909" s="3"/>
      <c r="ALT1909" s="3"/>
      <c r="ALU1909" s="3"/>
      <c r="ALV1909" s="3"/>
      <c r="ALW1909" s="3"/>
      <c r="ALX1909" s="3"/>
      <c r="ALY1909" s="3"/>
      <c r="ALZ1909" s="3"/>
      <c r="AMA1909" s="3"/>
      <c r="AMB1909" s="3"/>
      <c r="AMC1909" s="3"/>
      <c r="AMD1909" s="3"/>
      <c r="AME1909" s="3"/>
      <c r="AMF1909" s="3"/>
      <c r="AMG1909" s="3"/>
      <c r="AMH1909" s="3"/>
      <c r="AMI1909" s="3"/>
      <c r="AMJ1909" s="3"/>
      <c r="AMK1909" s="3"/>
      <c r="AML1909" s="3"/>
      <c r="AMM1909" s="3"/>
    </row>
    <row r="1910" spans="1:1027" ht="15" customHeight="1">
      <c r="A1910" s="12">
        <v>742</v>
      </c>
      <c r="B1910" s="13" t="s">
        <v>2939</v>
      </c>
      <c r="C1910" s="14"/>
      <c r="D1910" s="14" t="s">
        <v>2938</v>
      </c>
      <c r="E1910" s="22" t="s">
        <v>2430</v>
      </c>
      <c r="F1910" s="15" t="s">
        <v>22</v>
      </c>
      <c r="G1910" s="21"/>
      <c r="H1910" s="58"/>
      <c r="I1910" s="14"/>
      <c r="J1910" s="14" t="s">
        <v>23</v>
      </c>
      <c r="K1910" s="14"/>
      <c r="L1910" s="14"/>
      <c r="M1910" s="14" t="s">
        <v>1819</v>
      </c>
      <c r="N1910" s="25" t="s">
        <v>289</v>
      </c>
      <c r="O1910" s="14" t="s">
        <v>189</v>
      </c>
      <c r="P1910" s="14"/>
      <c r="Q1910" s="14"/>
      <c r="R1910" s="14" t="s">
        <v>1820</v>
      </c>
    </row>
    <row r="1911" spans="1:1027" ht="15" customHeight="1">
      <c r="A1911" s="12">
        <v>743</v>
      </c>
      <c r="B1911" s="13" t="s">
        <v>2940</v>
      </c>
      <c r="C1911" s="14"/>
      <c r="D1911" s="14" t="s">
        <v>2941</v>
      </c>
      <c r="E1911" s="22" t="s">
        <v>2430</v>
      </c>
      <c r="F1911" s="15" t="s">
        <v>22</v>
      </c>
      <c r="G1911" s="21"/>
      <c r="H1911" s="58"/>
      <c r="I1911" s="14"/>
      <c r="J1911" s="14" t="s">
        <v>23</v>
      </c>
      <c r="K1911" s="14"/>
      <c r="L1911" s="14"/>
      <c r="M1911" s="14" t="s">
        <v>1819</v>
      </c>
      <c r="N1911" s="25" t="s">
        <v>37</v>
      </c>
      <c r="O1911" s="14" t="s">
        <v>45</v>
      </c>
      <c r="P1911" s="14"/>
      <c r="Q1911" s="14"/>
      <c r="R1911" s="14" t="s">
        <v>1820</v>
      </c>
    </row>
    <row r="1912" spans="1:1027" ht="15" customHeight="1">
      <c r="A1912" s="12">
        <v>1467</v>
      </c>
      <c r="B1912" s="13" t="s">
        <v>2942</v>
      </c>
      <c r="C1912" s="14"/>
      <c r="D1912" s="14" t="s">
        <v>2941</v>
      </c>
      <c r="E1912" s="22" t="s">
        <v>2430</v>
      </c>
      <c r="F1912" s="15" t="s">
        <v>22</v>
      </c>
      <c r="G1912" s="21"/>
      <c r="H1912" s="58">
        <v>3</v>
      </c>
      <c r="I1912" s="14"/>
      <c r="J1912" s="14" t="s">
        <v>23</v>
      </c>
      <c r="K1912" s="14"/>
      <c r="L1912" s="14"/>
      <c r="M1912" s="14" t="s">
        <v>2651</v>
      </c>
      <c r="N1912" s="25" t="s">
        <v>37</v>
      </c>
      <c r="O1912" s="14" t="s">
        <v>2943</v>
      </c>
      <c r="P1912" s="14"/>
      <c r="Q1912" s="14"/>
      <c r="R1912" s="14" t="s">
        <v>1824</v>
      </c>
    </row>
    <row r="1913" spans="1:1027" ht="15" customHeight="1">
      <c r="A1913" s="12">
        <v>2231</v>
      </c>
      <c r="B1913" s="13" t="s">
        <v>2944</v>
      </c>
      <c r="C1913" s="31"/>
      <c r="D1913" s="16">
        <v>636</v>
      </c>
      <c r="E1913" s="22" t="s">
        <v>2430</v>
      </c>
      <c r="F1913" s="15" t="s">
        <v>22</v>
      </c>
      <c r="G1913" s="18"/>
      <c r="H1913" s="58">
        <v>4</v>
      </c>
      <c r="I1913" s="16"/>
      <c r="J1913" s="14" t="s">
        <v>23</v>
      </c>
      <c r="K1913" s="18"/>
      <c r="L1913" s="18"/>
      <c r="M1913" s="18"/>
      <c r="N1913" s="18"/>
      <c r="O1913" s="18"/>
      <c r="P1913" s="18"/>
      <c r="Q1913" s="18"/>
      <c r="R1913" s="18"/>
    </row>
    <row r="1914" spans="1:1027" ht="15" customHeight="1">
      <c r="A1914" s="12">
        <v>744</v>
      </c>
      <c r="B1914" s="13" t="s">
        <v>2945</v>
      </c>
      <c r="C1914" s="14"/>
      <c r="D1914" s="14" t="s">
        <v>2946</v>
      </c>
      <c r="E1914" s="22" t="s">
        <v>2430</v>
      </c>
      <c r="F1914" s="15" t="s">
        <v>22</v>
      </c>
      <c r="G1914" s="21"/>
      <c r="H1914" s="58"/>
      <c r="I1914" s="14"/>
      <c r="J1914" s="14" t="s">
        <v>23</v>
      </c>
      <c r="K1914" s="14"/>
      <c r="L1914" s="14"/>
      <c r="M1914" s="14" t="s">
        <v>1819</v>
      </c>
      <c r="N1914" s="25" t="s">
        <v>37</v>
      </c>
      <c r="O1914" s="14" t="s">
        <v>38</v>
      </c>
      <c r="P1914" s="14"/>
      <c r="Q1914" s="14"/>
      <c r="R1914" s="14" t="s">
        <v>1820</v>
      </c>
    </row>
    <row r="1915" spans="1:1027" ht="15" customHeight="1">
      <c r="A1915" s="12">
        <v>1468</v>
      </c>
      <c r="B1915" s="13" t="s">
        <v>2947</v>
      </c>
      <c r="C1915" s="14"/>
      <c r="D1915" s="14" t="s">
        <v>2946</v>
      </c>
      <c r="E1915" s="22" t="s">
        <v>2430</v>
      </c>
      <c r="F1915" s="15" t="s">
        <v>22</v>
      </c>
      <c r="G1915" s="21"/>
      <c r="H1915" s="58">
        <v>3</v>
      </c>
      <c r="I1915" s="14"/>
      <c r="J1915" s="14" t="s">
        <v>23</v>
      </c>
      <c r="K1915" s="14"/>
      <c r="L1915" s="14"/>
      <c r="M1915" s="14" t="s">
        <v>2651</v>
      </c>
      <c r="N1915" s="25" t="s">
        <v>37</v>
      </c>
      <c r="O1915" s="14" t="s">
        <v>80</v>
      </c>
      <c r="P1915" s="14"/>
      <c r="Q1915" s="14"/>
      <c r="R1915" s="14" t="s">
        <v>1824</v>
      </c>
    </row>
    <row r="1916" spans="1:1027" ht="15" customHeight="1">
      <c r="A1916" s="12">
        <v>2232</v>
      </c>
      <c r="B1916" s="13" t="s">
        <v>2948</v>
      </c>
      <c r="C1916" s="31"/>
      <c r="D1916" s="16">
        <v>637</v>
      </c>
      <c r="E1916" s="22" t="s">
        <v>2430</v>
      </c>
      <c r="F1916" s="15" t="s">
        <v>22</v>
      </c>
      <c r="G1916" s="18"/>
      <c r="H1916" s="58">
        <v>3</v>
      </c>
      <c r="I1916" s="16"/>
      <c r="J1916" s="14" t="s">
        <v>23</v>
      </c>
      <c r="K1916" s="18"/>
      <c r="L1916" s="18"/>
      <c r="M1916" s="18"/>
      <c r="N1916" s="18"/>
      <c r="O1916" s="18"/>
      <c r="P1916" s="18"/>
      <c r="Q1916" s="18"/>
      <c r="R1916" s="18"/>
    </row>
    <row r="1917" spans="1:1027" ht="15" customHeight="1">
      <c r="A1917" s="12">
        <v>745</v>
      </c>
      <c r="B1917" s="13" t="s">
        <v>2949</v>
      </c>
      <c r="C1917" s="14"/>
      <c r="D1917" s="14" t="s">
        <v>2950</v>
      </c>
      <c r="E1917" s="22" t="s">
        <v>2430</v>
      </c>
      <c r="F1917" s="15" t="s">
        <v>22</v>
      </c>
      <c r="G1917" s="21"/>
      <c r="H1917" s="58"/>
      <c r="I1917" s="14"/>
      <c r="J1917" s="14" t="s">
        <v>23</v>
      </c>
      <c r="K1917" s="14"/>
      <c r="L1917" s="14"/>
      <c r="M1917" s="14" t="s">
        <v>1819</v>
      </c>
      <c r="N1917" s="25" t="s">
        <v>37</v>
      </c>
      <c r="O1917" s="14" t="s">
        <v>179</v>
      </c>
      <c r="P1917" s="14"/>
      <c r="Q1917" s="14"/>
      <c r="R1917" s="14" t="s">
        <v>1820</v>
      </c>
    </row>
    <row r="1918" spans="1:1027" ht="15" customHeight="1">
      <c r="A1918" s="12">
        <v>1469</v>
      </c>
      <c r="B1918" s="13" t="s">
        <v>2951</v>
      </c>
      <c r="C1918" s="14"/>
      <c r="D1918" s="14" t="s">
        <v>2950</v>
      </c>
      <c r="E1918" s="22" t="s">
        <v>2430</v>
      </c>
      <c r="F1918" s="15" t="s">
        <v>22</v>
      </c>
      <c r="G1918" s="21"/>
      <c r="H1918" s="58">
        <v>2</v>
      </c>
      <c r="I1918" s="14"/>
      <c r="J1918" s="14" t="s">
        <v>23</v>
      </c>
      <c r="K1918" s="14"/>
      <c r="L1918" s="14"/>
      <c r="M1918" s="14" t="s">
        <v>2651</v>
      </c>
      <c r="N1918" s="14" t="s">
        <v>25</v>
      </c>
      <c r="O1918" s="14"/>
      <c r="P1918" s="14"/>
      <c r="Q1918" s="14"/>
      <c r="R1918" s="14" t="s">
        <v>1824</v>
      </c>
    </row>
    <row r="1919" spans="1:1027" ht="15" customHeight="1">
      <c r="A1919" s="12">
        <v>2233</v>
      </c>
      <c r="B1919" s="13" t="s">
        <v>2952</v>
      </c>
      <c r="C1919" s="31"/>
      <c r="D1919" s="16">
        <v>638</v>
      </c>
      <c r="E1919" s="22" t="s">
        <v>2430</v>
      </c>
      <c r="F1919" s="15" t="s">
        <v>22</v>
      </c>
      <c r="G1919" s="18"/>
      <c r="H1919" s="58">
        <v>3</v>
      </c>
      <c r="I1919" s="16"/>
      <c r="J1919" s="14" t="s">
        <v>23</v>
      </c>
      <c r="K1919" s="18"/>
      <c r="L1919" s="18"/>
      <c r="M1919" s="18"/>
      <c r="N1919" s="18"/>
      <c r="O1919" s="18"/>
      <c r="P1919" s="18"/>
      <c r="Q1919" s="18"/>
      <c r="R1919" s="18"/>
    </row>
    <row r="1920" spans="1:1027" ht="15" customHeight="1">
      <c r="A1920" s="12">
        <v>746</v>
      </c>
      <c r="B1920" s="13" t="s">
        <v>2953</v>
      </c>
      <c r="C1920" s="14"/>
      <c r="D1920" s="14" t="s">
        <v>2954</v>
      </c>
      <c r="E1920" s="22" t="s">
        <v>2430</v>
      </c>
      <c r="F1920" s="15" t="s">
        <v>22</v>
      </c>
      <c r="G1920" s="21"/>
      <c r="H1920" s="58"/>
      <c r="I1920" s="14"/>
      <c r="J1920" s="14" t="s">
        <v>23</v>
      </c>
      <c r="K1920" s="14"/>
      <c r="L1920" s="14"/>
      <c r="M1920" s="14" t="s">
        <v>1819</v>
      </c>
      <c r="N1920" s="25" t="s">
        <v>37</v>
      </c>
      <c r="O1920" s="14" t="s">
        <v>189</v>
      </c>
      <c r="P1920" s="14"/>
      <c r="Q1920" s="14"/>
      <c r="R1920" s="14" t="s">
        <v>1820</v>
      </c>
    </row>
    <row r="1921" spans="1:18" ht="15" customHeight="1">
      <c r="A1921" s="12">
        <v>1470</v>
      </c>
      <c r="B1921" s="13" t="s">
        <v>2955</v>
      </c>
      <c r="C1921" s="14"/>
      <c r="D1921" s="14" t="s">
        <v>2954</v>
      </c>
      <c r="E1921" s="22" t="s">
        <v>2430</v>
      </c>
      <c r="F1921" s="15" t="s">
        <v>22</v>
      </c>
      <c r="G1921" s="21"/>
      <c r="H1921" s="58">
        <v>3</v>
      </c>
      <c r="I1921" s="14"/>
      <c r="J1921" s="14" t="s">
        <v>23</v>
      </c>
      <c r="K1921" s="14"/>
      <c r="L1921" s="14"/>
      <c r="M1921" s="14" t="s">
        <v>2651</v>
      </c>
      <c r="N1921" s="25" t="s">
        <v>37</v>
      </c>
      <c r="O1921" s="14" t="s">
        <v>2943</v>
      </c>
      <c r="P1921" s="14"/>
      <c r="Q1921" s="14"/>
      <c r="R1921" s="14" t="s">
        <v>1824</v>
      </c>
    </row>
    <row r="1922" spans="1:18" ht="15" customHeight="1">
      <c r="A1922" s="12">
        <v>2234</v>
      </c>
      <c r="B1922" s="13" t="s">
        <v>2956</v>
      </c>
      <c r="C1922" s="31"/>
      <c r="D1922" s="16">
        <v>639</v>
      </c>
      <c r="E1922" s="22" t="s">
        <v>2430</v>
      </c>
      <c r="F1922" s="15" t="s">
        <v>22</v>
      </c>
      <c r="G1922" s="18"/>
      <c r="H1922" s="58">
        <v>3</v>
      </c>
      <c r="I1922" s="16"/>
      <c r="J1922" s="14" t="s">
        <v>23</v>
      </c>
      <c r="K1922" s="18"/>
      <c r="L1922" s="18"/>
      <c r="M1922" s="18"/>
      <c r="N1922" s="18"/>
      <c r="O1922" s="18"/>
      <c r="P1922" s="18"/>
      <c r="Q1922" s="18"/>
      <c r="R1922" s="18"/>
    </row>
    <row r="1923" spans="1:18" ht="15" customHeight="1">
      <c r="A1923" s="12">
        <v>666</v>
      </c>
      <c r="B1923" s="13" t="s">
        <v>2957</v>
      </c>
      <c r="C1923" s="22"/>
      <c r="D1923" s="22" t="s">
        <v>2958</v>
      </c>
      <c r="E1923" s="22" t="s">
        <v>2430</v>
      </c>
      <c r="F1923" s="15" t="s">
        <v>22</v>
      </c>
      <c r="G1923" s="26"/>
      <c r="H1923" s="58"/>
      <c r="I1923" s="22"/>
      <c r="J1923" s="14" t="s">
        <v>23</v>
      </c>
      <c r="K1923" s="22"/>
      <c r="L1923" s="22"/>
      <c r="M1923" s="22" t="s">
        <v>654</v>
      </c>
      <c r="N1923" s="25" t="s">
        <v>37</v>
      </c>
      <c r="O1923" s="22" t="s">
        <v>179</v>
      </c>
      <c r="P1923" s="14"/>
      <c r="Q1923" s="14"/>
      <c r="R1923" s="14" t="s">
        <v>1820</v>
      </c>
    </row>
    <row r="1924" spans="1:18" ht="15" customHeight="1">
      <c r="A1924" s="12">
        <v>1471</v>
      </c>
      <c r="B1924" s="13" t="s">
        <v>2959</v>
      </c>
      <c r="C1924" s="14"/>
      <c r="D1924" s="14" t="s">
        <v>2958</v>
      </c>
      <c r="E1924" s="22" t="s">
        <v>2430</v>
      </c>
      <c r="F1924" s="15" t="s">
        <v>22</v>
      </c>
      <c r="G1924" s="21"/>
      <c r="H1924" s="58">
        <v>4</v>
      </c>
      <c r="I1924" s="14"/>
      <c r="J1924" s="14" t="s">
        <v>23</v>
      </c>
      <c r="K1924" s="14"/>
      <c r="L1924" s="14"/>
      <c r="M1924" s="14" t="s">
        <v>2651</v>
      </c>
      <c r="N1924" s="25" t="s">
        <v>37</v>
      </c>
      <c r="O1924" s="14" t="s">
        <v>1300</v>
      </c>
      <c r="P1924" s="14"/>
      <c r="Q1924" s="14"/>
      <c r="R1924" s="14" t="s">
        <v>1824</v>
      </c>
    </row>
    <row r="1925" spans="1:18" ht="15" customHeight="1">
      <c r="A1925" s="12">
        <v>2235</v>
      </c>
      <c r="B1925" s="13" t="s">
        <v>2960</v>
      </c>
      <c r="C1925" s="31"/>
      <c r="D1925" s="16">
        <v>640</v>
      </c>
      <c r="E1925" s="22" t="s">
        <v>2430</v>
      </c>
      <c r="F1925" s="15" t="s">
        <v>22</v>
      </c>
      <c r="G1925" s="18"/>
      <c r="H1925" s="58">
        <v>4</v>
      </c>
      <c r="I1925" s="16"/>
      <c r="J1925" s="14" t="s">
        <v>23</v>
      </c>
      <c r="K1925" s="18"/>
      <c r="L1925" s="18"/>
      <c r="M1925" s="18"/>
      <c r="N1925" s="18"/>
      <c r="O1925" s="18"/>
      <c r="P1925" s="18"/>
      <c r="Q1925" s="18"/>
      <c r="R1925" s="18"/>
    </row>
    <row r="1926" spans="1:18" ht="15" customHeight="1">
      <c r="A1926" s="12">
        <v>1472</v>
      </c>
      <c r="B1926" s="13" t="s">
        <v>2961</v>
      </c>
      <c r="C1926" s="14"/>
      <c r="D1926" s="14" t="s">
        <v>2962</v>
      </c>
      <c r="E1926" s="22" t="s">
        <v>2430</v>
      </c>
      <c r="F1926" s="15" t="s">
        <v>22</v>
      </c>
      <c r="G1926" s="21"/>
      <c r="H1926" s="58">
        <v>4</v>
      </c>
      <c r="I1926" s="14"/>
      <c r="J1926" s="14" t="s">
        <v>23</v>
      </c>
      <c r="K1926" s="14"/>
      <c r="L1926" s="14"/>
      <c r="M1926" s="14" t="s">
        <v>2651</v>
      </c>
      <c r="N1926" s="25" t="s">
        <v>37</v>
      </c>
      <c r="O1926" s="14" t="s">
        <v>1042</v>
      </c>
      <c r="P1926" s="14"/>
      <c r="Q1926" s="14"/>
      <c r="R1926" s="14" t="s">
        <v>1824</v>
      </c>
    </row>
    <row r="1927" spans="1:18" ht="15" customHeight="1">
      <c r="A1927" s="12">
        <v>2236</v>
      </c>
      <c r="B1927" s="13" t="s">
        <v>2963</v>
      </c>
      <c r="C1927" s="31"/>
      <c r="D1927" s="16">
        <v>641</v>
      </c>
      <c r="E1927" s="22" t="s">
        <v>2430</v>
      </c>
      <c r="F1927" s="15" t="s">
        <v>22</v>
      </c>
      <c r="G1927" s="18"/>
      <c r="H1927" s="58">
        <v>3</v>
      </c>
      <c r="I1927" s="16"/>
      <c r="J1927" s="14" t="s">
        <v>23</v>
      </c>
      <c r="K1927" s="18"/>
      <c r="L1927" s="18"/>
      <c r="M1927" s="18"/>
      <c r="N1927" s="18"/>
      <c r="O1927" s="18"/>
      <c r="P1927" s="18"/>
      <c r="Q1927" s="18"/>
      <c r="R1927" s="18"/>
    </row>
    <row r="1928" spans="1:18" ht="15" customHeight="1">
      <c r="A1928" s="12">
        <v>747</v>
      </c>
      <c r="B1928" s="13" t="s">
        <v>2964</v>
      </c>
      <c r="C1928" s="14"/>
      <c r="D1928" s="14" t="s">
        <v>2965</v>
      </c>
      <c r="E1928" s="22" t="s">
        <v>2430</v>
      </c>
      <c r="F1928" s="15" t="s">
        <v>22</v>
      </c>
      <c r="G1928" s="21"/>
      <c r="H1928" s="58"/>
      <c r="I1928" s="14"/>
      <c r="J1928" s="14" t="s">
        <v>23</v>
      </c>
      <c r="K1928" s="14"/>
      <c r="L1928" s="14"/>
      <c r="M1928" s="14" t="s">
        <v>1819</v>
      </c>
      <c r="N1928" s="25" t="s">
        <v>37</v>
      </c>
      <c r="O1928" s="14" t="s">
        <v>189</v>
      </c>
      <c r="P1928" s="14"/>
      <c r="Q1928" s="14"/>
      <c r="R1928" s="14" t="s">
        <v>1820</v>
      </c>
    </row>
    <row r="1929" spans="1:18" ht="15" customHeight="1">
      <c r="A1929" s="12">
        <v>1473</v>
      </c>
      <c r="B1929" s="13" t="s">
        <v>2966</v>
      </c>
      <c r="C1929" s="14"/>
      <c r="D1929" s="14" t="s">
        <v>2965</v>
      </c>
      <c r="E1929" s="22" t="s">
        <v>2430</v>
      </c>
      <c r="F1929" s="15" t="s">
        <v>22</v>
      </c>
      <c r="G1929" s="21"/>
      <c r="H1929" s="58">
        <v>4</v>
      </c>
      <c r="I1929" s="14"/>
      <c r="J1929" s="14" t="s">
        <v>23</v>
      </c>
      <c r="K1929" s="14"/>
      <c r="L1929" s="14"/>
      <c r="M1929" s="14" t="s">
        <v>2651</v>
      </c>
      <c r="N1929" s="25" t="s">
        <v>37</v>
      </c>
      <c r="O1929" s="14" t="s">
        <v>2967</v>
      </c>
      <c r="P1929" s="14"/>
      <c r="Q1929" s="14"/>
      <c r="R1929" s="14" t="s">
        <v>1824</v>
      </c>
    </row>
    <row r="1930" spans="1:18" ht="15" customHeight="1">
      <c r="A1930" s="12">
        <v>2237</v>
      </c>
      <c r="B1930" s="13" t="s">
        <v>2968</v>
      </c>
      <c r="C1930" s="31"/>
      <c r="D1930" s="16">
        <v>642</v>
      </c>
      <c r="E1930" s="22" t="s">
        <v>2430</v>
      </c>
      <c r="F1930" s="15" t="s">
        <v>22</v>
      </c>
      <c r="G1930" s="18"/>
      <c r="H1930" s="58">
        <v>3</v>
      </c>
      <c r="I1930" s="16"/>
      <c r="J1930" s="14" t="s">
        <v>23</v>
      </c>
      <c r="K1930" s="18"/>
      <c r="L1930" s="18"/>
      <c r="M1930" s="18"/>
      <c r="N1930" s="18"/>
      <c r="O1930" s="18"/>
      <c r="P1930" s="18"/>
      <c r="Q1930" s="18"/>
      <c r="R1930" s="18"/>
    </row>
    <row r="1931" spans="1:18" ht="15" customHeight="1">
      <c r="A1931" s="12">
        <v>748</v>
      </c>
      <c r="B1931" s="13" t="s">
        <v>2969</v>
      </c>
      <c r="C1931" s="14"/>
      <c r="D1931" s="14" t="s">
        <v>2970</v>
      </c>
      <c r="E1931" s="22" t="s">
        <v>2430</v>
      </c>
      <c r="F1931" s="15" t="s">
        <v>22</v>
      </c>
      <c r="G1931" s="21"/>
      <c r="H1931" s="58"/>
      <c r="I1931" s="14"/>
      <c r="J1931" s="14" t="s">
        <v>23</v>
      </c>
      <c r="K1931" s="14"/>
      <c r="L1931" s="14"/>
      <c r="M1931" s="14" t="s">
        <v>1819</v>
      </c>
      <c r="N1931" s="25" t="s">
        <v>37</v>
      </c>
      <c r="O1931" s="14" t="s">
        <v>38</v>
      </c>
      <c r="P1931" s="14"/>
      <c r="Q1931" s="14"/>
      <c r="R1931" s="14" t="s">
        <v>1820</v>
      </c>
    </row>
    <row r="1932" spans="1:18" ht="15" customHeight="1">
      <c r="A1932" s="12">
        <v>1474</v>
      </c>
      <c r="B1932" s="13" t="s">
        <v>2971</v>
      </c>
      <c r="C1932" s="14"/>
      <c r="D1932" s="14" t="s">
        <v>2970</v>
      </c>
      <c r="E1932" s="22" t="s">
        <v>2430</v>
      </c>
      <c r="F1932" s="15" t="s">
        <v>22</v>
      </c>
      <c r="G1932" s="21"/>
      <c r="H1932" s="58">
        <v>4</v>
      </c>
      <c r="I1932" s="14"/>
      <c r="J1932" s="14" t="s">
        <v>23</v>
      </c>
      <c r="K1932" s="14"/>
      <c r="L1932" s="14"/>
      <c r="M1932" s="14" t="s">
        <v>2651</v>
      </c>
      <c r="N1932" s="25" t="s">
        <v>37</v>
      </c>
      <c r="O1932" s="14" t="s">
        <v>2972</v>
      </c>
      <c r="P1932" s="14"/>
      <c r="Q1932" s="14"/>
      <c r="R1932" s="14" t="s">
        <v>1824</v>
      </c>
    </row>
    <row r="1933" spans="1:18" ht="15" customHeight="1">
      <c r="A1933" s="12">
        <v>2238</v>
      </c>
      <c r="B1933" s="13" t="s">
        <v>2973</v>
      </c>
      <c r="C1933" s="31"/>
      <c r="D1933" s="16">
        <v>643</v>
      </c>
      <c r="E1933" s="22" t="s">
        <v>2430</v>
      </c>
      <c r="F1933" s="15" t="s">
        <v>22</v>
      </c>
      <c r="G1933" s="18"/>
      <c r="H1933" s="58">
        <v>3</v>
      </c>
      <c r="I1933" s="16"/>
      <c r="J1933" s="14" t="s">
        <v>23</v>
      </c>
      <c r="K1933" s="18"/>
      <c r="L1933" s="18"/>
      <c r="M1933" s="18"/>
      <c r="N1933" s="18"/>
      <c r="O1933" s="18"/>
      <c r="P1933" s="18"/>
      <c r="Q1933" s="18"/>
      <c r="R1933" s="18"/>
    </row>
    <row r="1934" spans="1:18" ht="15" customHeight="1">
      <c r="A1934" s="12">
        <v>587</v>
      </c>
      <c r="B1934" s="13" t="s">
        <v>2974</v>
      </c>
      <c r="C1934" s="22"/>
      <c r="D1934" s="22" t="s">
        <v>2975</v>
      </c>
      <c r="E1934" s="22" t="s">
        <v>2430</v>
      </c>
      <c r="F1934" s="15" t="s">
        <v>22</v>
      </c>
      <c r="G1934" s="26"/>
      <c r="H1934" s="58"/>
      <c r="I1934" s="22"/>
      <c r="J1934" s="14" t="s">
        <v>23</v>
      </c>
      <c r="K1934" s="22"/>
      <c r="L1934" s="22"/>
      <c r="M1934" s="14" t="s">
        <v>1537</v>
      </c>
      <c r="N1934" s="25" t="s">
        <v>37</v>
      </c>
      <c r="O1934" s="22" t="s">
        <v>80</v>
      </c>
      <c r="P1934" s="14"/>
      <c r="Q1934" s="14"/>
      <c r="R1934" s="14" t="s">
        <v>2449</v>
      </c>
    </row>
    <row r="1935" spans="1:18" ht="15" customHeight="1">
      <c r="A1935" s="12">
        <v>1370</v>
      </c>
      <c r="B1935" s="13" t="s">
        <v>2976</v>
      </c>
      <c r="C1935" s="14"/>
      <c r="D1935" s="14" t="s">
        <v>2975</v>
      </c>
      <c r="E1935" s="22" t="s">
        <v>2430</v>
      </c>
      <c r="F1935" s="15" t="s">
        <v>22</v>
      </c>
      <c r="G1935" s="21"/>
      <c r="H1935" s="58">
        <v>4</v>
      </c>
      <c r="I1935" s="14"/>
      <c r="J1935" s="14" t="s">
        <v>23</v>
      </c>
      <c r="K1935" s="14"/>
      <c r="L1935" s="14"/>
      <c r="M1935" s="14" t="s">
        <v>1534</v>
      </c>
      <c r="N1935" s="25" t="s">
        <v>37</v>
      </c>
      <c r="O1935" s="14" t="s">
        <v>2977</v>
      </c>
      <c r="P1935" s="14"/>
      <c r="Q1935" s="14"/>
      <c r="R1935" s="14" t="s">
        <v>2333</v>
      </c>
    </row>
    <row r="1936" spans="1:18" ht="15" customHeight="1">
      <c r="A1936" s="12">
        <v>1575</v>
      </c>
      <c r="B1936" s="13" t="s">
        <v>2978</v>
      </c>
      <c r="C1936" s="14"/>
      <c r="D1936" s="14" t="s">
        <v>2975</v>
      </c>
      <c r="E1936" s="22" t="s">
        <v>2430</v>
      </c>
      <c r="F1936" s="15" t="s">
        <v>22</v>
      </c>
      <c r="G1936" s="14"/>
      <c r="H1936" s="58">
        <v>4</v>
      </c>
      <c r="I1936" s="14"/>
      <c r="J1936" s="14" t="s">
        <v>23</v>
      </c>
      <c r="K1936" s="14"/>
      <c r="L1936" s="14"/>
      <c r="M1936" s="14" t="s">
        <v>650</v>
      </c>
      <c r="N1936" s="25" t="s">
        <v>289</v>
      </c>
      <c r="O1936" s="14" t="s">
        <v>2979</v>
      </c>
      <c r="P1936" s="14"/>
      <c r="Q1936" s="14"/>
      <c r="R1936" s="14" t="s">
        <v>2338</v>
      </c>
    </row>
    <row r="1937" spans="1:1027" ht="15" customHeight="1">
      <c r="A1937" s="12">
        <v>588</v>
      </c>
      <c r="B1937" s="13" t="s">
        <v>2980</v>
      </c>
      <c r="C1937" s="22"/>
      <c r="D1937" s="22" t="s">
        <v>2981</v>
      </c>
      <c r="E1937" s="22" t="s">
        <v>2430</v>
      </c>
      <c r="F1937" s="15" t="s">
        <v>22</v>
      </c>
      <c r="G1937" s="26"/>
      <c r="H1937" s="58"/>
      <c r="I1937" s="22"/>
      <c r="J1937" s="14" t="s">
        <v>23</v>
      </c>
      <c r="K1937" s="22"/>
      <c r="L1937" s="22"/>
      <c r="M1937" s="14" t="s">
        <v>1537</v>
      </c>
      <c r="N1937" s="25" t="s">
        <v>37</v>
      </c>
      <c r="O1937" s="22" t="s">
        <v>45</v>
      </c>
      <c r="P1937" s="14"/>
      <c r="Q1937" s="14"/>
      <c r="R1937" s="14" t="s">
        <v>2449</v>
      </c>
    </row>
    <row r="1938" spans="1:1027" ht="15" customHeight="1">
      <c r="A1938" s="12">
        <v>1371</v>
      </c>
      <c r="B1938" s="13" t="s">
        <v>2982</v>
      </c>
      <c r="C1938" s="14"/>
      <c r="D1938" s="14" t="s">
        <v>2981</v>
      </c>
      <c r="E1938" s="22" t="s">
        <v>2430</v>
      </c>
      <c r="F1938" s="15" t="s">
        <v>22</v>
      </c>
      <c r="G1938" s="21"/>
      <c r="H1938" s="58"/>
      <c r="I1938" s="14"/>
      <c r="J1938" s="14" t="s">
        <v>23</v>
      </c>
      <c r="K1938" s="14"/>
      <c r="L1938" s="14"/>
      <c r="M1938" s="14" t="s">
        <v>1534</v>
      </c>
      <c r="N1938" s="25" t="s">
        <v>37</v>
      </c>
      <c r="O1938" s="14" t="s">
        <v>2983</v>
      </c>
      <c r="P1938" s="14"/>
      <c r="Q1938" s="14"/>
      <c r="R1938" s="14" t="s">
        <v>2333</v>
      </c>
    </row>
    <row r="1939" spans="1:1027" ht="15" customHeight="1">
      <c r="A1939" s="12">
        <v>2239</v>
      </c>
      <c r="B1939" s="13" t="s">
        <v>2984</v>
      </c>
      <c r="C1939" s="31"/>
      <c r="D1939" s="16">
        <v>645</v>
      </c>
      <c r="E1939" s="22" t="s">
        <v>2430</v>
      </c>
      <c r="F1939" s="15" t="s">
        <v>22</v>
      </c>
      <c r="G1939" s="18"/>
      <c r="H1939" s="58">
        <v>2</v>
      </c>
      <c r="I1939" s="16"/>
      <c r="J1939" s="14" t="s">
        <v>23</v>
      </c>
      <c r="K1939" s="18"/>
      <c r="L1939" s="18"/>
      <c r="M1939" s="18"/>
      <c r="N1939" s="18"/>
      <c r="O1939" s="18"/>
      <c r="P1939" s="18"/>
      <c r="Q1939" s="18"/>
      <c r="R1939" s="18"/>
    </row>
    <row r="1940" spans="1:1027" ht="15" customHeight="1">
      <c r="A1940" s="12">
        <v>589</v>
      </c>
      <c r="B1940" s="13" t="s">
        <v>2985</v>
      </c>
      <c r="C1940" s="22"/>
      <c r="D1940" s="22" t="s">
        <v>2986</v>
      </c>
      <c r="E1940" s="22" t="s">
        <v>2430</v>
      </c>
      <c r="F1940" s="15" t="s">
        <v>22</v>
      </c>
      <c r="G1940" s="26"/>
      <c r="H1940" s="58"/>
      <c r="I1940" s="22"/>
      <c r="J1940" s="14" t="s">
        <v>23</v>
      </c>
      <c r="K1940" s="22"/>
      <c r="L1940" s="22"/>
      <c r="M1940" s="14" t="s">
        <v>1537</v>
      </c>
      <c r="N1940" s="14" t="s">
        <v>25</v>
      </c>
      <c r="O1940" s="22"/>
      <c r="P1940" s="14"/>
      <c r="Q1940" s="14"/>
      <c r="R1940" s="14" t="s">
        <v>2449</v>
      </c>
    </row>
    <row r="1941" spans="1:1027" ht="15" customHeight="1">
      <c r="A1941" s="12">
        <v>1372</v>
      </c>
      <c r="B1941" s="13" t="s">
        <v>2987</v>
      </c>
      <c r="C1941" s="14"/>
      <c r="D1941" s="14" t="s">
        <v>2986</v>
      </c>
      <c r="E1941" s="22" t="s">
        <v>2430</v>
      </c>
      <c r="F1941" s="15" t="s">
        <v>22</v>
      </c>
      <c r="G1941" s="21"/>
      <c r="H1941" s="58"/>
      <c r="I1941" s="14"/>
      <c r="J1941" s="14" t="s">
        <v>23</v>
      </c>
      <c r="K1941" s="14"/>
      <c r="L1941" s="14"/>
      <c r="M1941" s="14" t="s">
        <v>1534</v>
      </c>
      <c r="N1941" s="14" t="s">
        <v>25</v>
      </c>
      <c r="O1941" s="14"/>
      <c r="P1941" s="14"/>
      <c r="Q1941" s="14"/>
      <c r="R1941" s="14" t="s">
        <v>2333</v>
      </c>
    </row>
    <row r="1942" spans="1:1027" ht="15" customHeight="1">
      <c r="A1942" s="12">
        <v>1576</v>
      </c>
      <c r="B1942" s="13" t="s">
        <v>2988</v>
      </c>
      <c r="C1942" s="14"/>
      <c r="D1942" s="14" t="s">
        <v>2986</v>
      </c>
      <c r="E1942" s="22" t="s">
        <v>2430</v>
      </c>
      <c r="F1942" s="15" t="s">
        <v>22</v>
      </c>
      <c r="G1942" s="14"/>
      <c r="H1942" s="58">
        <v>2</v>
      </c>
      <c r="I1942" s="14"/>
      <c r="J1942" s="14" t="s">
        <v>23</v>
      </c>
      <c r="K1942" s="14"/>
      <c r="L1942" s="14"/>
      <c r="M1942" s="14" t="s">
        <v>650</v>
      </c>
      <c r="N1942" s="14" t="s">
        <v>25</v>
      </c>
      <c r="O1942" s="14"/>
      <c r="P1942" s="14"/>
      <c r="Q1942" s="14"/>
      <c r="R1942" s="14" t="s">
        <v>2338</v>
      </c>
    </row>
    <row r="1943" spans="1:1027" ht="15" customHeight="1">
      <c r="A1943" s="12">
        <v>1</v>
      </c>
      <c r="B1943" s="13" t="s">
        <v>2989</v>
      </c>
      <c r="C1943" s="14"/>
      <c r="D1943" s="14" t="s">
        <v>2990</v>
      </c>
      <c r="E1943" s="16" t="s">
        <v>2991</v>
      </c>
      <c r="F1943" s="15" t="s">
        <v>22</v>
      </c>
      <c r="G1943" s="14"/>
      <c r="H1943" s="58"/>
      <c r="I1943" s="14"/>
      <c r="J1943" s="14" t="s">
        <v>23</v>
      </c>
      <c r="K1943" s="14"/>
      <c r="L1943" s="14"/>
      <c r="M1943" s="14" t="s">
        <v>24</v>
      </c>
      <c r="N1943" s="14" t="s">
        <v>25</v>
      </c>
      <c r="O1943" s="16"/>
      <c r="P1943" s="14"/>
      <c r="Q1943" s="14"/>
      <c r="R1943" s="17">
        <v>43599</v>
      </c>
      <c r="S1943" s="12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/>
      <c r="DW1943" s="3"/>
      <c r="DX1943" s="3"/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  <c r="EK1943" s="3"/>
      <c r="EL1943" s="3"/>
      <c r="EM1943" s="3"/>
      <c r="EN1943" s="3"/>
      <c r="EO1943" s="3"/>
      <c r="EP1943" s="3"/>
      <c r="EQ1943" s="3"/>
      <c r="ER1943" s="3"/>
      <c r="ES1943" s="3"/>
      <c r="ET1943" s="3"/>
      <c r="EU1943" s="3"/>
      <c r="EV1943" s="3"/>
      <c r="EW1943" s="3"/>
      <c r="EX1943" s="3"/>
      <c r="EY1943" s="3"/>
      <c r="EZ1943" s="3"/>
      <c r="FA1943" s="3"/>
      <c r="FB1943" s="3"/>
      <c r="FC1943" s="3"/>
      <c r="FD1943" s="3"/>
      <c r="FE1943" s="3"/>
      <c r="FF1943" s="3"/>
      <c r="FG1943" s="3"/>
      <c r="FH1943" s="3"/>
      <c r="FI1943" s="3"/>
      <c r="FJ1943" s="3"/>
      <c r="FK1943" s="3"/>
      <c r="FL1943" s="3"/>
      <c r="FM1943" s="3"/>
      <c r="FN1943" s="3"/>
      <c r="FO1943" s="3"/>
      <c r="FP1943" s="3"/>
      <c r="FQ1943" s="3"/>
      <c r="FR1943" s="3"/>
      <c r="FS1943" s="3"/>
      <c r="FT1943" s="3"/>
      <c r="FU1943" s="3"/>
      <c r="FV1943" s="3"/>
      <c r="FW1943" s="3"/>
      <c r="FX1943" s="3"/>
      <c r="FY1943" s="3"/>
      <c r="FZ1943" s="3"/>
      <c r="GA1943" s="3"/>
      <c r="GB1943" s="3"/>
      <c r="GC1943" s="3"/>
      <c r="GD1943" s="3"/>
      <c r="GE1943" s="3"/>
      <c r="GF1943" s="3"/>
      <c r="GG1943" s="3"/>
      <c r="GH1943" s="3"/>
      <c r="GI1943" s="3"/>
      <c r="GJ1943" s="3"/>
      <c r="GK1943" s="3"/>
      <c r="GL1943" s="3"/>
      <c r="GM1943" s="3"/>
      <c r="GN1943" s="3"/>
      <c r="GO1943" s="3"/>
      <c r="GP1943" s="3"/>
      <c r="GQ1943" s="3"/>
      <c r="GR1943" s="3"/>
      <c r="GS1943" s="3"/>
      <c r="GT1943" s="3"/>
      <c r="GU1943" s="3"/>
      <c r="GV1943" s="3"/>
      <c r="GW1943" s="3"/>
      <c r="GX1943" s="3"/>
      <c r="GY1943" s="3"/>
      <c r="GZ1943" s="3"/>
      <c r="HA1943" s="3"/>
      <c r="HB1943" s="3"/>
      <c r="HC1943" s="3"/>
      <c r="HD1943" s="3"/>
      <c r="HE1943" s="3"/>
      <c r="HF1943" s="3"/>
      <c r="HG1943" s="3"/>
      <c r="HH1943" s="3"/>
      <c r="HI1943" s="3"/>
      <c r="HJ1943" s="3"/>
      <c r="HK1943" s="3"/>
      <c r="HL1943" s="3"/>
      <c r="HM1943" s="3"/>
      <c r="HN1943" s="3"/>
      <c r="HO1943" s="3"/>
      <c r="HP1943" s="3"/>
      <c r="HQ1943" s="3"/>
      <c r="HR1943" s="3"/>
      <c r="HS1943" s="3"/>
      <c r="HT1943" s="3"/>
      <c r="HU1943" s="3"/>
      <c r="HV1943" s="3"/>
      <c r="HW1943" s="3"/>
      <c r="HX1943" s="3"/>
      <c r="HY1943" s="3"/>
      <c r="HZ1943" s="3"/>
      <c r="IA1943" s="3"/>
      <c r="IB1943" s="3"/>
      <c r="IC1943" s="3"/>
      <c r="ID1943" s="3"/>
      <c r="IE1943" s="3"/>
      <c r="IF1943" s="3"/>
      <c r="IG1943" s="3"/>
      <c r="IH1943" s="3"/>
      <c r="II1943" s="3"/>
      <c r="IJ1943" s="3"/>
      <c r="IK1943" s="3"/>
      <c r="IL1943" s="3"/>
      <c r="IM1943" s="3"/>
      <c r="IN1943" s="3"/>
      <c r="IO1943" s="3"/>
      <c r="IP1943" s="3"/>
      <c r="IQ1943" s="3"/>
      <c r="IR1943" s="3"/>
      <c r="IS1943" s="3"/>
      <c r="IT1943" s="3"/>
      <c r="IU1943" s="3"/>
      <c r="IV1943" s="3"/>
      <c r="IW1943" s="3"/>
      <c r="IX1943" s="3"/>
      <c r="IY1943" s="3"/>
      <c r="IZ1943" s="3"/>
      <c r="JA1943" s="3"/>
      <c r="JB1943" s="3"/>
      <c r="JC1943" s="3"/>
      <c r="JD1943" s="3"/>
      <c r="JE1943" s="3"/>
      <c r="JF1943" s="3"/>
      <c r="JG1943" s="3"/>
      <c r="JH1943" s="3"/>
      <c r="JI1943" s="3"/>
      <c r="JJ1943" s="3"/>
      <c r="JK1943" s="3"/>
      <c r="JL1943" s="3"/>
      <c r="JM1943" s="3"/>
      <c r="JN1943" s="3"/>
      <c r="JO1943" s="3"/>
      <c r="JP1943" s="3"/>
      <c r="JQ1943" s="3"/>
      <c r="JR1943" s="3"/>
      <c r="JS1943" s="3"/>
      <c r="JT1943" s="3"/>
      <c r="JU1943" s="3"/>
      <c r="JV1943" s="3"/>
      <c r="JW1943" s="3"/>
      <c r="JX1943" s="3"/>
      <c r="JY1943" s="3"/>
      <c r="JZ1943" s="3"/>
      <c r="KA1943" s="3"/>
      <c r="KB1943" s="3"/>
      <c r="KC1943" s="3"/>
      <c r="KD1943" s="3"/>
      <c r="KE1943" s="3"/>
      <c r="KF1943" s="3"/>
      <c r="KG1943" s="3"/>
      <c r="KH1943" s="3"/>
      <c r="KI1943" s="3"/>
      <c r="KJ1943" s="3"/>
      <c r="KK1943" s="3"/>
      <c r="KL1943" s="3"/>
      <c r="KM1943" s="3"/>
      <c r="KN1943" s="3"/>
      <c r="KO1943" s="3"/>
      <c r="KP1943" s="3"/>
      <c r="KQ1943" s="3"/>
      <c r="KR1943" s="3"/>
      <c r="KS1943" s="3"/>
      <c r="KT1943" s="3"/>
      <c r="KU1943" s="3"/>
      <c r="KV1943" s="3"/>
      <c r="KW1943" s="3"/>
      <c r="KX1943" s="3"/>
      <c r="KY1943" s="3"/>
      <c r="KZ1943" s="3"/>
      <c r="LA1943" s="3"/>
      <c r="LB1943" s="3"/>
      <c r="LC1943" s="3"/>
      <c r="LD1943" s="3"/>
      <c r="LE1943" s="3"/>
      <c r="LF1943" s="3"/>
      <c r="LG1943" s="3"/>
      <c r="LH1943" s="3"/>
      <c r="LI1943" s="3"/>
      <c r="LJ1943" s="3"/>
      <c r="LK1943" s="3"/>
      <c r="LL1943" s="3"/>
      <c r="LM1943" s="3"/>
      <c r="LN1943" s="3"/>
      <c r="LO1943" s="3"/>
      <c r="LP1943" s="3"/>
      <c r="LQ1943" s="3"/>
      <c r="LR1943" s="3"/>
      <c r="LS1943" s="3"/>
      <c r="LT1943" s="3"/>
      <c r="LU1943" s="3"/>
      <c r="LV1943" s="3"/>
      <c r="LW1943" s="3"/>
      <c r="LX1943" s="3"/>
      <c r="LY1943" s="3"/>
      <c r="LZ1943" s="3"/>
      <c r="MA1943" s="3"/>
      <c r="MB1943" s="3"/>
      <c r="MC1943" s="3"/>
      <c r="MD1943" s="3"/>
      <c r="ME1943" s="3"/>
      <c r="MF1943" s="3"/>
      <c r="MG1943" s="3"/>
      <c r="MH1943" s="3"/>
      <c r="MI1943" s="3"/>
      <c r="MJ1943" s="3"/>
      <c r="MK1943" s="3"/>
      <c r="ML1943" s="3"/>
      <c r="MM1943" s="3"/>
      <c r="MN1943" s="3"/>
      <c r="MO1943" s="3"/>
      <c r="MP1943" s="3"/>
      <c r="MQ1943" s="3"/>
      <c r="MR1943" s="3"/>
      <c r="MS1943" s="3"/>
      <c r="MT1943" s="3"/>
      <c r="MU1943" s="3"/>
      <c r="MV1943" s="3"/>
      <c r="MW1943" s="3"/>
      <c r="MX1943" s="3"/>
      <c r="MY1943" s="3"/>
      <c r="MZ1943" s="3"/>
      <c r="NA1943" s="3"/>
      <c r="NB1943" s="3"/>
      <c r="NC1943" s="3"/>
      <c r="ND1943" s="3"/>
      <c r="NE1943" s="3"/>
      <c r="NF1943" s="3"/>
      <c r="NG1943" s="3"/>
      <c r="NH1943" s="3"/>
      <c r="NI1943" s="3"/>
      <c r="NJ1943" s="3"/>
      <c r="NK1943" s="3"/>
      <c r="NL1943" s="3"/>
      <c r="NM1943" s="3"/>
      <c r="NN1943" s="3"/>
      <c r="NO1943" s="3"/>
      <c r="NP1943" s="3"/>
      <c r="NQ1943" s="3"/>
      <c r="NR1943" s="3"/>
      <c r="NS1943" s="3"/>
      <c r="NT1943" s="3"/>
      <c r="NU1943" s="3"/>
      <c r="NV1943" s="3"/>
      <c r="NW1943" s="3"/>
      <c r="NX1943" s="3"/>
      <c r="NY1943" s="3"/>
      <c r="NZ1943" s="3"/>
      <c r="OA1943" s="3"/>
      <c r="OB1943" s="3"/>
      <c r="OC1943" s="3"/>
      <c r="OD1943" s="3"/>
      <c r="OE1943" s="3"/>
      <c r="OF1943" s="3"/>
      <c r="OG1943" s="3"/>
      <c r="OH1943" s="3"/>
      <c r="OI1943" s="3"/>
      <c r="OJ1943" s="3"/>
      <c r="OK1943" s="3"/>
      <c r="OL1943" s="3"/>
      <c r="OM1943" s="3"/>
      <c r="ON1943" s="3"/>
      <c r="OO1943" s="3"/>
      <c r="OP1943" s="3"/>
      <c r="OQ1943" s="3"/>
      <c r="OR1943" s="3"/>
      <c r="OS1943" s="3"/>
      <c r="OT1943" s="3"/>
      <c r="OU1943" s="3"/>
      <c r="OV1943" s="3"/>
      <c r="OW1943" s="3"/>
      <c r="OX1943" s="3"/>
      <c r="OY1943" s="3"/>
      <c r="OZ1943" s="3"/>
      <c r="PA1943" s="3"/>
      <c r="PB1943" s="3"/>
      <c r="PC1943" s="3"/>
      <c r="PD1943" s="3"/>
      <c r="PE1943" s="3"/>
      <c r="PF1943" s="3"/>
      <c r="PG1943" s="3"/>
      <c r="PH1943" s="3"/>
      <c r="PI1943" s="3"/>
      <c r="PJ1943" s="3"/>
      <c r="PK1943" s="3"/>
      <c r="PL1943" s="3"/>
      <c r="PM1943" s="3"/>
      <c r="PN1943" s="3"/>
      <c r="PO1943" s="3"/>
      <c r="PP1943" s="3"/>
      <c r="PQ1943" s="3"/>
      <c r="PR1943" s="3"/>
      <c r="PS1943" s="3"/>
      <c r="PT1943" s="3"/>
      <c r="PU1943" s="3"/>
      <c r="PV1943" s="3"/>
      <c r="PW1943" s="3"/>
      <c r="PX1943" s="3"/>
      <c r="PY1943" s="3"/>
      <c r="PZ1943" s="3"/>
      <c r="QA1943" s="3"/>
      <c r="QB1943" s="3"/>
      <c r="QC1943" s="3"/>
      <c r="QD1943" s="3"/>
      <c r="QE1943" s="3"/>
      <c r="QF1943" s="3"/>
      <c r="QG1943" s="3"/>
      <c r="QH1943" s="3"/>
      <c r="QI1943" s="3"/>
      <c r="QJ1943" s="3"/>
      <c r="QK1943" s="3"/>
      <c r="QL1943" s="3"/>
      <c r="QM1943" s="3"/>
      <c r="QN1943" s="3"/>
      <c r="QO1943" s="3"/>
      <c r="QP1943" s="3"/>
      <c r="QQ1943" s="3"/>
      <c r="QR1943" s="3"/>
      <c r="QS1943" s="3"/>
      <c r="QT1943" s="3"/>
      <c r="QU1943" s="3"/>
      <c r="QV1943" s="3"/>
      <c r="QW1943" s="3"/>
      <c r="QX1943" s="3"/>
      <c r="QY1943" s="3"/>
      <c r="QZ1943" s="3"/>
      <c r="RA1943" s="3"/>
      <c r="RB1943" s="3"/>
      <c r="RC1943" s="3"/>
      <c r="RD1943" s="3"/>
      <c r="RE1943" s="3"/>
      <c r="RF1943" s="3"/>
      <c r="RG1943" s="3"/>
      <c r="RH1943" s="3"/>
      <c r="RI1943" s="3"/>
      <c r="RJ1943" s="3"/>
      <c r="RK1943" s="3"/>
      <c r="RL1943" s="3"/>
      <c r="RM1943" s="3"/>
      <c r="RN1943" s="3"/>
      <c r="RO1943" s="3"/>
      <c r="RP1943" s="3"/>
      <c r="RQ1943" s="3"/>
      <c r="RR1943" s="3"/>
      <c r="RS1943" s="3"/>
      <c r="RT1943" s="3"/>
      <c r="RU1943" s="3"/>
      <c r="RV1943" s="3"/>
      <c r="RW1943" s="3"/>
      <c r="RX1943" s="3"/>
      <c r="RY1943" s="3"/>
      <c r="RZ1943" s="3"/>
      <c r="SA1943" s="3"/>
      <c r="SB1943" s="3"/>
      <c r="SC1943" s="3"/>
      <c r="SD1943" s="3"/>
      <c r="SE1943" s="3"/>
      <c r="SF1943" s="3"/>
      <c r="SG1943" s="3"/>
      <c r="SH1943" s="3"/>
      <c r="SI1943" s="3"/>
      <c r="SJ1943" s="3"/>
      <c r="SK1943" s="3"/>
      <c r="SL1943" s="3"/>
      <c r="SM1943" s="3"/>
      <c r="SN1943" s="3"/>
      <c r="SO1943" s="3"/>
      <c r="SP1943" s="3"/>
      <c r="SQ1943" s="3"/>
      <c r="SR1943" s="3"/>
      <c r="SS1943" s="3"/>
      <c r="ST1943" s="3"/>
      <c r="SU1943" s="3"/>
      <c r="SV1943" s="3"/>
      <c r="SW1943" s="3"/>
      <c r="SX1943" s="3"/>
      <c r="SY1943" s="3"/>
      <c r="SZ1943" s="3"/>
      <c r="TA1943" s="3"/>
      <c r="TB1943" s="3"/>
      <c r="TC1943" s="3"/>
      <c r="TD1943" s="3"/>
      <c r="TE1943" s="3"/>
      <c r="TF1943" s="3"/>
      <c r="TG1943" s="3"/>
      <c r="TH1943" s="3"/>
      <c r="TI1943" s="3"/>
      <c r="TJ1943" s="3"/>
      <c r="TK1943" s="3"/>
      <c r="TL1943" s="3"/>
      <c r="TM1943" s="3"/>
      <c r="TN1943" s="3"/>
      <c r="TO1943" s="3"/>
      <c r="TP1943" s="3"/>
      <c r="TQ1943" s="3"/>
      <c r="TR1943" s="3"/>
      <c r="TS1943" s="3"/>
      <c r="TT1943" s="3"/>
      <c r="TU1943" s="3"/>
      <c r="TV1943" s="3"/>
      <c r="TW1943" s="3"/>
      <c r="TX1943" s="3"/>
      <c r="TY1943" s="3"/>
      <c r="TZ1943" s="3"/>
      <c r="UA1943" s="3"/>
      <c r="UB1943" s="3"/>
      <c r="UC1943" s="3"/>
      <c r="UD1943" s="3"/>
      <c r="UE1943" s="3"/>
      <c r="UF1943" s="3"/>
      <c r="UG1943" s="3"/>
      <c r="UH1943" s="3"/>
      <c r="UI1943" s="3"/>
      <c r="UJ1943" s="3"/>
      <c r="UK1943" s="3"/>
      <c r="UL1943" s="3"/>
      <c r="UM1943" s="3"/>
      <c r="UN1943" s="3"/>
      <c r="UO1943" s="3"/>
      <c r="UP1943" s="3"/>
      <c r="UQ1943" s="3"/>
      <c r="UR1943" s="3"/>
      <c r="US1943" s="3"/>
      <c r="UT1943" s="3"/>
      <c r="UU1943" s="3"/>
      <c r="UV1943" s="3"/>
      <c r="UW1943" s="3"/>
      <c r="UX1943" s="3"/>
      <c r="UY1943" s="3"/>
      <c r="UZ1943" s="3"/>
      <c r="VA1943" s="3"/>
      <c r="VB1943" s="3"/>
      <c r="VC1943" s="3"/>
      <c r="VD1943" s="3"/>
      <c r="VE1943" s="3"/>
      <c r="VF1943" s="3"/>
      <c r="VG1943" s="3"/>
      <c r="VH1943" s="3"/>
      <c r="VI1943" s="3"/>
      <c r="VJ1943" s="3"/>
      <c r="VK1943" s="3"/>
      <c r="VL1943" s="3"/>
      <c r="VM1943" s="3"/>
      <c r="VN1943" s="3"/>
      <c r="VO1943" s="3"/>
      <c r="VP1943" s="3"/>
      <c r="VQ1943" s="3"/>
      <c r="VR1943" s="3"/>
      <c r="VS1943" s="3"/>
      <c r="VT1943" s="3"/>
      <c r="VU1943" s="3"/>
      <c r="VV1943" s="3"/>
      <c r="VW1943" s="3"/>
      <c r="VX1943" s="3"/>
      <c r="VY1943" s="3"/>
      <c r="VZ1943" s="3"/>
      <c r="WA1943" s="3"/>
      <c r="WB1943" s="3"/>
      <c r="WC1943" s="3"/>
      <c r="WD1943" s="3"/>
      <c r="WE1943" s="3"/>
      <c r="WF1943" s="3"/>
      <c r="WG1943" s="3"/>
      <c r="WH1943" s="3"/>
      <c r="WI1943" s="3"/>
      <c r="WJ1943" s="3"/>
      <c r="WK1943" s="3"/>
      <c r="WL1943" s="3"/>
      <c r="WM1943" s="3"/>
      <c r="WN1943" s="3"/>
      <c r="WO1943" s="3"/>
      <c r="WP1943" s="3"/>
      <c r="WQ1943" s="3"/>
      <c r="WR1943" s="3"/>
      <c r="WS1943" s="3"/>
      <c r="WT1943" s="3"/>
      <c r="WU1943" s="3"/>
      <c r="WV1943" s="3"/>
      <c r="WW1943" s="3"/>
      <c r="WX1943" s="3"/>
      <c r="WY1943" s="3"/>
      <c r="WZ1943" s="3"/>
      <c r="XA1943" s="3"/>
      <c r="XB1943" s="3"/>
      <c r="XC1943" s="3"/>
      <c r="XD1943" s="3"/>
      <c r="XE1943" s="3"/>
      <c r="XF1943" s="3"/>
      <c r="XG1943" s="3"/>
      <c r="XH1943" s="3"/>
      <c r="XI1943" s="3"/>
      <c r="XJ1943" s="3"/>
      <c r="XK1943" s="3"/>
      <c r="XL1943" s="3"/>
      <c r="XM1943" s="3"/>
      <c r="XN1943" s="3"/>
      <c r="XO1943" s="3"/>
      <c r="XP1943" s="3"/>
      <c r="XQ1943" s="3"/>
      <c r="XR1943" s="3"/>
      <c r="XS1943" s="3"/>
      <c r="XT1943" s="3"/>
      <c r="XU1943" s="3"/>
      <c r="XV1943" s="3"/>
      <c r="XW1943" s="3"/>
      <c r="XX1943" s="3"/>
      <c r="XY1943" s="3"/>
      <c r="XZ1943" s="3"/>
      <c r="YA1943" s="3"/>
      <c r="YB1943" s="3"/>
      <c r="YC1943" s="3"/>
      <c r="YD1943" s="3"/>
      <c r="YE1943" s="3"/>
      <c r="YF1943" s="3"/>
      <c r="YG1943" s="3"/>
      <c r="YH1943" s="3"/>
      <c r="YI1943" s="3"/>
      <c r="YJ1943" s="3"/>
      <c r="YK1943" s="3"/>
      <c r="YL1943" s="3"/>
      <c r="YM1943" s="3"/>
      <c r="YN1943" s="3"/>
      <c r="YO1943" s="3"/>
      <c r="YP1943" s="3"/>
      <c r="YQ1943" s="3"/>
      <c r="YR1943" s="3"/>
      <c r="YS1943" s="3"/>
      <c r="YT1943" s="3"/>
      <c r="YU1943" s="3"/>
      <c r="YV1943" s="3"/>
      <c r="YW1943" s="3"/>
      <c r="YX1943" s="3"/>
      <c r="YY1943" s="3"/>
      <c r="YZ1943" s="3"/>
      <c r="ZA1943" s="3"/>
      <c r="ZB1943" s="3"/>
      <c r="ZC1943" s="3"/>
      <c r="ZD1943" s="3"/>
      <c r="ZE1943" s="3"/>
      <c r="ZF1943" s="3"/>
      <c r="ZG1943" s="3"/>
      <c r="ZH1943" s="3"/>
      <c r="ZI1943" s="3"/>
      <c r="ZJ1943" s="3"/>
      <c r="ZK1943" s="3"/>
      <c r="ZL1943" s="3"/>
      <c r="ZM1943" s="3"/>
      <c r="ZN1943" s="3"/>
      <c r="ZO1943" s="3"/>
      <c r="ZP1943" s="3"/>
      <c r="ZQ1943" s="3"/>
      <c r="ZR1943" s="3"/>
      <c r="ZS1943" s="3"/>
      <c r="ZT1943" s="3"/>
      <c r="ZU1943" s="3"/>
      <c r="ZV1943" s="3"/>
      <c r="ZW1943" s="3"/>
      <c r="ZX1943" s="3"/>
      <c r="ZY1943" s="3"/>
      <c r="ZZ1943" s="3"/>
      <c r="AAA1943" s="3"/>
      <c r="AAB1943" s="3"/>
      <c r="AAC1943" s="3"/>
      <c r="AAD1943" s="3"/>
      <c r="AAE1943" s="3"/>
      <c r="AAF1943" s="3"/>
      <c r="AAG1943" s="3"/>
      <c r="AAH1943" s="3"/>
      <c r="AAI1943" s="3"/>
      <c r="AAJ1943" s="3"/>
      <c r="AAK1943" s="3"/>
      <c r="AAL1943" s="3"/>
      <c r="AAM1943" s="3"/>
      <c r="AAN1943" s="3"/>
      <c r="AAO1943" s="3"/>
      <c r="AAP1943" s="3"/>
      <c r="AAQ1943" s="3"/>
      <c r="AAR1943" s="3"/>
      <c r="AAS1943" s="3"/>
      <c r="AAT1943" s="3"/>
      <c r="AAU1943" s="3"/>
      <c r="AAV1943" s="3"/>
      <c r="AAW1943" s="3"/>
      <c r="AAX1943" s="3"/>
      <c r="AAY1943" s="3"/>
      <c r="AAZ1943" s="3"/>
      <c r="ABA1943" s="3"/>
      <c r="ABB1943" s="3"/>
      <c r="ABC1943" s="3"/>
      <c r="ABD1943" s="3"/>
      <c r="ABE1943" s="3"/>
      <c r="ABF1943" s="3"/>
      <c r="ABG1943" s="3"/>
      <c r="ABH1943" s="3"/>
      <c r="ABI1943" s="3"/>
      <c r="ABJ1943" s="3"/>
      <c r="ABK1943" s="3"/>
      <c r="ABL1943" s="3"/>
      <c r="ABM1943" s="3"/>
      <c r="ABN1943" s="3"/>
      <c r="ABO1943" s="3"/>
      <c r="ABP1943" s="3"/>
      <c r="ABQ1943" s="3"/>
      <c r="ABR1943" s="3"/>
      <c r="ABS1943" s="3"/>
      <c r="ABT1943" s="3"/>
      <c r="ABU1943" s="3"/>
      <c r="ABV1943" s="3"/>
      <c r="ABW1943" s="3"/>
      <c r="ABX1943" s="3"/>
      <c r="ABY1943" s="3"/>
      <c r="ABZ1943" s="3"/>
      <c r="ACA1943" s="3"/>
      <c r="ACB1943" s="3"/>
      <c r="ACC1943" s="3"/>
      <c r="ACD1943" s="3"/>
      <c r="ACE1943" s="3"/>
      <c r="ACF1943" s="3"/>
      <c r="ACG1943" s="3"/>
      <c r="ACH1943" s="3"/>
      <c r="ACI1943" s="3"/>
      <c r="ACJ1943" s="3"/>
      <c r="ACK1943" s="3"/>
      <c r="ACL1943" s="3"/>
      <c r="ACM1943" s="3"/>
      <c r="ACN1943" s="3"/>
      <c r="ACO1943" s="3"/>
      <c r="ACP1943" s="3"/>
      <c r="ACQ1943" s="3"/>
      <c r="ACR1943" s="3"/>
      <c r="ACS1943" s="3"/>
      <c r="ACT1943" s="3"/>
      <c r="ACU1943" s="3"/>
      <c r="ACV1943" s="3"/>
      <c r="ACW1943" s="3"/>
      <c r="ACX1943" s="3"/>
      <c r="ACY1943" s="3"/>
      <c r="ACZ1943" s="3"/>
      <c r="ADA1943" s="3"/>
      <c r="ADB1943" s="3"/>
      <c r="ADC1943" s="3"/>
      <c r="ADD1943" s="3"/>
      <c r="ADE1943" s="3"/>
      <c r="ADF1943" s="3"/>
      <c r="ADG1943" s="3"/>
      <c r="ADH1943" s="3"/>
      <c r="ADI1943" s="3"/>
      <c r="ADJ1943" s="3"/>
      <c r="ADK1943" s="3"/>
      <c r="ADL1943" s="3"/>
      <c r="ADM1943" s="3"/>
      <c r="ADN1943" s="3"/>
      <c r="ADO1943" s="3"/>
      <c r="ADP1943" s="3"/>
      <c r="ADQ1943" s="3"/>
      <c r="ADR1943" s="3"/>
      <c r="ADS1943" s="3"/>
      <c r="ADT1943" s="3"/>
      <c r="ADU1943" s="3"/>
      <c r="ADV1943" s="3"/>
      <c r="ADW1943" s="3"/>
      <c r="ADX1943" s="3"/>
      <c r="ADY1943" s="3"/>
      <c r="ADZ1943" s="3"/>
      <c r="AEA1943" s="3"/>
      <c r="AEB1943" s="3"/>
      <c r="AEC1943" s="3"/>
      <c r="AED1943" s="3"/>
      <c r="AEE1943" s="3"/>
      <c r="AEF1943" s="3"/>
      <c r="AEG1943" s="3"/>
      <c r="AEH1943" s="3"/>
      <c r="AEI1943" s="3"/>
      <c r="AEJ1943" s="3"/>
      <c r="AEK1943" s="3"/>
      <c r="AEL1943" s="3"/>
      <c r="AEM1943" s="3"/>
      <c r="AEN1943" s="3"/>
      <c r="AEO1943" s="3"/>
      <c r="AEP1943" s="3"/>
      <c r="AEQ1943" s="3"/>
      <c r="AER1943" s="3"/>
      <c r="AES1943" s="3"/>
      <c r="AET1943" s="3"/>
      <c r="AEU1943" s="3"/>
      <c r="AEV1943" s="3"/>
      <c r="AEW1943" s="3"/>
      <c r="AEX1943" s="3"/>
      <c r="AEY1943" s="3"/>
      <c r="AEZ1943" s="3"/>
      <c r="AFA1943" s="3"/>
      <c r="AFB1943" s="3"/>
      <c r="AFC1943" s="3"/>
      <c r="AFD1943" s="3"/>
      <c r="AFE1943" s="3"/>
      <c r="AFF1943" s="3"/>
      <c r="AFG1943" s="3"/>
      <c r="AFH1943" s="3"/>
      <c r="AFI1943" s="3"/>
      <c r="AFJ1943" s="3"/>
      <c r="AFK1943" s="3"/>
      <c r="AFL1943" s="3"/>
      <c r="AFM1943" s="3"/>
      <c r="AFN1943" s="3"/>
      <c r="AFO1943" s="3"/>
      <c r="AFP1943" s="3"/>
      <c r="AFQ1943" s="3"/>
      <c r="AFR1943" s="3"/>
      <c r="AFS1943" s="3"/>
      <c r="AFT1943" s="3"/>
      <c r="AFU1943" s="3"/>
      <c r="AFV1943" s="3"/>
      <c r="AFW1943" s="3"/>
      <c r="AFX1943" s="3"/>
      <c r="AFY1943" s="3"/>
      <c r="AFZ1943" s="3"/>
      <c r="AGA1943" s="3"/>
      <c r="AGB1943" s="3"/>
      <c r="AGC1943" s="3"/>
      <c r="AGD1943" s="3"/>
      <c r="AGE1943" s="3"/>
      <c r="AGF1943" s="3"/>
      <c r="AGG1943" s="3"/>
      <c r="AGH1943" s="3"/>
      <c r="AGI1943" s="3"/>
      <c r="AGJ1943" s="3"/>
      <c r="AGK1943" s="3"/>
      <c r="AGL1943" s="3"/>
      <c r="AGM1943" s="3"/>
      <c r="AGN1943" s="3"/>
      <c r="AGO1943" s="3"/>
      <c r="AGP1943" s="3"/>
      <c r="AGQ1943" s="3"/>
      <c r="AGR1943" s="3"/>
      <c r="AGS1943" s="3"/>
      <c r="AGT1943" s="3"/>
      <c r="AGU1943" s="3"/>
      <c r="AGV1943" s="3"/>
      <c r="AGW1943" s="3"/>
      <c r="AGX1943" s="3"/>
      <c r="AGY1943" s="3"/>
      <c r="AGZ1943" s="3"/>
      <c r="AHA1943" s="3"/>
      <c r="AHB1943" s="3"/>
      <c r="AHC1943" s="3"/>
      <c r="AHD1943" s="3"/>
      <c r="AHE1943" s="3"/>
      <c r="AHF1943" s="3"/>
      <c r="AHG1943" s="3"/>
      <c r="AHH1943" s="3"/>
      <c r="AHI1943" s="3"/>
      <c r="AHJ1943" s="3"/>
      <c r="AHK1943" s="3"/>
      <c r="AHL1943" s="3"/>
      <c r="AHM1943" s="3"/>
      <c r="AHN1943" s="3"/>
      <c r="AHO1943" s="3"/>
      <c r="AHP1943" s="3"/>
      <c r="AHQ1943" s="3"/>
      <c r="AHR1943" s="3"/>
      <c r="AHS1943" s="3"/>
      <c r="AHT1943" s="3"/>
      <c r="AHU1943" s="3"/>
      <c r="AHV1943" s="3"/>
      <c r="AHW1943" s="3"/>
      <c r="AHX1943" s="3"/>
      <c r="AHY1943" s="3"/>
      <c r="AHZ1943" s="3"/>
      <c r="AIA1943" s="3"/>
      <c r="AIB1943" s="3"/>
      <c r="AIC1943" s="3"/>
      <c r="AID1943" s="3"/>
      <c r="AIE1943" s="3"/>
      <c r="AIF1943" s="3"/>
      <c r="AIG1943" s="3"/>
      <c r="AIH1943" s="3"/>
      <c r="AII1943" s="3"/>
      <c r="AIJ1943" s="3"/>
      <c r="AIK1943" s="3"/>
      <c r="AIL1943" s="3"/>
      <c r="AIM1943" s="3"/>
      <c r="AIN1943" s="3"/>
      <c r="AIO1943" s="3"/>
      <c r="AIP1943" s="3"/>
      <c r="AIQ1943" s="3"/>
      <c r="AIR1943" s="3"/>
      <c r="AIS1943" s="3"/>
      <c r="AIT1943" s="3"/>
      <c r="AIU1943" s="3"/>
      <c r="AIV1943" s="3"/>
      <c r="AIW1943" s="3"/>
      <c r="AIX1943" s="3"/>
      <c r="AIY1943" s="3"/>
      <c r="AIZ1943" s="3"/>
      <c r="AJA1943" s="3"/>
      <c r="AJB1943" s="3"/>
      <c r="AJC1943" s="3"/>
      <c r="AJD1943" s="3"/>
      <c r="AJE1943" s="3"/>
      <c r="AJF1943" s="3"/>
      <c r="AJG1943" s="3"/>
      <c r="AJH1943" s="3"/>
      <c r="AJI1943" s="3"/>
      <c r="AJJ1943" s="3"/>
      <c r="AJK1943" s="3"/>
      <c r="AJL1943" s="3"/>
      <c r="AJM1943" s="3"/>
      <c r="AJN1943" s="3"/>
      <c r="AJO1943" s="3"/>
      <c r="AJP1943" s="3"/>
      <c r="AJQ1943" s="3"/>
      <c r="AJR1943" s="3"/>
      <c r="AJS1943" s="3"/>
      <c r="AJT1943" s="3"/>
      <c r="AJU1943" s="3"/>
      <c r="AJV1943" s="3"/>
      <c r="AJW1943" s="3"/>
      <c r="AJX1943" s="3"/>
      <c r="AJY1943" s="3"/>
      <c r="AJZ1943" s="3"/>
      <c r="AKA1943" s="3"/>
      <c r="AKB1943" s="3"/>
      <c r="AKC1943" s="3"/>
      <c r="AKD1943" s="3"/>
      <c r="AKE1943" s="3"/>
      <c r="AKF1943" s="3"/>
      <c r="AKG1943" s="3"/>
      <c r="AKH1943" s="3"/>
      <c r="AKI1943" s="3"/>
      <c r="AKJ1943" s="3"/>
      <c r="AKK1943" s="3"/>
      <c r="AKL1943" s="3"/>
      <c r="AKM1943" s="3"/>
      <c r="AKN1943" s="3"/>
      <c r="AKO1943" s="3"/>
      <c r="AKP1943" s="3"/>
      <c r="AKQ1943" s="3"/>
      <c r="AKR1943" s="3"/>
      <c r="AKS1943" s="3"/>
      <c r="AKT1943" s="3"/>
      <c r="AKU1943" s="3"/>
      <c r="AKV1943" s="3"/>
      <c r="AKW1943" s="3"/>
      <c r="AKX1943" s="3"/>
      <c r="AKY1943" s="3"/>
      <c r="AKZ1943" s="3"/>
      <c r="ALA1943" s="3"/>
      <c r="ALB1943" s="3"/>
      <c r="ALC1943" s="3"/>
      <c r="ALD1943" s="3"/>
      <c r="ALE1943" s="3"/>
      <c r="ALF1943" s="3"/>
      <c r="ALG1943" s="3"/>
      <c r="ALH1943" s="3"/>
      <c r="ALI1943" s="3"/>
      <c r="ALJ1943" s="3"/>
      <c r="ALK1943" s="3"/>
      <c r="ALL1943" s="3"/>
      <c r="ALM1943" s="3"/>
      <c r="ALN1943" s="3"/>
      <c r="ALO1943" s="3"/>
      <c r="ALP1943" s="3"/>
      <c r="ALQ1943" s="3"/>
      <c r="ALR1943" s="3"/>
      <c r="ALS1943" s="3"/>
      <c r="ALT1943" s="3"/>
      <c r="ALU1943" s="3"/>
      <c r="ALV1943" s="3"/>
      <c r="ALW1943" s="3"/>
      <c r="ALX1943" s="3"/>
      <c r="ALY1943" s="3"/>
      <c r="ALZ1943" s="3"/>
      <c r="AMA1943" s="3"/>
      <c r="AMB1943" s="3"/>
      <c r="AMC1943" s="3"/>
      <c r="AMD1943" s="3"/>
      <c r="AME1943" s="3"/>
      <c r="AMF1943" s="3"/>
      <c r="AMG1943" s="3"/>
      <c r="AMH1943" s="3"/>
      <c r="AMI1943" s="3"/>
      <c r="AMJ1943" s="3"/>
      <c r="AMK1943" s="3"/>
      <c r="AML1943" s="3"/>
      <c r="AMM1943" s="3"/>
    </row>
    <row r="1944" spans="1:1027" ht="15" customHeight="1">
      <c r="A1944" s="12">
        <v>590</v>
      </c>
      <c r="B1944" s="13" t="s">
        <v>2992</v>
      </c>
      <c r="C1944" s="22"/>
      <c r="D1944" s="22" t="s">
        <v>2990</v>
      </c>
      <c r="E1944" s="16" t="s">
        <v>2991</v>
      </c>
      <c r="F1944" s="15" t="s">
        <v>22</v>
      </c>
      <c r="G1944" s="26"/>
      <c r="H1944" s="58"/>
      <c r="I1944" s="22"/>
      <c r="J1944" s="14" t="s">
        <v>23</v>
      </c>
      <c r="K1944" s="22"/>
      <c r="L1944" s="22"/>
      <c r="M1944" s="14" t="s">
        <v>1537</v>
      </c>
      <c r="N1944" s="14" t="s">
        <v>25</v>
      </c>
      <c r="O1944" s="22"/>
      <c r="P1944" s="14"/>
      <c r="Q1944" s="14"/>
      <c r="R1944" s="14" t="s">
        <v>2449</v>
      </c>
    </row>
    <row r="1945" spans="1:1027" ht="15" customHeight="1">
      <c r="A1945" s="12">
        <v>1373</v>
      </c>
      <c r="B1945" s="13" t="s">
        <v>2993</v>
      </c>
      <c r="C1945" s="14"/>
      <c r="D1945" s="14" t="s">
        <v>2990</v>
      </c>
      <c r="E1945" s="16" t="s">
        <v>2991</v>
      </c>
      <c r="F1945" s="15" t="s">
        <v>22</v>
      </c>
      <c r="G1945" s="21"/>
      <c r="H1945" s="58"/>
      <c r="I1945" s="14"/>
      <c r="J1945" s="14" t="s">
        <v>23</v>
      </c>
      <c r="K1945" s="14"/>
      <c r="L1945" s="14"/>
      <c r="M1945" s="14" t="s">
        <v>1534</v>
      </c>
      <c r="N1945" s="25" t="s">
        <v>289</v>
      </c>
      <c r="O1945" s="14" t="s">
        <v>1555</v>
      </c>
      <c r="P1945" s="14"/>
      <c r="Q1945" s="14"/>
      <c r="R1945" s="14" t="s">
        <v>2333</v>
      </c>
    </row>
    <row r="1946" spans="1:1027" ht="15" customHeight="1">
      <c r="A1946" s="12">
        <v>2240</v>
      </c>
      <c r="B1946" s="13" t="s">
        <v>2994</v>
      </c>
      <c r="C1946" s="31"/>
      <c r="D1946" s="16">
        <v>647</v>
      </c>
      <c r="E1946" s="16" t="s">
        <v>2991</v>
      </c>
      <c r="F1946" s="15" t="s">
        <v>22</v>
      </c>
      <c r="G1946" s="18"/>
      <c r="H1946" s="58">
        <v>4</v>
      </c>
      <c r="I1946" s="16"/>
      <c r="J1946" s="14" t="s">
        <v>23</v>
      </c>
      <c r="K1946" s="18"/>
      <c r="L1946" s="18"/>
      <c r="M1946" s="18"/>
      <c r="N1946" s="18"/>
      <c r="O1946" s="18"/>
      <c r="P1946" s="18"/>
      <c r="Q1946" s="18"/>
      <c r="R1946" s="18"/>
    </row>
    <row r="1947" spans="1:1027" ht="15" customHeight="1">
      <c r="A1947" s="12">
        <v>1374</v>
      </c>
      <c r="B1947" s="13" t="s">
        <v>2995</v>
      </c>
      <c r="C1947" s="14"/>
      <c r="D1947" s="14" t="s">
        <v>2996</v>
      </c>
      <c r="E1947" s="14" t="s">
        <v>2430</v>
      </c>
      <c r="F1947" s="15" t="s">
        <v>22</v>
      </c>
      <c r="G1947" s="21"/>
      <c r="H1947" s="58"/>
      <c r="I1947" s="14"/>
      <c r="J1947" s="14" t="s">
        <v>23</v>
      </c>
      <c r="K1947" s="14"/>
      <c r="L1947" s="14"/>
      <c r="M1947" s="14" t="s">
        <v>1534</v>
      </c>
      <c r="N1947" s="14" t="s">
        <v>25</v>
      </c>
      <c r="O1947" s="14"/>
      <c r="P1947" s="14"/>
      <c r="Q1947" s="14"/>
      <c r="R1947" s="14" t="s">
        <v>2333</v>
      </c>
    </row>
    <row r="1948" spans="1:1027" ht="15" customHeight="1">
      <c r="A1948" s="12">
        <v>2241</v>
      </c>
      <c r="B1948" s="13" t="s">
        <v>2997</v>
      </c>
      <c r="C1948" s="31"/>
      <c r="D1948" s="16">
        <v>648</v>
      </c>
      <c r="E1948" s="14" t="s">
        <v>2430</v>
      </c>
      <c r="F1948" s="15" t="s">
        <v>22</v>
      </c>
      <c r="G1948" s="18"/>
      <c r="H1948" s="58"/>
      <c r="I1948" s="16"/>
      <c r="J1948" s="14" t="s">
        <v>23</v>
      </c>
      <c r="K1948" s="18"/>
      <c r="L1948" s="18"/>
      <c r="M1948" s="18"/>
      <c r="N1948" s="18"/>
      <c r="O1948" s="18"/>
      <c r="P1948" s="18"/>
      <c r="Q1948" s="18"/>
      <c r="R1948" s="18"/>
    </row>
    <row r="1949" spans="1:1027" ht="15" customHeight="1">
      <c r="A1949" s="12">
        <v>591</v>
      </c>
      <c r="B1949" s="13" t="s">
        <v>2998</v>
      </c>
      <c r="C1949" s="22"/>
      <c r="D1949" s="22" t="s">
        <v>2999</v>
      </c>
      <c r="E1949" s="14" t="s">
        <v>2430</v>
      </c>
      <c r="F1949" s="15" t="s">
        <v>22</v>
      </c>
      <c r="G1949" s="26"/>
      <c r="H1949" s="58"/>
      <c r="I1949" s="22"/>
      <c r="J1949" s="14" t="s">
        <v>23</v>
      </c>
      <c r="K1949" s="22"/>
      <c r="L1949" s="22"/>
      <c r="M1949" s="14" t="s">
        <v>1537</v>
      </c>
      <c r="N1949" s="14" t="s">
        <v>25</v>
      </c>
      <c r="O1949" s="22"/>
      <c r="P1949" s="14"/>
      <c r="Q1949" s="14"/>
      <c r="R1949" s="14" t="s">
        <v>2449</v>
      </c>
    </row>
    <row r="1950" spans="1:1027" ht="15" customHeight="1">
      <c r="A1950" s="12">
        <v>1375</v>
      </c>
      <c r="B1950" s="13" t="s">
        <v>3000</v>
      </c>
      <c r="C1950" s="14"/>
      <c r="D1950" s="14" t="s">
        <v>2999</v>
      </c>
      <c r="E1950" s="14" t="s">
        <v>2430</v>
      </c>
      <c r="F1950" s="15" t="s">
        <v>22</v>
      </c>
      <c r="G1950" s="21"/>
      <c r="H1950" s="58"/>
      <c r="I1950" s="14"/>
      <c r="J1950" s="14" t="s">
        <v>23</v>
      </c>
      <c r="K1950" s="14"/>
      <c r="L1950" s="14"/>
      <c r="M1950" s="14" t="s">
        <v>1534</v>
      </c>
      <c r="N1950" s="14" t="s">
        <v>25</v>
      </c>
      <c r="O1950" s="14"/>
      <c r="P1950" s="14"/>
      <c r="Q1950" s="14"/>
      <c r="R1950" s="14" t="s">
        <v>2333</v>
      </c>
    </row>
    <row r="1951" spans="1:1027" ht="15" customHeight="1">
      <c r="A1951" s="12">
        <v>2242</v>
      </c>
      <c r="B1951" s="13" t="s">
        <v>3001</v>
      </c>
      <c r="C1951" s="31"/>
      <c r="D1951" s="16">
        <v>649</v>
      </c>
      <c r="E1951" s="14" t="s">
        <v>2430</v>
      </c>
      <c r="F1951" s="15" t="s">
        <v>22</v>
      </c>
      <c r="G1951" s="18"/>
      <c r="H1951" s="58"/>
      <c r="I1951" s="16"/>
      <c r="J1951" s="14" t="s">
        <v>23</v>
      </c>
      <c r="K1951" s="18"/>
      <c r="L1951" s="18"/>
      <c r="M1951" s="18"/>
      <c r="N1951" s="18"/>
      <c r="O1951" s="18"/>
      <c r="P1951" s="18"/>
      <c r="Q1951" s="18"/>
      <c r="R1951" s="18"/>
    </row>
    <row r="1952" spans="1:1027" ht="15" customHeight="1">
      <c r="A1952" s="12">
        <v>592</v>
      </c>
      <c r="B1952" s="13" t="s">
        <v>3002</v>
      </c>
      <c r="C1952" s="22"/>
      <c r="D1952" s="22" t="s">
        <v>3003</v>
      </c>
      <c r="E1952" s="14" t="s">
        <v>2430</v>
      </c>
      <c r="F1952" s="15" t="s">
        <v>22</v>
      </c>
      <c r="G1952" s="26"/>
      <c r="H1952" s="58"/>
      <c r="I1952" s="22"/>
      <c r="J1952" s="14" t="s">
        <v>23</v>
      </c>
      <c r="K1952" s="22"/>
      <c r="L1952" s="22"/>
      <c r="M1952" s="14" t="s">
        <v>1537</v>
      </c>
      <c r="N1952" s="14" t="s">
        <v>25</v>
      </c>
      <c r="O1952" s="22"/>
      <c r="P1952" s="14"/>
      <c r="Q1952" s="14"/>
      <c r="R1952" s="14" t="s">
        <v>2449</v>
      </c>
    </row>
    <row r="1953" spans="1:18" ht="15" customHeight="1">
      <c r="A1953" s="12">
        <v>1376</v>
      </c>
      <c r="B1953" s="13" t="s">
        <v>3004</v>
      </c>
      <c r="C1953" s="14"/>
      <c r="D1953" s="14" t="s">
        <v>3003</v>
      </c>
      <c r="E1953" s="14" t="s">
        <v>2430</v>
      </c>
      <c r="F1953" s="15" t="s">
        <v>22</v>
      </c>
      <c r="G1953" s="21"/>
      <c r="H1953" s="58">
        <v>1</v>
      </c>
      <c r="I1953" s="14"/>
      <c r="J1953" s="14" t="s">
        <v>23</v>
      </c>
      <c r="K1953" s="14"/>
      <c r="L1953" s="14"/>
      <c r="M1953" s="14" t="s">
        <v>1534</v>
      </c>
      <c r="N1953" s="25" t="s">
        <v>37</v>
      </c>
      <c r="O1953" s="14" t="s">
        <v>1730</v>
      </c>
      <c r="P1953" s="14"/>
      <c r="Q1953" s="14"/>
      <c r="R1953" s="14" t="s">
        <v>2333</v>
      </c>
    </row>
    <row r="1954" spans="1:18" ht="15" customHeight="1">
      <c r="A1954" s="12">
        <v>2243</v>
      </c>
      <c r="B1954" s="13" t="s">
        <v>3005</v>
      </c>
      <c r="C1954" s="31"/>
      <c r="D1954" s="16">
        <v>650</v>
      </c>
      <c r="E1954" s="14" t="s">
        <v>2430</v>
      </c>
      <c r="F1954" s="15" t="s">
        <v>22</v>
      </c>
      <c r="G1954" s="18"/>
      <c r="H1954" s="58"/>
      <c r="I1954" s="16"/>
      <c r="J1954" s="14" t="s">
        <v>23</v>
      </c>
      <c r="K1954" s="18"/>
      <c r="L1954" s="18"/>
      <c r="M1954" s="18"/>
      <c r="N1954" s="18"/>
      <c r="O1954" s="18"/>
      <c r="P1954" s="18"/>
      <c r="Q1954" s="18"/>
      <c r="R1954" s="18"/>
    </row>
    <row r="1955" spans="1:18" ht="15" customHeight="1">
      <c r="A1955" s="12">
        <v>593</v>
      </c>
      <c r="B1955" s="13" t="s">
        <v>3006</v>
      </c>
      <c r="C1955" s="22"/>
      <c r="D1955" s="22" t="s">
        <v>3007</v>
      </c>
      <c r="E1955" s="14" t="s">
        <v>2430</v>
      </c>
      <c r="F1955" s="15" t="s">
        <v>22</v>
      </c>
      <c r="G1955" s="26"/>
      <c r="H1955" s="58"/>
      <c r="I1955" s="22"/>
      <c r="J1955" s="14" t="s">
        <v>23</v>
      </c>
      <c r="K1955" s="22"/>
      <c r="L1955" s="22"/>
      <c r="M1955" s="14" t="s">
        <v>1537</v>
      </c>
      <c r="N1955" s="14" t="s">
        <v>25</v>
      </c>
      <c r="O1955" s="22"/>
      <c r="P1955" s="14"/>
      <c r="Q1955" s="14"/>
      <c r="R1955" s="14" t="s">
        <v>2449</v>
      </c>
    </row>
    <row r="1956" spans="1:18" ht="15" customHeight="1">
      <c r="A1956" s="12">
        <v>1377</v>
      </c>
      <c r="B1956" s="13" t="s">
        <v>3008</v>
      </c>
      <c r="C1956" s="14"/>
      <c r="D1956" s="14" t="s">
        <v>3007</v>
      </c>
      <c r="E1956" s="14" t="s">
        <v>2430</v>
      </c>
      <c r="F1956" s="15" t="s">
        <v>22</v>
      </c>
      <c r="G1956" s="21"/>
      <c r="H1956" s="58">
        <v>1</v>
      </c>
      <c r="I1956" s="14"/>
      <c r="J1956" s="14" t="s">
        <v>23</v>
      </c>
      <c r="K1956" s="14"/>
      <c r="L1956" s="14"/>
      <c r="M1956" s="14" t="s">
        <v>1534</v>
      </c>
      <c r="N1956" s="14" t="s">
        <v>25</v>
      </c>
      <c r="O1956" s="14"/>
      <c r="P1956" s="14"/>
      <c r="Q1956" s="14"/>
      <c r="R1956" s="14" t="s">
        <v>2333</v>
      </c>
    </row>
    <row r="1957" spans="1:18" ht="15" customHeight="1">
      <c r="A1957" s="12">
        <v>2244</v>
      </c>
      <c r="B1957" s="13" t="s">
        <v>3009</v>
      </c>
      <c r="C1957" s="31"/>
      <c r="D1957" s="16">
        <v>651</v>
      </c>
      <c r="E1957" s="14" t="s">
        <v>2430</v>
      </c>
      <c r="F1957" s="15" t="s">
        <v>22</v>
      </c>
      <c r="G1957" s="18"/>
      <c r="H1957" s="58">
        <v>1</v>
      </c>
      <c r="I1957" s="16"/>
      <c r="J1957" s="14" t="s">
        <v>23</v>
      </c>
      <c r="K1957" s="18"/>
      <c r="L1957" s="18"/>
      <c r="M1957" s="18"/>
      <c r="N1957" s="18"/>
      <c r="O1957" s="18"/>
      <c r="P1957" s="18"/>
      <c r="Q1957" s="18"/>
      <c r="R1957" s="18"/>
    </row>
    <row r="1958" spans="1:18" ht="15" customHeight="1">
      <c r="A1958" s="12">
        <v>594</v>
      </c>
      <c r="B1958" s="13" t="s">
        <v>3010</v>
      </c>
      <c r="C1958" s="22"/>
      <c r="D1958" s="22" t="s">
        <v>3011</v>
      </c>
      <c r="E1958" s="14" t="s">
        <v>2430</v>
      </c>
      <c r="F1958" s="15" t="s">
        <v>22</v>
      </c>
      <c r="G1958" s="26"/>
      <c r="H1958" s="58"/>
      <c r="I1958" s="22"/>
      <c r="J1958" s="14" t="s">
        <v>23</v>
      </c>
      <c r="K1958" s="22"/>
      <c r="L1958" s="22"/>
      <c r="M1958" s="14" t="s">
        <v>1537</v>
      </c>
      <c r="N1958" s="14" t="s">
        <v>25</v>
      </c>
      <c r="O1958" s="22"/>
      <c r="P1958" s="14"/>
      <c r="Q1958" s="14"/>
      <c r="R1958" s="14" t="s">
        <v>2449</v>
      </c>
    </row>
    <row r="1959" spans="1:18" ht="15" customHeight="1">
      <c r="A1959" s="12">
        <v>1378</v>
      </c>
      <c r="B1959" s="13" t="s">
        <v>3012</v>
      </c>
      <c r="C1959" s="14"/>
      <c r="D1959" s="14" t="s">
        <v>3011</v>
      </c>
      <c r="E1959" s="14" t="s">
        <v>2430</v>
      </c>
      <c r="F1959" s="15" t="s">
        <v>22</v>
      </c>
      <c r="G1959" s="21"/>
      <c r="H1959" s="58">
        <v>1</v>
      </c>
      <c r="I1959" s="14"/>
      <c r="J1959" s="14" t="s">
        <v>23</v>
      </c>
      <c r="K1959" s="14"/>
      <c r="L1959" s="14"/>
      <c r="M1959" s="14" t="s">
        <v>1534</v>
      </c>
      <c r="N1959" s="25" t="s">
        <v>37</v>
      </c>
      <c r="O1959" s="14" t="s">
        <v>3013</v>
      </c>
      <c r="P1959" s="14"/>
      <c r="Q1959" s="14"/>
      <c r="R1959" s="14" t="s">
        <v>2652</v>
      </c>
    </row>
    <row r="1960" spans="1:18" ht="15" customHeight="1">
      <c r="A1960" s="12">
        <v>2245</v>
      </c>
      <c r="B1960" s="13" t="s">
        <v>3014</v>
      </c>
      <c r="C1960" s="31"/>
      <c r="D1960" s="16">
        <v>652</v>
      </c>
      <c r="E1960" s="14" t="s">
        <v>2430</v>
      </c>
      <c r="F1960" s="15" t="s">
        <v>22</v>
      </c>
      <c r="G1960" s="18"/>
      <c r="H1960" s="58"/>
      <c r="I1960" s="16"/>
      <c r="J1960" s="14" t="s">
        <v>23</v>
      </c>
      <c r="K1960" s="18"/>
      <c r="L1960" s="18"/>
      <c r="M1960" s="18"/>
      <c r="N1960" s="18"/>
      <c r="O1960" s="18"/>
      <c r="P1960" s="18"/>
      <c r="Q1960" s="18"/>
      <c r="R1960" s="18"/>
    </row>
    <row r="1961" spans="1:18" ht="15" customHeight="1">
      <c r="A1961" s="12">
        <v>595</v>
      </c>
      <c r="B1961" s="13" t="s">
        <v>3015</v>
      </c>
      <c r="C1961" s="22"/>
      <c r="D1961" s="22" t="s">
        <v>3016</v>
      </c>
      <c r="E1961" s="14" t="s">
        <v>2430</v>
      </c>
      <c r="F1961" s="15" t="s">
        <v>22</v>
      </c>
      <c r="G1961" s="26"/>
      <c r="H1961" s="58"/>
      <c r="I1961" s="22"/>
      <c r="J1961" s="14" t="s">
        <v>23</v>
      </c>
      <c r="K1961" s="22"/>
      <c r="L1961" s="22"/>
      <c r="M1961" s="14" t="s">
        <v>1537</v>
      </c>
      <c r="N1961" s="25" t="s">
        <v>37</v>
      </c>
      <c r="O1961" s="22" t="s">
        <v>38</v>
      </c>
      <c r="P1961" s="14"/>
      <c r="Q1961" s="14"/>
      <c r="R1961" s="14" t="s">
        <v>2449</v>
      </c>
    </row>
    <row r="1962" spans="1:18" ht="15" customHeight="1">
      <c r="A1962" s="12">
        <v>1379</v>
      </c>
      <c r="B1962" s="13" t="s">
        <v>3017</v>
      </c>
      <c r="C1962" s="14"/>
      <c r="D1962" s="14" t="s">
        <v>3016</v>
      </c>
      <c r="E1962" s="14" t="s">
        <v>2430</v>
      </c>
      <c r="F1962" s="15" t="s">
        <v>22</v>
      </c>
      <c r="G1962" s="21"/>
      <c r="H1962" s="58">
        <v>2</v>
      </c>
      <c r="I1962" s="14"/>
      <c r="J1962" s="14" t="s">
        <v>23</v>
      </c>
      <c r="K1962" s="14"/>
      <c r="L1962" s="14"/>
      <c r="M1962" s="14" t="s">
        <v>1534</v>
      </c>
      <c r="N1962" s="25" t="s">
        <v>37</v>
      </c>
      <c r="O1962" s="14" t="s">
        <v>3018</v>
      </c>
      <c r="P1962" s="14"/>
      <c r="Q1962" s="14"/>
      <c r="R1962" s="14" t="s">
        <v>2652</v>
      </c>
    </row>
    <row r="1963" spans="1:18" ht="15" customHeight="1">
      <c r="A1963" s="12">
        <v>2246</v>
      </c>
      <c r="B1963" s="13" t="s">
        <v>3019</v>
      </c>
      <c r="C1963" s="31"/>
      <c r="D1963" s="16">
        <v>653</v>
      </c>
      <c r="E1963" s="14" t="s">
        <v>2430</v>
      </c>
      <c r="F1963" s="15" t="s">
        <v>22</v>
      </c>
      <c r="G1963" s="18"/>
      <c r="H1963" s="58">
        <v>2</v>
      </c>
      <c r="I1963" s="16"/>
      <c r="J1963" s="14" t="s">
        <v>23</v>
      </c>
      <c r="K1963" s="18"/>
      <c r="L1963" s="18"/>
      <c r="M1963" s="18"/>
      <c r="N1963" s="18"/>
      <c r="O1963" s="18"/>
      <c r="P1963" s="18"/>
      <c r="Q1963" s="18"/>
      <c r="R1963" s="18"/>
    </row>
    <row r="1964" spans="1:18" ht="15" customHeight="1">
      <c r="A1964" s="12">
        <v>1380</v>
      </c>
      <c r="B1964" s="13" t="s">
        <v>3020</v>
      </c>
      <c r="C1964" s="14"/>
      <c r="D1964" s="14" t="s">
        <v>3021</v>
      </c>
      <c r="E1964" s="14" t="s">
        <v>2430</v>
      </c>
      <c r="F1964" s="15" t="s">
        <v>22</v>
      </c>
      <c r="G1964" s="21"/>
      <c r="H1964" s="58"/>
      <c r="I1964" s="14"/>
      <c r="J1964" s="14" t="s">
        <v>23</v>
      </c>
      <c r="K1964" s="14"/>
      <c r="L1964" s="14"/>
      <c r="M1964" s="14" t="s">
        <v>1534</v>
      </c>
      <c r="N1964" s="14" t="s">
        <v>25</v>
      </c>
      <c r="O1964" s="14"/>
      <c r="P1964" s="14"/>
      <c r="Q1964" s="14"/>
      <c r="R1964" s="14" t="s">
        <v>2652</v>
      </c>
    </row>
    <row r="1965" spans="1:18" ht="15" customHeight="1">
      <c r="A1965" s="12">
        <v>2247</v>
      </c>
      <c r="B1965" s="13" t="s">
        <v>3022</v>
      </c>
      <c r="C1965" s="31"/>
      <c r="D1965" s="16">
        <v>654</v>
      </c>
      <c r="E1965" s="14" t="s">
        <v>2430</v>
      </c>
      <c r="F1965" s="15" t="s">
        <v>22</v>
      </c>
      <c r="G1965" s="18"/>
      <c r="H1965" s="58"/>
      <c r="I1965" s="16"/>
      <c r="J1965" s="14" t="s">
        <v>23</v>
      </c>
      <c r="K1965" s="18"/>
      <c r="L1965" s="18"/>
      <c r="M1965" s="18"/>
      <c r="N1965" s="18"/>
      <c r="O1965" s="18"/>
      <c r="P1965" s="18"/>
      <c r="Q1965" s="18"/>
      <c r="R1965" s="18"/>
    </row>
    <row r="1966" spans="1:18" ht="15" customHeight="1">
      <c r="A1966" s="12">
        <v>596</v>
      </c>
      <c r="B1966" s="13" t="s">
        <v>3023</v>
      </c>
      <c r="C1966" s="22"/>
      <c r="D1966" s="22" t="s">
        <v>3024</v>
      </c>
      <c r="E1966" s="22"/>
      <c r="F1966" s="15" t="s">
        <v>22</v>
      </c>
      <c r="G1966" s="26"/>
      <c r="H1966" s="58"/>
      <c r="I1966" s="22"/>
      <c r="J1966" s="14" t="s">
        <v>23</v>
      </c>
      <c r="K1966" s="22"/>
      <c r="L1966" s="22"/>
      <c r="M1966" s="14" t="s">
        <v>1537</v>
      </c>
      <c r="N1966" s="14" t="s">
        <v>25</v>
      </c>
      <c r="O1966" s="22"/>
      <c r="P1966" s="14"/>
      <c r="Q1966" s="14"/>
      <c r="R1966" s="14" t="s">
        <v>2449</v>
      </c>
    </row>
    <row r="1967" spans="1:18" ht="15" customHeight="1">
      <c r="A1967" s="12">
        <v>1381</v>
      </c>
      <c r="B1967" s="13" t="s">
        <v>3025</v>
      </c>
      <c r="C1967" s="14"/>
      <c r="D1967" s="14" t="s">
        <v>3024</v>
      </c>
      <c r="E1967" s="14" t="s">
        <v>172</v>
      </c>
      <c r="F1967" s="15" t="s">
        <v>22</v>
      </c>
      <c r="G1967" s="21"/>
      <c r="H1967" s="58">
        <v>1</v>
      </c>
      <c r="I1967" s="14"/>
      <c r="J1967" s="14" t="s">
        <v>23</v>
      </c>
      <c r="K1967" s="14"/>
      <c r="L1967" s="14"/>
      <c r="M1967" s="14" t="s">
        <v>1534</v>
      </c>
      <c r="N1967" s="14" t="s">
        <v>25</v>
      </c>
      <c r="O1967" s="14"/>
      <c r="P1967" s="14"/>
      <c r="Q1967" s="14"/>
      <c r="R1967" s="14" t="s">
        <v>2652</v>
      </c>
    </row>
    <row r="1968" spans="1:18" ht="15" customHeight="1">
      <c r="A1968" s="12">
        <v>2248</v>
      </c>
      <c r="B1968" s="13" t="s">
        <v>3026</v>
      </c>
      <c r="C1968" s="31"/>
      <c r="D1968" s="16">
        <v>655</v>
      </c>
      <c r="E1968" s="16"/>
      <c r="F1968" s="15" t="s">
        <v>22</v>
      </c>
      <c r="G1968" s="18"/>
      <c r="H1968" s="58"/>
      <c r="I1968" s="16"/>
      <c r="J1968" s="14" t="s">
        <v>23</v>
      </c>
      <c r="K1968" s="18"/>
      <c r="L1968" s="18"/>
      <c r="M1968" s="18"/>
      <c r="N1968" s="18"/>
      <c r="O1968" s="18"/>
      <c r="P1968" s="18"/>
      <c r="Q1968" s="18"/>
      <c r="R1968" s="18"/>
    </row>
    <row r="1969" spans="1:18" ht="15" customHeight="1">
      <c r="A1969" s="12">
        <v>597</v>
      </c>
      <c r="B1969" s="13" t="s">
        <v>3027</v>
      </c>
      <c r="C1969" s="22"/>
      <c r="D1969" s="22" t="s">
        <v>3028</v>
      </c>
      <c r="E1969" s="22" t="s">
        <v>2626</v>
      </c>
      <c r="F1969" s="15" t="s">
        <v>22</v>
      </c>
      <c r="G1969" s="26"/>
      <c r="H1969" s="58"/>
      <c r="I1969" s="22"/>
      <c r="J1969" s="14" t="s">
        <v>23</v>
      </c>
      <c r="K1969" s="22"/>
      <c r="L1969" s="22"/>
      <c r="M1969" s="14" t="s">
        <v>1537</v>
      </c>
      <c r="N1969" s="14" t="s">
        <v>25</v>
      </c>
      <c r="O1969" s="22"/>
      <c r="P1969" s="14"/>
      <c r="Q1969" s="14"/>
      <c r="R1969" s="14" t="s">
        <v>2449</v>
      </c>
    </row>
    <row r="1970" spans="1:18" ht="15" customHeight="1">
      <c r="A1970" s="12">
        <v>1382</v>
      </c>
      <c r="B1970" s="13" t="s">
        <v>3029</v>
      </c>
      <c r="C1970" s="14"/>
      <c r="D1970" s="14" t="s">
        <v>3028</v>
      </c>
      <c r="E1970" s="22" t="s">
        <v>2626</v>
      </c>
      <c r="F1970" s="15" t="s">
        <v>22</v>
      </c>
      <c r="G1970" s="21"/>
      <c r="H1970" s="58">
        <v>1</v>
      </c>
      <c r="I1970" s="14"/>
      <c r="J1970" s="14" t="s">
        <v>23</v>
      </c>
      <c r="K1970" s="14"/>
      <c r="L1970" s="14"/>
      <c r="M1970" s="14" t="s">
        <v>1534</v>
      </c>
      <c r="N1970" s="25" t="s">
        <v>37</v>
      </c>
      <c r="O1970" s="14" t="s">
        <v>3030</v>
      </c>
      <c r="P1970" s="14"/>
      <c r="Q1970" s="14"/>
      <c r="R1970" s="14" t="s">
        <v>2652</v>
      </c>
    </row>
    <row r="1971" spans="1:18" ht="15" customHeight="1">
      <c r="A1971" s="12">
        <v>2249</v>
      </c>
      <c r="B1971" s="13" t="s">
        <v>3031</v>
      </c>
      <c r="C1971" s="31"/>
      <c r="D1971" s="16">
        <v>656</v>
      </c>
      <c r="E1971" s="22" t="s">
        <v>2626</v>
      </c>
      <c r="F1971" s="15" t="s">
        <v>22</v>
      </c>
      <c r="G1971" s="18"/>
      <c r="H1971" s="58">
        <v>1</v>
      </c>
      <c r="I1971" s="16"/>
      <c r="J1971" s="14" t="s">
        <v>23</v>
      </c>
      <c r="K1971" s="18"/>
      <c r="L1971" s="18"/>
      <c r="M1971" s="18"/>
      <c r="N1971" s="18"/>
      <c r="O1971" s="18"/>
      <c r="P1971" s="18"/>
      <c r="Q1971" s="18"/>
      <c r="R1971" s="18"/>
    </row>
    <row r="1972" spans="1:18" ht="15" customHeight="1">
      <c r="A1972" s="12">
        <v>598</v>
      </c>
      <c r="B1972" s="13" t="s">
        <v>3032</v>
      </c>
      <c r="C1972" s="22"/>
      <c r="D1972" s="22" t="s">
        <v>3033</v>
      </c>
      <c r="E1972" s="14" t="s">
        <v>21</v>
      </c>
      <c r="F1972" s="15" t="s">
        <v>22</v>
      </c>
      <c r="G1972" s="26"/>
      <c r="H1972" s="58"/>
      <c r="I1972" s="22"/>
      <c r="J1972" s="14" t="s">
        <v>23</v>
      </c>
      <c r="K1972" s="22"/>
      <c r="L1972" s="22"/>
      <c r="M1972" s="14" t="s">
        <v>1537</v>
      </c>
      <c r="N1972" s="25" t="s">
        <v>37</v>
      </c>
      <c r="O1972" s="22" t="s">
        <v>45</v>
      </c>
      <c r="P1972" s="14"/>
      <c r="Q1972" s="14"/>
      <c r="R1972" s="14" t="s">
        <v>2449</v>
      </c>
    </row>
    <row r="1973" spans="1:18" ht="15" customHeight="1">
      <c r="A1973" s="12">
        <v>1383</v>
      </c>
      <c r="B1973" s="13" t="s">
        <v>3034</v>
      </c>
      <c r="C1973" s="14"/>
      <c r="D1973" s="14" t="s">
        <v>3033</v>
      </c>
      <c r="E1973" s="14" t="s">
        <v>21</v>
      </c>
      <c r="F1973" s="15" t="s">
        <v>22</v>
      </c>
      <c r="G1973" s="21"/>
      <c r="H1973" s="58">
        <v>1</v>
      </c>
      <c r="I1973" s="14"/>
      <c r="J1973" s="14" t="s">
        <v>23</v>
      </c>
      <c r="K1973" s="14"/>
      <c r="L1973" s="14"/>
      <c r="M1973" s="14" t="s">
        <v>1534</v>
      </c>
      <c r="N1973" s="14" t="s">
        <v>25</v>
      </c>
      <c r="O1973" s="14"/>
      <c r="P1973" s="14"/>
      <c r="Q1973" s="14"/>
      <c r="R1973" s="14" t="s">
        <v>2652</v>
      </c>
    </row>
    <row r="1974" spans="1:18" ht="15" customHeight="1">
      <c r="A1974" s="12">
        <v>2250</v>
      </c>
      <c r="B1974" s="13" t="s">
        <v>3035</v>
      </c>
      <c r="C1974" s="31"/>
      <c r="D1974" s="16">
        <v>657</v>
      </c>
      <c r="E1974" s="14" t="s">
        <v>21</v>
      </c>
      <c r="F1974" s="15" t="s">
        <v>22</v>
      </c>
      <c r="G1974" s="18"/>
      <c r="H1974" s="58">
        <v>2</v>
      </c>
      <c r="I1974" s="16"/>
      <c r="J1974" s="14" t="s">
        <v>23</v>
      </c>
      <c r="K1974" s="18"/>
      <c r="L1974" s="18"/>
      <c r="M1974" s="18"/>
      <c r="N1974" s="18"/>
      <c r="O1974" s="18"/>
      <c r="P1974" s="18"/>
      <c r="Q1974" s="18"/>
      <c r="R1974" s="18"/>
    </row>
    <row r="1975" spans="1:18" ht="15" customHeight="1">
      <c r="A1975" s="12">
        <v>599</v>
      </c>
      <c r="B1975" s="13" t="s">
        <v>3036</v>
      </c>
      <c r="C1975" s="22"/>
      <c r="D1975" s="22" t="s">
        <v>3037</v>
      </c>
      <c r="E1975" s="14" t="s">
        <v>21</v>
      </c>
      <c r="F1975" s="15" t="s">
        <v>22</v>
      </c>
      <c r="G1975" s="26"/>
      <c r="H1975" s="58"/>
      <c r="I1975" s="22"/>
      <c r="J1975" s="14" t="s">
        <v>23</v>
      </c>
      <c r="K1975" s="22"/>
      <c r="L1975" s="22"/>
      <c r="M1975" s="14" t="s">
        <v>1537</v>
      </c>
      <c r="N1975" s="14" t="s">
        <v>25</v>
      </c>
      <c r="O1975" s="22"/>
      <c r="P1975" s="14"/>
      <c r="Q1975" s="14"/>
      <c r="R1975" s="14" t="s">
        <v>2449</v>
      </c>
    </row>
    <row r="1976" spans="1:18" ht="15" customHeight="1">
      <c r="A1976" s="12">
        <v>1384</v>
      </c>
      <c r="B1976" s="13" t="s">
        <v>3038</v>
      </c>
      <c r="C1976" s="14"/>
      <c r="D1976" s="14" t="s">
        <v>3037</v>
      </c>
      <c r="E1976" s="14" t="s">
        <v>21</v>
      </c>
      <c r="F1976" s="15" t="s">
        <v>22</v>
      </c>
      <c r="G1976" s="21"/>
      <c r="H1976" s="58">
        <v>1</v>
      </c>
      <c r="I1976" s="14"/>
      <c r="J1976" s="14" t="s">
        <v>23</v>
      </c>
      <c r="K1976" s="14"/>
      <c r="L1976" s="14"/>
      <c r="M1976" s="14" t="s">
        <v>1534</v>
      </c>
      <c r="N1976" s="14" t="s">
        <v>25</v>
      </c>
      <c r="O1976" s="14"/>
      <c r="P1976" s="14"/>
      <c r="Q1976" s="14"/>
      <c r="R1976" s="14" t="s">
        <v>2652</v>
      </c>
    </row>
    <row r="1977" spans="1:18" ht="15" customHeight="1">
      <c r="A1977" s="12">
        <v>2251</v>
      </c>
      <c r="B1977" s="13" t="s">
        <v>3039</v>
      </c>
      <c r="C1977" s="31"/>
      <c r="D1977" s="16">
        <v>658</v>
      </c>
      <c r="E1977" s="14" t="s">
        <v>21</v>
      </c>
      <c r="F1977" s="15" t="s">
        <v>22</v>
      </c>
      <c r="G1977" s="18"/>
      <c r="H1977" s="58"/>
      <c r="I1977" s="16"/>
      <c r="J1977" s="14" t="s">
        <v>23</v>
      </c>
      <c r="K1977" s="18"/>
      <c r="L1977" s="18"/>
      <c r="M1977" s="18"/>
      <c r="N1977" s="18"/>
      <c r="O1977" s="18"/>
      <c r="P1977" s="18"/>
      <c r="Q1977" s="18"/>
      <c r="R1977" s="18"/>
    </row>
    <row r="1978" spans="1:18" ht="15" customHeight="1">
      <c r="A1978" s="12">
        <v>600</v>
      </c>
      <c r="B1978" s="13" t="s">
        <v>3040</v>
      </c>
      <c r="C1978" s="22"/>
      <c r="D1978" s="22" t="s">
        <v>3041</v>
      </c>
      <c r="E1978" s="22" t="s">
        <v>2626</v>
      </c>
      <c r="F1978" s="15" t="s">
        <v>22</v>
      </c>
      <c r="G1978" s="26"/>
      <c r="H1978" s="58"/>
      <c r="I1978" s="22"/>
      <c r="J1978" s="14" t="s">
        <v>23</v>
      </c>
      <c r="K1978" s="22"/>
      <c r="L1978" s="22"/>
      <c r="M1978" s="14" t="s">
        <v>1537</v>
      </c>
      <c r="N1978" s="14" t="s">
        <v>25</v>
      </c>
      <c r="O1978" s="22"/>
      <c r="P1978" s="14"/>
      <c r="Q1978" s="14"/>
      <c r="R1978" s="14" t="s">
        <v>2449</v>
      </c>
    </row>
    <row r="1979" spans="1:18" ht="15" customHeight="1">
      <c r="A1979" s="12">
        <v>1385</v>
      </c>
      <c r="B1979" s="13" t="s">
        <v>3042</v>
      </c>
      <c r="C1979" s="14"/>
      <c r="D1979" s="14" t="s">
        <v>3041</v>
      </c>
      <c r="E1979" s="14" t="s">
        <v>2626</v>
      </c>
      <c r="F1979" s="15" t="s">
        <v>22</v>
      </c>
      <c r="G1979" s="21"/>
      <c r="H1979" s="58">
        <v>1</v>
      </c>
      <c r="I1979" s="14"/>
      <c r="J1979" s="14" t="s">
        <v>23</v>
      </c>
      <c r="K1979" s="14"/>
      <c r="L1979" s="14"/>
      <c r="M1979" s="14" t="s">
        <v>1534</v>
      </c>
      <c r="N1979" s="14" t="s">
        <v>25</v>
      </c>
      <c r="O1979" s="14"/>
      <c r="P1979" s="14"/>
      <c r="Q1979" s="14"/>
      <c r="R1979" s="14" t="s">
        <v>2652</v>
      </c>
    </row>
    <row r="1980" spans="1:18" ht="15" customHeight="1">
      <c r="A1980" s="12">
        <v>2252</v>
      </c>
      <c r="B1980" s="13" t="s">
        <v>3043</v>
      </c>
      <c r="C1980" s="31"/>
      <c r="D1980" s="16">
        <v>659</v>
      </c>
      <c r="E1980" s="16" t="s">
        <v>2626</v>
      </c>
      <c r="F1980" s="15" t="s">
        <v>22</v>
      </c>
      <c r="G1980" s="18"/>
      <c r="H1980" s="58">
        <v>1</v>
      </c>
      <c r="I1980" s="16"/>
      <c r="J1980" s="14" t="s">
        <v>23</v>
      </c>
      <c r="K1980" s="18"/>
      <c r="L1980" s="18"/>
      <c r="M1980" s="18"/>
      <c r="N1980" s="18"/>
      <c r="O1980" s="18"/>
      <c r="P1980" s="18"/>
      <c r="Q1980" s="18"/>
      <c r="R1980" s="18"/>
    </row>
    <row r="1981" spans="1:18" ht="15" customHeight="1">
      <c r="A1981" s="12">
        <v>601</v>
      </c>
      <c r="B1981" s="13" t="s">
        <v>3044</v>
      </c>
      <c r="C1981" s="22"/>
      <c r="D1981" s="22" t="s">
        <v>3045</v>
      </c>
      <c r="E1981" s="22" t="s">
        <v>2991</v>
      </c>
      <c r="F1981" s="15" t="s">
        <v>22</v>
      </c>
      <c r="G1981" s="26"/>
      <c r="H1981" s="58"/>
      <c r="I1981" s="22"/>
      <c r="J1981" s="14" t="s">
        <v>23</v>
      </c>
      <c r="K1981" s="22"/>
      <c r="L1981" s="22"/>
      <c r="M1981" s="14" t="s">
        <v>1537</v>
      </c>
      <c r="N1981" s="25" t="s">
        <v>37</v>
      </c>
      <c r="O1981" s="22" t="s">
        <v>38</v>
      </c>
      <c r="P1981" s="14"/>
      <c r="Q1981" s="14"/>
      <c r="R1981" s="14" t="s">
        <v>2449</v>
      </c>
    </row>
    <row r="1982" spans="1:18" ht="15" customHeight="1">
      <c r="A1982" s="12">
        <v>1386</v>
      </c>
      <c r="B1982" s="13" t="s">
        <v>3046</v>
      </c>
      <c r="C1982" s="14"/>
      <c r="D1982" s="14" t="s">
        <v>3045</v>
      </c>
      <c r="E1982" s="14" t="s">
        <v>2991</v>
      </c>
      <c r="F1982" s="15" t="s">
        <v>22</v>
      </c>
      <c r="G1982" s="21"/>
      <c r="H1982" s="58">
        <v>1</v>
      </c>
      <c r="I1982" s="14"/>
      <c r="J1982" s="14" t="s">
        <v>23</v>
      </c>
      <c r="K1982" s="14"/>
      <c r="L1982" s="14"/>
      <c r="M1982" s="14" t="s">
        <v>1534</v>
      </c>
      <c r="N1982" s="25" t="s">
        <v>289</v>
      </c>
      <c r="O1982" s="14" t="s">
        <v>3047</v>
      </c>
      <c r="P1982" s="14"/>
      <c r="Q1982" s="14"/>
      <c r="R1982" s="14" t="s">
        <v>2652</v>
      </c>
    </row>
    <row r="1983" spans="1:18" ht="15" customHeight="1">
      <c r="A1983" s="12">
        <v>2253</v>
      </c>
      <c r="B1983" s="13" t="s">
        <v>3048</v>
      </c>
      <c r="C1983" s="31"/>
      <c r="D1983" s="16">
        <v>660</v>
      </c>
      <c r="E1983" s="16" t="s">
        <v>2991</v>
      </c>
      <c r="F1983" s="15" t="s">
        <v>22</v>
      </c>
      <c r="G1983" s="18"/>
      <c r="H1983" s="58">
        <v>3</v>
      </c>
      <c r="I1983" s="16"/>
      <c r="J1983" s="14" t="s">
        <v>23</v>
      </c>
      <c r="K1983" s="18"/>
      <c r="L1983" s="18"/>
      <c r="M1983" s="18"/>
      <c r="N1983" s="18"/>
      <c r="O1983" s="18"/>
      <c r="P1983" s="18"/>
      <c r="Q1983" s="18"/>
      <c r="R1983" s="18"/>
    </row>
    <row r="1984" spans="1:18" ht="15" customHeight="1">
      <c r="A1984" s="12">
        <v>602</v>
      </c>
      <c r="B1984" s="13" t="s">
        <v>3049</v>
      </c>
      <c r="C1984" s="22"/>
      <c r="D1984" s="22" t="s">
        <v>3050</v>
      </c>
      <c r="E1984" s="22" t="s">
        <v>2626</v>
      </c>
      <c r="F1984" s="15" t="s">
        <v>22</v>
      </c>
      <c r="G1984" s="26"/>
      <c r="H1984" s="58"/>
      <c r="I1984" s="22"/>
      <c r="J1984" s="14" t="s">
        <v>23</v>
      </c>
      <c r="K1984" s="22"/>
      <c r="L1984" s="22"/>
      <c r="M1984" s="14" t="s">
        <v>1537</v>
      </c>
      <c r="N1984" s="14" t="s">
        <v>25</v>
      </c>
      <c r="O1984" s="22"/>
      <c r="P1984" s="14"/>
      <c r="Q1984" s="14"/>
      <c r="R1984" s="14" t="s">
        <v>2449</v>
      </c>
    </row>
    <row r="1985" spans="1:18" ht="15" customHeight="1">
      <c r="A1985" s="12">
        <v>1387</v>
      </c>
      <c r="B1985" s="13" t="s">
        <v>3051</v>
      </c>
      <c r="C1985" s="14"/>
      <c r="D1985" s="14" t="s">
        <v>3050</v>
      </c>
      <c r="E1985" s="14" t="s">
        <v>2626</v>
      </c>
      <c r="F1985" s="15" t="s">
        <v>22</v>
      </c>
      <c r="G1985" s="21"/>
      <c r="H1985" s="58"/>
      <c r="I1985" s="14"/>
      <c r="J1985" s="14" t="s">
        <v>23</v>
      </c>
      <c r="K1985" s="14"/>
      <c r="L1985" s="14"/>
      <c r="M1985" s="14" t="s">
        <v>1534</v>
      </c>
      <c r="N1985" s="14" t="s">
        <v>25</v>
      </c>
      <c r="O1985" s="14"/>
      <c r="P1985" s="14"/>
      <c r="Q1985" s="14"/>
      <c r="R1985" s="14" t="s">
        <v>2652</v>
      </c>
    </row>
    <row r="1986" spans="1:18" ht="15" customHeight="1">
      <c r="A1986" s="12">
        <v>2254</v>
      </c>
      <c r="B1986" s="13" t="s">
        <v>3052</v>
      </c>
      <c r="C1986" s="31"/>
      <c r="D1986" s="16">
        <v>661</v>
      </c>
      <c r="E1986" s="16" t="s">
        <v>2626</v>
      </c>
      <c r="F1986" s="15" t="s">
        <v>22</v>
      </c>
      <c r="G1986" s="18"/>
      <c r="H1986" s="58"/>
      <c r="I1986" s="16"/>
      <c r="J1986" s="14" t="s">
        <v>23</v>
      </c>
      <c r="K1986" s="18"/>
      <c r="L1986" s="18"/>
      <c r="M1986" s="18"/>
      <c r="N1986" s="18"/>
      <c r="O1986" s="18"/>
      <c r="P1986" s="18"/>
      <c r="Q1986" s="18"/>
      <c r="R1986" s="18"/>
    </row>
    <row r="1987" spans="1:18" ht="15" customHeight="1">
      <c r="A1987" s="12">
        <v>603</v>
      </c>
      <c r="B1987" s="13" t="s">
        <v>3053</v>
      </c>
      <c r="C1987" s="22"/>
      <c r="D1987" s="22" t="s">
        <v>3054</v>
      </c>
      <c r="E1987" s="22" t="s">
        <v>115</v>
      </c>
      <c r="F1987" s="15" t="s">
        <v>22</v>
      </c>
      <c r="G1987" s="26"/>
      <c r="H1987" s="58"/>
      <c r="I1987" s="22"/>
      <c r="J1987" s="14" t="s">
        <v>23</v>
      </c>
      <c r="K1987" s="22"/>
      <c r="L1987" s="22"/>
      <c r="M1987" s="14" t="s">
        <v>1537</v>
      </c>
      <c r="N1987" s="14" t="s">
        <v>25</v>
      </c>
      <c r="O1987" s="22"/>
      <c r="P1987" s="14"/>
      <c r="Q1987" s="14"/>
      <c r="R1987" s="14" t="s">
        <v>2449</v>
      </c>
    </row>
    <row r="1988" spans="1:18" ht="15" customHeight="1">
      <c r="A1988" s="12">
        <v>1388</v>
      </c>
      <c r="B1988" s="13" t="s">
        <v>3055</v>
      </c>
      <c r="C1988" s="14"/>
      <c r="D1988" s="14" t="s">
        <v>3054</v>
      </c>
      <c r="E1988" s="14" t="s">
        <v>115</v>
      </c>
      <c r="F1988" s="15" t="s">
        <v>22</v>
      </c>
      <c r="G1988" s="21"/>
      <c r="H1988" s="58"/>
      <c r="I1988" s="14"/>
      <c r="J1988" s="14" t="s">
        <v>23</v>
      </c>
      <c r="K1988" s="14"/>
      <c r="L1988" s="14"/>
      <c r="M1988" s="14" t="s">
        <v>1534</v>
      </c>
      <c r="N1988" s="14" t="s">
        <v>25</v>
      </c>
      <c r="O1988" s="14"/>
      <c r="P1988" s="14"/>
      <c r="Q1988" s="14"/>
      <c r="R1988" s="14" t="s">
        <v>2652</v>
      </c>
    </row>
    <row r="1989" spans="1:18" ht="15" customHeight="1">
      <c r="A1989" s="12">
        <v>2255</v>
      </c>
      <c r="B1989" s="13" t="s">
        <v>3056</v>
      </c>
      <c r="C1989" s="31"/>
      <c r="D1989" s="16">
        <v>662</v>
      </c>
      <c r="E1989" s="16" t="s">
        <v>115</v>
      </c>
      <c r="F1989" s="15" t="s">
        <v>22</v>
      </c>
      <c r="G1989" s="18"/>
      <c r="H1989" s="58">
        <v>0</v>
      </c>
      <c r="I1989" s="16"/>
      <c r="J1989" s="14" t="s">
        <v>23</v>
      </c>
      <c r="K1989" s="18"/>
      <c r="L1989" s="18"/>
      <c r="M1989" s="18"/>
      <c r="N1989" s="18"/>
      <c r="O1989" s="18"/>
      <c r="P1989" s="18"/>
      <c r="Q1989" s="18"/>
      <c r="R1989" s="18"/>
    </row>
    <row r="1990" spans="1:18" ht="15" customHeight="1">
      <c r="A1990" s="12">
        <v>604</v>
      </c>
      <c r="B1990" s="13" t="s">
        <v>3057</v>
      </c>
      <c r="C1990" s="22"/>
      <c r="D1990" s="22" t="s">
        <v>3058</v>
      </c>
      <c r="E1990" s="22" t="s">
        <v>2626</v>
      </c>
      <c r="F1990" s="15" t="s">
        <v>22</v>
      </c>
      <c r="G1990" s="26"/>
      <c r="H1990" s="58"/>
      <c r="I1990" s="22"/>
      <c r="J1990" s="14" t="s">
        <v>23</v>
      </c>
      <c r="K1990" s="22"/>
      <c r="L1990" s="22"/>
      <c r="M1990" s="14" t="s">
        <v>1537</v>
      </c>
      <c r="N1990" s="14" t="s">
        <v>25</v>
      </c>
      <c r="O1990" s="22"/>
      <c r="P1990" s="14"/>
      <c r="Q1990" s="14"/>
      <c r="R1990" s="14" t="s">
        <v>2449</v>
      </c>
    </row>
    <row r="1991" spans="1:18" ht="15" customHeight="1">
      <c r="A1991" s="12">
        <v>1389</v>
      </c>
      <c r="B1991" s="13" t="s">
        <v>3059</v>
      </c>
      <c r="C1991" s="14"/>
      <c r="D1991" s="14" t="s">
        <v>3058</v>
      </c>
      <c r="E1991" s="14" t="s">
        <v>2626</v>
      </c>
      <c r="F1991" s="15" t="s">
        <v>22</v>
      </c>
      <c r="G1991" s="21"/>
      <c r="H1991" s="58"/>
      <c r="I1991" s="14"/>
      <c r="J1991" s="14" t="s">
        <v>23</v>
      </c>
      <c r="K1991" s="14"/>
      <c r="L1991" s="14"/>
      <c r="M1991" s="14" t="s">
        <v>1534</v>
      </c>
      <c r="N1991" s="25" t="s">
        <v>289</v>
      </c>
      <c r="O1991" s="14" t="s">
        <v>3060</v>
      </c>
      <c r="P1991" s="14"/>
      <c r="Q1991" s="14"/>
      <c r="R1991" s="14" t="s">
        <v>2652</v>
      </c>
    </row>
    <row r="1992" spans="1:18" ht="15" customHeight="1">
      <c r="A1992" s="12">
        <v>2256</v>
      </c>
      <c r="B1992" s="13" t="s">
        <v>3061</v>
      </c>
      <c r="C1992" s="31"/>
      <c r="D1992" s="16">
        <v>663</v>
      </c>
      <c r="E1992" s="16" t="s">
        <v>2626</v>
      </c>
      <c r="F1992" s="15" t="s">
        <v>22</v>
      </c>
      <c r="G1992" s="18"/>
      <c r="H1992" s="58"/>
      <c r="I1992" s="16"/>
      <c r="J1992" s="14" t="s">
        <v>23</v>
      </c>
      <c r="K1992" s="18"/>
      <c r="L1992" s="18"/>
      <c r="M1992" s="18"/>
      <c r="N1992" s="18"/>
      <c r="O1992" s="18"/>
      <c r="P1992" s="18"/>
      <c r="Q1992" s="18"/>
      <c r="R1992" s="18"/>
    </row>
    <row r="1993" spans="1:18" ht="15" customHeight="1">
      <c r="A1993" s="12">
        <v>605</v>
      </c>
      <c r="B1993" s="13" t="s">
        <v>3062</v>
      </c>
      <c r="C1993" s="22"/>
      <c r="D1993" s="22" t="s">
        <v>3063</v>
      </c>
      <c r="E1993" s="22" t="s">
        <v>2626</v>
      </c>
      <c r="F1993" s="15" t="s">
        <v>22</v>
      </c>
      <c r="G1993" s="26"/>
      <c r="H1993" s="58"/>
      <c r="I1993" s="22"/>
      <c r="J1993" s="14" t="s">
        <v>23</v>
      </c>
      <c r="K1993" s="22"/>
      <c r="L1993" s="22"/>
      <c r="M1993" s="14" t="s">
        <v>1537</v>
      </c>
      <c r="N1993" s="14" t="s">
        <v>25</v>
      </c>
      <c r="O1993" s="22"/>
      <c r="P1993" s="14"/>
      <c r="Q1993" s="14"/>
      <c r="R1993" s="14" t="s">
        <v>2449</v>
      </c>
    </row>
    <row r="1994" spans="1:18" ht="15" customHeight="1">
      <c r="A1994" s="12">
        <v>1390</v>
      </c>
      <c r="B1994" s="13" t="s">
        <v>3064</v>
      </c>
      <c r="C1994" s="14"/>
      <c r="D1994" s="14" t="s">
        <v>3063</v>
      </c>
      <c r="E1994" s="14" t="s">
        <v>2626</v>
      </c>
      <c r="F1994" s="15" t="s">
        <v>22</v>
      </c>
      <c r="G1994" s="21"/>
      <c r="H1994" s="58"/>
      <c r="I1994" s="14"/>
      <c r="J1994" s="14" t="s">
        <v>23</v>
      </c>
      <c r="K1994" s="14"/>
      <c r="L1994" s="14"/>
      <c r="M1994" s="14" t="s">
        <v>1534</v>
      </c>
      <c r="N1994" s="14" t="s">
        <v>25</v>
      </c>
      <c r="O1994" s="14"/>
      <c r="P1994" s="14"/>
      <c r="Q1994" s="14"/>
      <c r="R1994" s="14" t="s">
        <v>2652</v>
      </c>
    </row>
    <row r="1995" spans="1:18" ht="15" customHeight="1">
      <c r="A1995" s="12">
        <v>2257</v>
      </c>
      <c r="B1995" s="13" t="s">
        <v>3065</v>
      </c>
      <c r="C1995" s="31"/>
      <c r="D1995" s="16">
        <v>664</v>
      </c>
      <c r="E1995" s="16" t="s">
        <v>2626</v>
      </c>
      <c r="F1995" s="15" t="s">
        <v>22</v>
      </c>
      <c r="G1995" s="18"/>
      <c r="H1995" s="58"/>
      <c r="I1995" s="16"/>
      <c r="J1995" s="14" t="s">
        <v>23</v>
      </c>
      <c r="K1995" s="18"/>
      <c r="L1995" s="18"/>
      <c r="M1995" s="18"/>
      <c r="N1995" s="18"/>
      <c r="O1995" s="18"/>
      <c r="P1995" s="18"/>
      <c r="Q1995" s="18"/>
      <c r="R1995" s="18"/>
    </row>
    <row r="1996" spans="1:18" ht="15" customHeight="1">
      <c r="A1996" s="12">
        <v>606</v>
      </c>
      <c r="B1996" s="13" t="s">
        <v>3066</v>
      </c>
      <c r="C1996" s="22"/>
      <c r="D1996" s="22" t="s">
        <v>3067</v>
      </c>
      <c r="E1996" s="14" t="s">
        <v>21</v>
      </c>
      <c r="F1996" s="15" t="s">
        <v>22</v>
      </c>
      <c r="G1996" s="26"/>
      <c r="H1996" s="58"/>
      <c r="I1996" s="22"/>
      <c r="J1996" s="14" t="s">
        <v>23</v>
      </c>
      <c r="K1996" s="22"/>
      <c r="L1996" s="22"/>
      <c r="M1996" s="14" t="s">
        <v>1537</v>
      </c>
      <c r="N1996" s="25" t="s">
        <v>37</v>
      </c>
      <c r="O1996" s="22" t="s">
        <v>179</v>
      </c>
      <c r="P1996" s="14"/>
      <c r="Q1996" s="14"/>
      <c r="R1996" s="14" t="s">
        <v>2449</v>
      </c>
    </row>
    <row r="1997" spans="1:18" ht="15" customHeight="1">
      <c r="A1997" s="12">
        <v>1391</v>
      </c>
      <c r="B1997" s="13" t="s">
        <v>3068</v>
      </c>
      <c r="C1997" s="14"/>
      <c r="D1997" s="14" t="s">
        <v>3067</v>
      </c>
      <c r="E1997" s="14" t="s">
        <v>21</v>
      </c>
      <c r="F1997" s="15" t="s">
        <v>22</v>
      </c>
      <c r="G1997" s="21"/>
      <c r="H1997" s="58">
        <v>2</v>
      </c>
      <c r="I1997" s="14"/>
      <c r="J1997" s="14" t="s">
        <v>23</v>
      </c>
      <c r="K1997" s="14"/>
      <c r="L1997" s="14"/>
      <c r="M1997" s="14" t="s">
        <v>1534</v>
      </c>
      <c r="N1997" s="25" t="s">
        <v>37</v>
      </c>
      <c r="O1997" s="14" t="s">
        <v>789</v>
      </c>
      <c r="P1997" s="14"/>
      <c r="Q1997" s="14"/>
      <c r="R1997" s="14" t="s">
        <v>2652</v>
      </c>
    </row>
    <row r="1998" spans="1:18" ht="15" customHeight="1">
      <c r="A1998" s="12">
        <v>2258</v>
      </c>
      <c r="B1998" s="13" t="s">
        <v>3069</v>
      </c>
      <c r="C1998" s="31"/>
      <c r="D1998" s="16">
        <v>665</v>
      </c>
      <c r="E1998" s="14" t="s">
        <v>21</v>
      </c>
      <c r="F1998" s="15" t="s">
        <v>22</v>
      </c>
      <c r="G1998" s="18"/>
      <c r="H1998" s="58">
        <v>3</v>
      </c>
      <c r="I1998" s="16"/>
      <c r="J1998" s="14" t="s">
        <v>23</v>
      </c>
      <c r="K1998" s="18"/>
      <c r="L1998" s="18"/>
      <c r="M1998" s="18"/>
      <c r="N1998" s="18"/>
      <c r="O1998" s="18"/>
      <c r="P1998" s="18"/>
      <c r="Q1998" s="18"/>
      <c r="R1998" s="18"/>
    </row>
    <row r="1999" spans="1:18" ht="15" customHeight="1">
      <c r="A1999" s="12">
        <v>607</v>
      </c>
      <c r="B1999" s="13" t="s">
        <v>3070</v>
      </c>
      <c r="C1999" s="22"/>
      <c r="D1999" s="22" t="s">
        <v>3071</v>
      </c>
      <c r="E1999" s="22"/>
      <c r="F1999" s="15" t="s">
        <v>22</v>
      </c>
      <c r="G1999" s="26"/>
      <c r="H1999" s="58"/>
      <c r="I1999" s="22"/>
      <c r="J1999" s="14" t="s">
        <v>23</v>
      </c>
      <c r="K1999" s="22"/>
      <c r="L1999" s="22"/>
      <c r="M1999" s="14" t="s">
        <v>1537</v>
      </c>
      <c r="N1999" s="14" t="s">
        <v>25</v>
      </c>
      <c r="O1999" s="22"/>
      <c r="P1999" s="14"/>
      <c r="Q1999" s="14"/>
      <c r="R1999" s="14" t="s">
        <v>2449</v>
      </c>
    </row>
    <row r="2000" spans="1:18" ht="15" customHeight="1">
      <c r="A2000" s="12">
        <v>1392</v>
      </c>
      <c r="B2000" s="13" t="s">
        <v>3072</v>
      </c>
      <c r="C2000" s="14"/>
      <c r="D2000" s="14" t="s">
        <v>3071</v>
      </c>
      <c r="E2000" s="14" t="s">
        <v>172</v>
      </c>
      <c r="F2000" s="15" t="s">
        <v>22</v>
      </c>
      <c r="G2000" s="21"/>
      <c r="H2000" s="58">
        <v>1</v>
      </c>
      <c r="I2000" s="14"/>
      <c r="J2000" s="14" t="s">
        <v>23</v>
      </c>
      <c r="K2000" s="14"/>
      <c r="L2000" s="14"/>
      <c r="M2000" s="14" t="s">
        <v>1534</v>
      </c>
      <c r="N2000" s="14" t="s">
        <v>25</v>
      </c>
      <c r="O2000" s="14"/>
      <c r="P2000" s="14"/>
      <c r="Q2000" s="14"/>
      <c r="R2000" s="14" t="s">
        <v>2652</v>
      </c>
    </row>
    <row r="2001" spans="1:18" ht="15" customHeight="1">
      <c r="A2001" s="12">
        <v>2259</v>
      </c>
      <c r="B2001" s="13" t="s">
        <v>3073</v>
      </c>
      <c r="C2001" s="31"/>
      <c r="D2001" s="16">
        <v>666</v>
      </c>
      <c r="E2001" s="16"/>
      <c r="F2001" s="15" t="s">
        <v>22</v>
      </c>
      <c r="G2001" s="18"/>
      <c r="H2001" s="58">
        <v>1</v>
      </c>
      <c r="I2001" s="16"/>
      <c r="J2001" s="14" t="s">
        <v>23</v>
      </c>
      <c r="K2001" s="18"/>
      <c r="L2001" s="18"/>
      <c r="M2001" s="18"/>
      <c r="N2001" s="18"/>
      <c r="O2001" s="18"/>
      <c r="P2001" s="18"/>
      <c r="Q2001" s="18"/>
      <c r="R2001" s="18"/>
    </row>
    <row r="2002" spans="1:18" ht="15" customHeight="1">
      <c r="A2002" s="12">
        <v>608</v>
      </c>
      <c r="B2002" s="13" t="s">
        <v>3074</v>
      </c>
      <c r="C2002" s="22"/>
      <c r="D2002" s="22" t="s">
        <v>3075</v>
      </c>
      <c r="E2002" s="22" t="s">
        <v>2991</v>
      </c>
      <c r="F2002" s="15" t="s">
        <v>22</v>
      </c>
      <c r="G2002" s="26"/>
      <c r="H2002" s="58"/>
      <c r="I2002" s="22"/>
      <c r="J2002" s="14" t="s">
        <v>23</v>
      </c>
      <c r="K2002" s="22"/>
      <c r="L2002" s="22"/>
      <c r="M2002" s="14" t="s">
        <v>1537</v>
      </c>
      <c r="N2002" s="25" t="s">
        <v>37</v>
      </c>
      <c r="O2002" s="22" t="s">
        <v>221</v>
      </c>
      <c r="P2002" s="14"/>
      <c r="Q2002" s="14"/>
      <c r="R2002" s="14" t="s">
        <v>2449</v>
      </c>
    </row>
    <row r="2003" spans="1:18" ht="15" customHeight="1">
      <c r="A2003" s="12">
        <v>1393</v>
      </c>
      <c r="B2003" s="13" t="s">
        <v>3076</v>
      </c>
      <c r="C2003" s="14"/>
      <c r="D2003" s="14" t="s">
        <v>3075</v>
      </c>
      <c r="E2003" s="14" t="s">
        <v>2991</v>
      </c>
      <c r="F2003" s="15" t="s">
        <v>22</v>
      </c>
      <c r="G2003" s="21"/>
      <c r="H2003" s="58">
        <v>1</v>
      </c>
      <c r="I2003" s="14"/>
      <c r="J2003" s="14" t="s">
        <v>23</v>
      </c>
      <c r="K2003" s="14"/>
      <c r="L2003" s="14"/>
      <c r="M2003" s="14" t="s">
        <v>1534</v>
      </c>
      <c r="N2003" s="25" t="s">
        <v>37</v>
      </c>
      <c r="O2003" s="14" t="s">
        <v>3077</v>
      </c>
      <c r="P2003" s="14"/>
      <c r="Q2003" s="14"/>
      <c r="R2003" s="14" t="s">
        <v>2652</v>
      </c>
    </row>
    <row r="2004" spans="1:18" ht="15" customHeight="1">
      <c r="A2004" s="12">
        <v>2260</v>
      </c>
      <c r="B2004" s="13" t="s">
        <v>3078</v>
      </c>
      <c r="C2004" s="31"/>
      <c r="D2004" s="16">
        <v>667</v>
      </c>
      <c r="E2004" s="16" t="s">
        <v>2991</v>
      </c>
      <c r="F2004" s="15" t="s">
        <v>22</v>
      </c>
      <c r="G2004" s="18"/>
      <c r="H2004" s="58">
        <v>2</v>
      </c>
      <c r="I2004" s="16"/>
      <c r="J2004" s="14" t="s">
        <v>23</v>
      </c>
      <c r="K2004" s="18"/>
      <c r="L2004" s="18"/>
      <c r="M2004" s="18"/>
      <c r="N2004" s="18"/>
      <c r="O2004" s="18"/>
      <c r="P2004" s="18"/>
      <c r="Q2004" s="18"/>
      <c r="R2004" s="18"/>
    </row>
    <row r="2005" spans="1:18" ht="15" customHeight="1">
      <c r="A2005" s="12">
        <v>609</v>
      </c>
      <c r="B2005" s="13" t="s">
        <v>3079</v>
      </c>
      <c r="C2005" s="22"/>
      <c r="D2005" s="22" t="s">
        <v>3080</v>
      </c>
      <c r="E2005" s="22" t="s">
        <v>2991</v>
      </c>
      <c r="F2005" s="15" t="s">
        <v>22</v>
      </c>
      <c r="G2005" s="26"/>
      <c r="H2005" s="58"/>
      <c r="I2005" s="22"/>
      <c r="J2005" s="14" t="s">
        <v>23</v>
      </c>
      <c r="K2005" s="22"/>
      <c r="L2005" s="22"/>
      <c r="M2005" s="14" t="s">
        <v>1537</v>
      </c>
      <c r="N2005" s="14" t="s">
        <v>25</v>
      </c>
      <c r="O2005" s="22"/>
      <c r="P2005" s="14"/>
      <c r="Q2005" s="14"/>
      <c r="R2005" s="14" t="s">
        <v>2449</v>
      </c>
    </row>
    <row r="2006" spans="1:18" ht="15" customHeight="1">
      <c r="A2006" s="12">
        <v>1394</v>
      </c>
      <c r="B2006" s="13" t="s">
        <v>3081</v>
      </c>
      <c r="C2006" s="14"/>
      <c r="D2006" s="14" t="s">
        <v>3080</v>
      </c>
      <c r="E2006" s="14" t="s">
        <v>2991</v>
      </c>
      <c r="F2006" s="15" t="s">
        <v>22</v>
      </c>
      <c r="G2006" s="21"/>
      <c r="H2006" s="58">
        <v>2</v>
      </c>
      <c r="I2006" s="14"/>
      <c r="J2006" s="14" t="s">
        <v>23</v>
      </c>
      <c r="K2006" s="14"/>
      <c r="L2006" s="14"/>
      <c r="M2006" s="14" t="s">
        <v>1534</v>
      </c>
      <c r="N2006" s="25" t="s">
        <v>37</v>
      </c>
      <c r="O2006" s="14" t="s">
        <v>3082</v>
      </c>
      <c r="P2006" s="14"/>
      <c r="Q2006" s="14"/>
      <c r="R2006" s="14" t="s">
        <v>2652</v>
      </c>
    </row>
    <row r="2007" spans="1:18" ht="15" customHeight="1">
      <c r="A2007" s="12">
        <v>2261</v>
      </c>
      <c r="B2007" s="13" t="s">
        <v>3083</v>
      </c>
      <c r="C2007" s="31"/>
      <c r="D2007" s="16">
        <v>668</v>
      </c>
      <c r="E2007" s="16" t="s">
        <v>2991</v>
      </c>
      <c r="F2007" s="15" t="s">
        <v>22</v>
      </c>
      <c r="G2007" s="18"/>
      <c r="H2007" s="58">
        <v>2</v>
      </c>
      <c r="I2007" s="16"/>
      <c r="J2007" s="14" t="s">
        <v>23</v>
      </c>
      <c r="K2007" s="18"/>
      <c r="L2007" s="18"/>
      <c r="M2007" s="18"/>
      <c r="N2007" s="18"/>
      <c r="O2007" s="18"/>
      <c r="P2007" s="18"/>
      <c r="Q2007" s="18"/>
      <c r="R2007" s="18"/>
    </row>
    <row r="2008" spans="1:18" ht="15" customHeight="1">
      <c r="A2008" s="12">
        <v>610</v>
      </c>
      <c r="B2008" s="13" t="s">
        <v>3084</v>
      </c>
      <c r="C2008" s="22"/>
      <c r="D2008" s="22" t="s">
        <v>3085</v>
      </c>
      <c r="E2008" s="22" t="s">
        <v>2991</v>
      </c>
      <c r="F2008" s="15" t="s">
        <v>22</v>
      </c>
      <c r="G2008" s="26"/>
      <c r="H2008" s="58"/>
      <c r="I2008" s="22"/>
      <c r="J2008" s="14" t="s">
        <v>23</v>
      </c>
      <c r="K2008" s="22"/>
      <c r="L2008" s="22"/>
      <c r="M2008" s="14" t="s">
        <v>1537</v>
      </c>
      <c r="N2008" s="14" t="s">
        <v>25</v>
      </c>
      <c r="O2008" s="22"/>
      <c r="P2008" s="14"/>
      <c r="Q2008" s="14"/>
      <c r="R2008" s="14" t="s">
        <v>2449</v>
      </c>
    </row>
    <row r="2009" spans="1:18" ht="15" customHeight="1">
      <c r="A2009" s="12">
        <v>1395</v>
      </c>
      <c r="B2009" s="13" t="s">
        <v>3086</v>
      </c>
      <c r="C2009" s="14"/>
      <c r="D2009" s="14" t="s">
        <v>3085</v>
      </c>
      <c r="E2009" s="14" t="s">
        <v>2991</v>
      </c>
      <c r="F2009" s="15" t="s">
        <v>22</v>
      </c>
      <c r="G2009" s="21"/>
      <c r="H2009" s="58">
        <v>1</v>
      </c>
      <c r="I2009" s="14"/>
      <c r="J2009" s="14" t="s">
        <v>23</v>
      </c>
      <c r="K2009" s="14"/>
      <c r="L2009" s="14"/>
      <c r="M2009" s="14" t="s">
        <v>1534</v>
      </c>
      <c r="N2009" s="14" t="s">
        <v>25</v>
      </c>
      <c r="O2009" s="14"/>
      <c r="P2009" s="14"/>
      <c r="Q2009" s="14"/>
      <c r="R2009" s="14" t="s">
        <v>2652</v>
      </c>
    </row>
    <row r="2010" spans="1:18" ht="15" customHeight="1">
      <c r="A2010" s="12">
        <v>2262</v>
      </c>
      <c r="B2010" s="13" t="s">
        <v>3087</v>
      </c>
      <c r="C2010" s="31"/>
      <c r="D2010" s="16">
        <v>669</v>
      </c>
      <c r="E2010" s="16" t="s">
        <v>2991</v>
      </c>
      <c r="F2010" s="15" t="s">
        <v>22</v>
      </c>
      <c r="G2010" s="18"/>
      <c r="H2010" s="58">
        <v>1</v>
      </c>
      <c r="I2010" s="16"/>
      <c r="J2010" s="14" t="s">
        <v>23</v>
      </c>
      <c r="K2010" s="18"/>
      <c r="L2010" s="18"/>
      <c r="M2010" s="18"/>
      <c r="N2010" s="18"/>
      <c r="O2010" s="18"/>
      <c r="P2010" s="18"/>
      <c r="Q2010" s="18"/>
      <c r="R2010" s="18"/>
    </row>
    <row r="2011" spans="1:18" ht="15" customHeight="1">
      <c r="A2011" s="12">
        <v>611</v>
      </c>
      <c r="B2011" s="13" t="s">
        <v>3088</v>
      </c>
      <c r="C2011" s="22"/>
      <c r="D2011" s="22" t="s">
        <v>3089</v>
      </c>
      <c r="E2011" s="14" t="s">
        <v>21</v>
      </c>
      <c r="F2011" s="15" t="s">
        <v>22</v>
      </c>
      <c r="G2011" s="26"/>
      <c r="H2011" s="58"/>
      <c r="I2011" s="22"/>
      <c r="J2011" s="14" t="s">
        <v>23</v>
      </c>
      <c r="K2011" s="22"/>
      <c r="L2011" s="22"/>
      <c r="M2011" s="14" t="s">
        <v>1537</v>
      </c>
      <c r="N2011" s="14" t="s">
        <v>25</v>
      </c>
      <c r="O2011" s="22"/>
      <c r="P2011" s="14"/>
      <c r="Q2011" s="14"/>
      <c r="R2011" s="14" t="s">
        <v>2449</v>
      </c>
    </row>
    <row r="2012" spans="1:18" ht="15" customHeight="1">
      <c r="A2012" s="12">
        <v>1396</v>
      </c>
      <c r="B2012" s="13" t="s">
        <v>3090</v>
      </c>
      <c r="C2012" s="14"/>
      <c r="D2012" s="14" t="s">
        <v>3089</v>
      </c>
      <c r="E2012" s="14" t="s">
        <v>21</v>
      </c>
      <c r="F2012" s="15" t="s">
        <v>22</v>
      </c>
      <c r="G2012" s="21"/>
      <c r="H2012" s="58">
        <v>1</v>
      </c>
      <c r="I2012" s="14"/>
      <c r="J2012" s="14" t="s">
        <v>23</v>
      </c>
      <c r="K2012" s="14"/>
      <c r="L2012" s="14"/>
      <c r="M2012" s="14" t="s">
        <v>1534</v>
      </c>
      <c r="N2012" s="14" t="s">
        <v>25</v>
      </c>
      <c r="O2012" s="14"/>
      <c r="P2012" s="14"/>
      <c r="Q2012" s="14"/>
      <c r="R2012" s="14" t="s">
        <v>2652</v>
      </c>
    </row>
    <row r="2013" spans="1:18" ht="15" customHeight="1">
      <c r="A2013" s="12">
        <v>2263</v>
      </c>
      <c r="B2013" s="13" t="s">
        <v>3091</v>
      </c>
      <c r="C2013" s="31"/>
      <c r="D2013" s="16">
        <v>670</v>
      </c>
      <c r="E2013" s="14" t="s">
        <v>21</v>
      </c>
      <c r="F2013" s="15" t="s">
        <v>22</v>
      </c>
      <c r="G2013" s="18"/>
      <c r="H2013" s="58">
        <v>1</v>
      </c>
      <c r="I2013" s="18"/>
      <c r="J2013" s="14" t="s">
        <v>23</v>
      </c>
      <c r="K2013" s="18"/>
      <c r="L2013" s="18"/>
      <c r="M2013" s="18"/>
      <c r="N2013" s="18"/>
      <c r="O2013" s="18"/>
      <c r="P2013" s="18"/>
      <c r="Q2013" s="18"/>
      <c r="R2013" s="18"/>
    </row>
    <row r="2014" spans="1:18" ht="15" customHeight="1">
      <c r="A2014" s="12">
        <v>749</v>
      </c>
      <c r="B2014" s="13" t="s">
        <v>3092</v>
      </c>
      <c r="C2014" s="14"/>
      <c r="D2014" s="14" t="s">
        <v>3093</v>
      </c>
      <c r="E2014" s="14" t="s">
        <v>137</v>
      </c>
      <c r="F2014" s="15" t="s">
        <v>22</v>
      </c>
      <c r="G2014" s="21"/>
      <c r="H2014" s="58"/>
      <c r="I2014" s="14"/>
      <c r="J2014" s="14" t="s">
        <v>23</v>
      </c>
      <c r="K2014" s="14"/>
      <c r="L2014" s="14"/>
      <c r="M2014" s="14" t="s">
        <v>1819</v>
      </c>
      <c r="N2014" s="14" t="s">
        <v>25</v>
      </c>
      <c r="O2014" s="14"/>
      <c r="P2014" s="14"/>
      <c r="Q2014" s="14"/>
      <c r="R2014" s="14" t="s">
        <v>1820</v>
      </c>
    </row>
    <row r="2015" spans="1:18" ht="15" customHeight="1">
      <c r="A2015" s="12">
        <v>1475</v>
      </c>
      <c r="B2015" s="13" t="s">
        <v>3094</v>
      </c>
      <c r="C2015" s="14"/>
      <c r="D2015" s="14" t="s">
        <v>3093</v>
      </c>
      <c r="E2015" s="14" t="s">
        <v>137</v>
      </c>
      <c r="F2015" s="15" t="s">
        <v>22</v>
      </c>
      <c r="G2015" s="21"/>
      <c r="H2015" s="58">
        <v>1</v>
      </c>
      <c r="I2015" s="14"/>
      <c r="J2015" s="14" t="s">
        <v>23</v>
      </c>
      <c r="K2015" s="14"/>
      <c r="L2015" s="14"/>
      <c r="M2015" s="14" t="s">
        <v>2651</v>
      </c>
      <c r="N2015" s="14" t="s">
        <v>25</v>
      </c>
      <c r="O2015" s="14"/>
      <c r="P2015" s="14"/>
      <c r="Q2015" s="14"/>
      <c r="R2015" s="14" t="s">
        <v>1824</v>
      </c>
    </row>
    <row r="2016" spans="1:18" ht="15" customHeight="1">
      <c r="A2016" s="12">
        <v>2264</v>
      </c>
      <c r="B2016" s="13" t="s">
        <v>3095</v>
      </c>
      <c r="C2016" s="31"/>
      <c r="D2016" s="16">
        <v>671</v>
      </c>
      <c r="E2016" s="14" t="s">
        <v>137</v>
      </c>
      <c r="F2016" s="15" t="s">
        <v>22</v>
      </c>
      <c r="G2016" s="18"/>
      <c r="H2016" s="58"/>
      <c r="I2016" s="18"/>
      <c r="J2016" s="14" t="s">
        <v>23</v>
      </c>
      <c r="K2016" s="18"/>
      <c r="L2016" s="18"/>
      <c r="M2016" s="18"/>
      <c r="N2016" s="18"/>
      <c r="O2016" s="18"/>
      <c r="P2016" s="18"/>
      <c r="Q2016" s="18"/>
      <c r="R2016" s="18"/>
    </row>
    <row r="2017" spans="1:18" ht="15" customHeight="1">
      <c r="A2017" s="12">
        <v>750</v>
      </c>
      <c r="B2017" s="13" t="s">
        <v>3096</v>
      </c>
      <c r="C2017" s="14"/>
      <c r="D2017" s="14" t="s">
        <v>3097</v>
      </c>
      <c r="E2017" s="44" t="s">
        <v>172</v>
      </c>
      <c r="F2017" s="15" t="s">
        <v>22</v>
      </c>
      <c r="G2017" s="21"/>
      <c r="H2017" s="58"/>
      <c r="I2017" s="14"/>
      <c r="J2017" s="14" t="s">
        <v>23</v>
      </c>
      <c r="K2017" s="14"/>
      <c r="L2017" s="14"/>
      <c r="M2017" s="14" t="s">
        <v>1819</v>
      </c>
      <c r="N2017" s="25" t="s">
        <v>37</v>
      </c>
      <c r="O2017" s="14" t="s">
        <v>179</v>
      </c>
      <c r="P2017" s="14"/>
      <c r="Q2017" s="14"/>
      <c r="R2017" s="14" t="s">
        <v>3098</v>
      </c>
    </row>
    <row r="2018" spans="1:18" ht="15.75" customHeight="1">
      <c r="A2018" s="12">
        <v>1476</v>
      </c>
      <c r="B2018" s="13" t="s">
        <v>3099</v>
      </c>
      <c r="C2018" s="14"/>
      <c r="D2018" s="14" t="s">
        <v>3097</v>
      </c>
      <c r="E2018" s="14" t="s">
        <v>172</v>
      </c>
      <c r="F2018" s="15" t="s">
        <v>22</v>
      </c>
      <c r="G2018" s="21"/>
      <c r="H2018" s="58">
        <v>2</v>
      </c>
      <c r="I2018" s="14"/>
      <c r="J2018" s="14" t="s">
        <v>23</v>
      </c>
      <c r="K2018" s="14"/>
      <c r="L2018" s="14"/>
      <c r="M2018" s="14" t="s">
        <v>2651</v>
      </c>
      <c r="N2018" s="25" t="s">
        <v>37</v>
      </c>
      <c r="O2018" s="14" t="s">
        <v>3100</v>
      </c>
      <c r="P2018" s="14"/>
      <c r="Q2018" s="14"/>
      <c r="R2018" s="14" t="s">
        <v>1824</v>
      </c>
    </row>
    <row r="2019" spans="1:18" ht="15" customHeight="1">
      <c r="A2019" s="12">
        <v>2265</v>
      </c>
      <c r="B2019" s="13" t="s">
        <v>3101</v>
      </c>
      <c r="C2019" s="31"/>
      <c r="D2019" s="16">
        <v>672</v>
      </c>
      <c r="E2019" s="16" t="s">
        <v>172</v>
      </c>
      <c r="F2019" s="15" t="s">
        <v>22</v>
      </c>
      <c r="G2019" s="18"/>
      <c r="H2019" s="58"/>
      <c r="I2019" s="18"/>
      <c r="J2019" s="14" t="s">
        <v>23</v>
      </c>
      <c r="K2019" s="18"/>
      <c r="L2019" s="18"/>
      <c r="M2019" s="18"/>
      <c r="N2019" s="18"/>
      <c r="O2019" s="18"/>
      <c r="P2019" s="18"/>
      <c r="Q2019" s="18"/>
      <c r="R2019" s="18"/>
    </row>
    <row r="2020" spans="1:18" ht="15" customHeight="1">
      <c r="A2020" s="12">
        <v>751</v>
      </c>
      <c r="B2020" s="13" t="s">
        <v>3102</v>
      </c>
      <c r="C2020" s="14"/>
      <c r="D2020" s="14" t="s">
        <v>3103</v>
      </c>
      <c r="E2020" s="14" t="s">
        <v>137</v>
      </c>
      <c r="F2020" s="15" t="s">
        <v>22</v>
      </c>
      <c r="G2020" s="21"/>
      <c r="H2020" s="58"/>
      <c r="I2020" s="14"/>
      <c r="J2020" s="14" t="s">
        <v>23</v>
      </c>
      <c r="K2020" s="14"/>
      <c r="L2020" s="14"/>
      <c r="M2020" s="14" t="s">
        <v>1819</v>
      </c>
      <c r="N2020" s="25" t="s">
        <v>37</v>
      </c>
      <c r="O2020" s="14" t="s">
        <v>38</v>
      </c>
      <c r="P2020" s="14"/>
      <c r="Q2020" s="14"/>
      <c r="R2020" s="14" t="s">
        <v>3098</v>
      </c>
    </row>
    <row r="2021" spans="1:18" ht="15" customHeight="1">
      <c r="A2021" s="12">
        <v>1477</v>
      </c>
      <c r="B2021" s="13" t="s">
        <v>3104</v>
      </c>
      <c r="C2021" s="14"/>
      <c r="D2021" s="14" t="s">
        <v>3103</v>
      </c>
      <c r="E2021" s="14" t="s">
        <v>137</v>
      </c>
      <c r="F2021" s="15" t="s">
        <v>22</v>
      </c>
      <c r="G2021" s="21"/>
      <c r="H2021" s="58">
        <v>1</v>
      </c>
      <c r="I2021" s="14"/>
      <c r="J2021" s="14" t="s">
        <v>23</v>
      </c>
      <c r="K2021" s="14"/>
      <c r="L2021" s="14"/>
      <c r="M2021" s="14" t="s">
        <v>2651</v>
      </c>
      <c r="N2021" s="25" t="s">
        <v>37</v>
      </c>
      <c r="O2021" s="14" t="s">
        <v>3105</v>
      </c>
      <c r="P2021" s="14"/>
      <c r="Q2021" s="14"/>
      <c r="R2021" s="14" t="s">
        <v>1824</v>
      </c>
    </row>
    <row r="2022" spans="1:18" ht="15" customHeight="1">
      <c r="A2022" s="12">
        <v>2266</v>
      </c>
      <c r="B2022" s="13" t="s">
        <v>3106</v>
      </c>
      <c r="C2022" s="31"/>
      <c r="D2022" s="16">
        <v>673</v>
      </c>
      <c r="E2022" s="14" t="s">
        <v>137</v>
      </c>
      <c r="F2022" s="15" t="s">
        <v>22</v>
      </c>
      <c r="G2022" s="18"/>
      <c r="H2022" s="58">
        <v>2</v>
      </c>
      <c r="I2022" s="16"/>
      <c r="J2022" s="14" t="s">
        <v>23</v>
      </c>
      <c r="K2022" s="18"/>
      <c r="L2022" s="18"/>
      <c r="M2022" s="18"/>
      <c r="N2022" s="18"/>
      <c r="O2022" s="18"/>
      <c r="P2022" s="18"/>
      <c r="Q2022" s="18"/>
      <c r="R2022" s="18"/>
    </row>
    <row r="2023" spans="1:18" ht="15" customHeight="1">
      <c r="A2023" s="12">
        <v>752</v>
      </c>
      <c r="B2023" s="13" t="s">
        <v>3107</v>
      </c>
      <c r="C2023" s="14"/>
      <c r="D2023" s="14" t="s">
        <v>3108</v>
      </c>
      <c r="E2023" s="14" t="s">
        <v>2626</v>
      </c>
      <c r="F2023" s="15" t="s">
        <v>22</v>
      </c>
      <c r="G2023" s="21"/>
      <c r="H2023" s="58"/>
      <c r="I2023" s="14"/>
      <c r="J2023" s="14" t="s">
        <v>23</v>
      </c>
      <c r="K2023" s="14"/>
      <c r="L2023" s="14"/>
      <c r="M2023" s="14" t="s">
        <v>1819</v>
      </c>
      <c r="N2023" s="25" t="s">
        <v>37</v>
      </c>
      <c r="O2023" s="14" t="s">
        <v>80</v>
      </c>
      <c r="P2023" s="14"/>
      <c r="Q2023" s="14"/>
      <c r="R2023" s="14" t="s">
        <v>3098</v>
      </c>
    </row>
    <row r="2024" spans="1:18" ht="15" customHeight="1">
      <c r="A2024" s="12">
        <v>1478</v>
      </c>
      <c r="B2024" s="13" t="s">
        <v>3109</v>
      </c>
      <c r="C2024" s="14"/>
      <c r="D2024" s="14" t="s">
        <v>3108</v>
      </c>
      <c r="E2024" s="14" t="s">
        <v>2626</v>
      </c>
      <c r="F2024" s="15" t="s">
        <v>22</v>
      </c>
      <c r="G2024" s="21"/>
      <c r="H2024" s="58">
        <v>2</v>
      </c>
      <c r="I2024" s="14"/>
      <c r="J2024" s="14" t="s">
        <v>23</v>
      </c>
      <c r="K2024" s="14"/>
      <c r="L2024" s="14"/>
      <c r="M2024" s="14" t="s">
        <v>2651</v>
      </c>
      <c r="N2024" s="25" t="s">
        <v>37</v>
      </c>
      <c r="O2024" s="14"/>
      <c r="P2024" s="14"/>
      <c r="Q2024" s="14"/>
      <c r="R2024" s="14" t="s">
        <v>1824</v>
      </c>
    </row>
    <row r="2025" spans="1:18" ht="15" customHeight="1">
      <c r="A2025" s="12">
        <v>2267</v>
      </c>
      <c r="B2025" s="13" t="s">
        <v>3110</v>
      </c>
      <c r="C2025" s="31"/>
      <c r="D2025" s="16">
        <v>674</v>
      </c>
      <c r="E2025" s="14" t="s">
        <v>2626</v>
      </c>
      <c r="F2025" s="15" t="s">
        <v>22</v>
      </c>
      <c r="G2025" s="18"/>
      <c r="H2025" s="58">
        <v>2</v>
      </c>
      <c r="I2025" s="16"/>
      <c r="J2025" s="14" t="s">
        <v>23</v>
      </c>
      <c r="K2025" s="18"/>
      <c r="L2025" s="18"/>
      <c r="M2025" s="18"/>
      <c r="N2025" s="18"/>
      <c r="O2025" s="18"/>
      <c r="P2025" s="18"/>
      <c r="Q2025" s="18"/>
      <c r="R2025" s="18"/>
    </row>
    <row r="2026" spans="1:18" ht="15" customHeight="1">
      <c r="A2026" s="12">
        <v>753</v>
      </c>
      <c r="B2026" s="13" t="s">
        <v>3111</v>
      </c>
      <c r="C2026" s="14"/>
      <c r="D2026" s="14" t="s">
        <v>3112</v>
      </c>
      <c r="E2026" s="14" t="s">
        <v>115</v>
      </c>
      <c r="F2026" s="15" t="s">
        <v>22</v>
      </c>
      <c r="G2026" s="21"/>
      <c r="H2026" s="58"/>
      <c r="I2026" s="14"/>
      <c r="J2026" s="14" t="s">
        <v>23</v>
      </c>
      <c r="K2026" s="14"/>
      <c r="L2026" s="14"/>
      <c r="M2026" s="14" t="s">
        <v>1819</v>
      </c>
      <c r="N2026" s="14" t="s">
        <v>25</v>
      </c>
      <c r="O2026" s="14"/>
      <c r="P2026" s="14"/>
      <c r="Q2026" s="14"/>
      <c r="R2026" s="14" t="s">
        <v>3098</v>
      </c>
    </row>
    <row r="2027" spans="1:18" ht="15" customHeight="1">
      <c r="A2027" s="12">
        <v>1479</v>
      </c>
      <c r="B2027" s="13" t="s">
        <v>3113</v>
      </c>
      <c r="C2027" s="14"/>
      <c r="D2027" s="14" t="s">
        <v>3112</v>
      </c>
      <c r="E2027" s="14" t="s">
        <v>115</v>
      </c>
      <c r="F2027" s="15" t="s">
        <v>22</v>
      </c>
      <c r="G2027" s="21"/>
      <c r="H2027" s="58">
        <v>1</v>
      </c>
      <c r="I2027" s="14"/>
      <c r="J2027" s="14" t="s">
        <v>23</v>
      </c>
      <c r="K2027" s="14"/>
      <c r="L2027" s="14"/>
      <c r="M2027" s="14" t="s">
        <v>2651</v>
      </c>
      <c r="N2027" s="14" t="s">
        <v>25</v>
      </c>
      <c r="O2027" s="14"/>
      <c r="P2027" s="14"/>
      <c r="Q2027" s="14"/>
      <c r="R2027" s="14" t="s">
        <v>1824</v>
      </c>
    </row>
    <row r="2028" spans="1:18" ht="15" customHeight="1">
      <c r="A2028" s="12">
        <v>2268</v>
      </c>
      <c r="B2028" s="13" t="s">
        <v>3114</v>
      </c>
      <c r="C2028" s="31"/>
      <c r="D2028" s="16">
        <v>675</v>
      </c>
      <c r="E2028" s="16" t="s">
        <v>115</v>
      </c>
      <c r="F2028" s="15" t="s">
        <v>22</v>
      </c>
      <c r="G2028" s="18"/>
      <c r="H2028" s="58">
        <v>1</v>
      </c>
      <c r="I2028" s="16"/>
      <c r="J2028" s="14" t="s">
        <v>23</v>
      </c>
      <c r="K2028" s="18"/>
      <c r="L2028" s="18"/>
      <c r="M2028" s="18"/>
      <c r="N2028" s="18"/>
      <c r="O2028" s="18"/>
      <c r="P2028" s="18"/>
      <c r="Q2028" s="18"/>
      <c r="R2028" s="18"/>
    </row>
    <row r="2029" spans="1:18" ht="15" customHeight="1">
      <c r="A2029" s="12">
        <v>754</v>
      </c>
      <c r="B2029" s="13" t="s">
        <v>3115</v>
      </c>
      <c r="C2029" s="14"/>
      <c r="D2029" s="28" t="s">
        <v>3116</v>
      </c>
      <c r="E2029" s="46" t="s">
        <v>172</v>
      </c>
      <c r="F2029" s="29" t="s">
        <v>22</v>
      </c>
      <c r="G2029" s="40"/>
      <c r="H2029" s="58"/>
      <c r="I2029" s="28"/>
      <c r="J2029" s="28" t="s">
        <v>23</v>
      </c>
      <c r="K2029" s="28"/>
      <c r="L2029" s="28"/>
      <c r="M2029" s="28" t="s">
        <v>1819</v>
      </c>
      <c r="N2029" s="41" t="s">
        <v>37</v>
      </c>
      <c r="O2029" s="28" t="s">
        <v>38</v>
      </c>
      <c r="P2029" s="28"/>
      <c r="Q2029" s="28"/>
      <c r="R2029" s="28" t="s">
        <v>3098</v>
      </c>
    </row>
    <row r="2030" spans="1:18">
      <c r="A2030" s="12">
        <v>1480</v>
      </c>
      <c r="B2030" s="13" t="s">
        <v>3117</v>
      </c>
      <c r="C2030" s="14"/>
      <c r="D2030" s="14" t="s">
        <v>3116</v>
      </c>
      <c r="E2030" s="46" t="s">
        <v>172</v>
      </c>
      <c r="F2030" s="29" t="s">
        <v>22</v>
      </c>
      <c r="G2030" s="21"/>
      <c r="H2030" s="58">
        <v>1</v>
      </c>
      <c r="I2030" s="28"/>
      <c r="J2030" s="28" t="s">
        <v>23</v>
      </c>
      <c r="K2030" s="14"/>
      <c r="L2030" s="14"/>
      <c r="M2030" s="14" t="s">
        <v>2651</v>
      </c>
      <c r="N2030" s="14" t="s">
        <v>25</v>
      </c>
      <c r="O2030" s="14"/>
      <c r="P2030" s="14"/>
      <c r="Q2030" s="14"/>
      <c r="R2030" s="43" t="s">
        <v>1824</v>
      </c>
    </row>
    <row r="2031" spans="1:18">
      <c r="A2031" s="12">
        <v>2269</v>
      </c>
      <c r="B2031" s="13" t="s">
        <v>3118</v>
      </c>
      <c r="C2031" s="31"/>
      <c r="D2031" s="16">
        <v>676</v>
      </c>
      <c r="E2031" s="46" t="s">
        <v>172</v>
      </c>
      <c r="F2031" s="29" t="s">
        <v>22</v>
      </c>
      <c r="G2031" s="18"/>
      <c r="H2031" s="58">
        <v>1</v>
      </c>
      <c r="I2031" s="35"/>
      <c r="J2031" s="28" t="s">
        <v>23</v>
      </c>
      <c r="K2031" s="18"/>
      <c r="L2031" s="18"/>
      <c r="M2031" s="18"/>
      <c r="N2031" s="18"/>
      <c r="O2031" s="18"/>
      <c r="P2031" s="18"/>
      <c r="Q2031" s="18"/>
      <c r="R2031" s="32"/>
    </row>
    <row r="2032" spans="1:18">
      <c r="A2032" s="12">
        <v>755</v>
      </c>
      <c r="B2032" s="13" t="s">
        <v>3119</v>
      </c>
      <c r="C2032" s="14"/>
      <c r="D2032" s="14" t="s">
        <v>3120</v>
      </c>
      <c r="E2032" s="28" t="s">
        <v>2991</v>
      </c>
      <c r="F2032" s="29" t="s">
        <v>22</v>
      </c>
      <c r="G2032" s="21"/>
      <c r="H2032" s="58"/>
      <c r="I2032" s="28"/>
      <c r="J2032" s="28" t="s">
        <v>23</v>
      </c>
      <c r="K2032" s="14"/>
      <c r="L2032" s="14"/>
      <c r="M2032" s="14" t="s">
        <v>1819</v>
      </c>
      <c r="N2032" s="14" t="s">
        <v>25</v>
      </c>
      <c r="O2032" s="14"/>
      <c r="P2032" s="14"/>
      <c r="Q2032" s="14"/>
      <c r="R2032" s="43" t="s">
        <v>3098</v>
      </c>
    </row>
    <row r="2033" spans="1:18">
      <c r="A2033" s="12">
        <v>1481</v>
      </c>
      <c r="B2033" s="13" t="s">
        <v>3121</v>
      </c>
      <c r="C2033" s="14"/>
      <c r="D2033" s="14" t="s">
        <v>3120</v>
      </c>
      <c r="E2033" s="28" t="s">
        <v>2991</v>
      </c>
      <c r="F2033" s="29" t="s">
        <v>22</v>
      </c>
      <c r="G2033" s="21"/>
      <c r="H2033" s="58"/>
      <c r="I2033" s="28"/>
      <c r="J2033" s="28" t="s">
        <v>23</v>
      </c>
      <c r="K2033" s="14"/>
      <c r="L2033" s="14"/>
      <c r="M2033" s="14" t="s">
        <v>2651</v>
      </c>
      <c r="N2033" s="14" t="s">
        <v>25</v>
      </c>
      <c r="O2033" s="14"/>
      <c r="P2033" s="14"/>
      <c r="Q2033" s="14"/>
      <c r="R2033" s="43" t="s">
        <v>1824</v>
      </c>
    </row>
    <row r="2034" spans="1:18">
      <c r="A2034" s="12">
        <v>2270</v>
      </c>
      <c r="B2034" s="13" t="s">
        <v>3122</v>
      </c>
      <c r="C2034" s="31"/>
      <c r="D2034" s="16">
        <v>677</v>
      </c>
      <c r="E2034" s="35" t="s">
        <v>2991</v>
      </c>
      <c r="F2034" s="29" t="s">
        <v>22</v>
      </c>
      <c r="G2034" s="18"/>
      <c r="H2034" s="58"/>
      <c r="I2034" s="35"/>
      <c r="J2034" s="28" t="s">
        <v>23</v>
      </c>
      <c r="K2034" s="18"/>
      <c r="L2034" s="18"/>
      <c r="M2034" s="18"/>
      <c r="N2034" s="18"/>
      <c r="O2034" s="18"/>
      <c r="P2034" s="18"/>
      <c r="Q2034" s="18"/>
      <c r="R2034" s="32"/>
    </row>
    <row r="2035" spans="1:18">
      <c r="A2035" s="12">
        <v>756</v>
      </c>
      <c r="B2035" s="13" t="s">
        <v>3123</v>
      </c>
      <c r="C2035" s="14"/>
      <c r="D2035" s="14" t="s">
        <v>3124</v>
      </c>
      <c r="E2035" s="28" t="s">
        <v>2626</v>
      </c>
      <c r="F2035" s="29" t="s">
        <v>22</v>
      </c>
      <c r="G2035" s="21"/>
      <c r="H2035" s="58"/>
      <c r="I2035" s="28"/>
      <c r="J2035" s="28" t="s">
        <v>23</v>
      </c>
      <c r="K2035" s="14"/>
      <c r="L2035" s="14"/>
      <c r="M2035" s="14" t="s">
        <v>1819</v>
      </c>
      <c r="N2035" s="14" t="s">
        <v>25</v>
      </c>
      <c r="O2035" s="14"/>
      <c r="P2035" s="14"/>
      <c r="Q2035" s="14"/>
      <c r="R2035" s="43" t="s">
        <v>3098</v>
      </c>
    </row>
    <row r="2036" spans="1:18">
      <c r="A2036" s="12">
        <v>1482</v>
      </c>
      <c r="B2036" s="13" t="s">
        <v>3125</v>
      </c>
      <c r="C2036" s="14"/>
      <c r="D2036" s="14" t="s">
        <v>3124</v>
      </c>
      <c r="E2036" s="28" t="s">
        <v>2626</v>
      </c>
      <c r="F2036" s="29" t="s">
        <v>22</v>
      </c>
      <c r="G2036" s="21"/>
      <c r="H2036" s="58">
        <v>1</v>
      </c>
      <c r="I2036" s="28"/>
      <c r="J2036" s="28" t="s">
        <v>23</v>
      </c>
      <c r="K2036" s="14"/>
      <c r="L2036" s="14"/>
      <c r="M2036" s="14" t="s">
        <v>2651</v>
      </c>
      <c r="N2036" s="25" t="s">
        <v>37</v>
      </c>
      <c r="O2036" s="14" t="s">
        <v>160</v>
      </c>
      <c r="P2036" s="14"/>
      <c r="Q2036" s="14"/>
      <c r="R2036" s="43" t="s">
        <v>1824</v>
      </c>
    </row>
    <row r="2037" spans="1:18">
      <c r="A2037" s="12">
        <v>2271</v>
      </c>
      <c r="B2037" s="13" t="s">
        <v>3126</v>
      </c>
      <c r="C2037" s="31"/>
      <c r="D2037" s="16">
        <v>678</v>
      </c>
      <c r="E2037" s="35" t="s">
        <v>2626</v>
      </c>
      <c r="F2037" s="29" t="s">
        <v>22</v>
      </c>
      <c r="G2037" s="18"/>
      <c r="H2037" s="58"/>
      <c r="I2037" s="35"/>
      <c r="J2037" s="28" t="s">
        <v>23</v>
      </c>
      <c r="K2037" s="18"/>
      <c r="L2037" s="18"/>
      <c r="M2037" s="18"/>
      <c r="N2037" s="18"/>
      <c r="O2037" s="18"/>
      <c r="P2037" s="18"/>
      <c r="Q2037" s="18"/>
      <c r="R2037" s="32"/>
    </row>
    <row r="2038" spans="1:18">
      <c r="A2038" s="12">
        <v>757</v>
      </c>
      <c r="B2038" s="13" t="s">
        <v>3127</v>
      </c>
      <c r="C2038" s="14"/>
      <c r="D2038" s="14" t="s">
        <v>3128</v>
      </c>
      <c r="E2038" s="35" t="s">
        <v>2626</v>
      </c>
      <c r="F2038" s="29" t="s">
        <v>22</v>
      </c>
      <c r="G2038" s="21"/>
      <c r="H2038" s="58"/>
      <c r="I2038" s="28"/>
      <c r="J2038" s="28" t="s">
        <v>23</v>
      </c>
      <c r="K2038" s="14"/>
      <c r="L2038" s="14"/>
      <c r="M2038" s="14" t="s">
        <v>1819</v>
      </c>
      <c r="N2038" s="25" t="s">
        <v>37</v>
      </c>
      <c r="O2038" s="14" t="s">
        <v>45</v>
      </c>
      <c r="P2038" s="14"/>
      <c r="Q2038" s="14"/>
      <c r="R2038" s="43" t="s">
        <v>3098</v>
      </c>
    </row>
    <row r="2039" spans="1:18">
      <c r="A2039" s="12">
        <v>1483</v>
      </c>
      <c r="B2039" s="13" t="s">
        <v>3129</v>
      </c>
      <c r="C2039" s="14"/>
      <c r="D2039" s="14" t="s">
        <v>3128</v>
      </c>
      <c r="E2039" s="35" t="s">
        <v>2626</v>
      </c>
      <c r="F2039" s="29" t="s">
        <v>22</v>
      </c>
      <c r="G2039" s="21"/>
      <c r="H2039" s="58">
        <v>2</v>
      </c>
      <c r="I2039" s="28"/>
      <c r="J2039" s="28" t="s">
        <v>23</v>
      </c>
      <c r="K2039" s="14"/>
      <c r="L2039" s="14"/>
      <c r="M2039" s="14" t="s">
        <v>2651</v>
      </c>
      <c r="N2039" s="14" t="s">
        <v>25</v>
      </c>
      <c r="O2039" s="14"/>
      <c r="P2039" s="14"/>
      <c r="Q2039" s="14"/>
      <c r="R2039" s="43" t="s">
        <v>1824</v>
      </c>
    </row>
    <row r="2040" spans="1:18">
      <c r="A2040" s="12">
        <v>2272</v>
      </c>
      <c r="B2040" s="13" t="s">
        <v>3130</v>
      </c>
      <c r="C2040" s="31"/>
      <c r="D2040" s="16">
        <v>679</v>
      </c>
      <c r="E2040" s="35" t="s">
        <v>2626</v>
      </c>
      <c r="F2040" s="29" t="s">
        <v>22</v>
      </c>
      <c r="G2040" s="18"/>
      <c r="H2040" s="58">
        <v>3</v>
      </c>
      <c r="I2040" s="35"/>
      <c r="J2040" s="28" t="s">
        <v>23</v>
      </c>
      <c r="K2040" s="18"/>
      <c r="L2040" s="18"/>
      <c r="M2040" s="18"/>
      <c r="N2040" s="18"/>
      <c r="O2040" s="18"/>
      <c r="P2040" s="18"/>
      <c r="Q2040" s="18"/>
      <c r="R2040" s="32"/>
    </row>
    <row r="2041" spans="1:18">
      <c r="A2041" s="12">
        <v>758</v>
      </c>
      <c r="B2041" s="13" t="s">
        <v>3131</v>
      </c>
      <c r="C2041" s="14"/>
      <c r="D2041" s="14" t="s">
        <v>3132</v>
      </c>
      <c r="E2041" s="28" t="s">
        <v>115</v>
      </c>
      <c r="F2041" s="29" t="s">
        <v>22</v>
      </c>
      <c r="G2041" s="21"/>
      <c r="H2041" s="58"/>
      <c r="I2041" s="28"/>
      <c r="J2041" s="28" t="s">
        <v>23</v>
      </c>
      <c r="K2041" s="14"/>
      <c r="L2041" s="14"/>
      <c r="M2041" s="14" t="s">
        <v>1819</v>
      </c>
      <c r="N2041" s="14" t="s">
        <v>25</v>
      </c>
      <c r="O2041" s="14"/>
      <c r="P2041" s="14"/>
      <c r="Q2041" s="14"/>
      <c r="R2041" s="43" t="s">
        <v>3098</v>
      </c>
    </row>
    <row r="2042" spans="1:18">
      <c r="A2042" s="12">
        <v>1484</v>
      </c>
      <c r="B2042" s="13" t="s">
        <v>3133</v>
      </c>
      <c r="C2042" s="14"/>
      <c r="D2042" s="14" t="s">
        <v>3132</v>
      </c>
      <c r="E2042" s="28" t="s">
        <v>115</v>
      </c>
      <c r="F2042" s="29" t="s">
        <v>22</v>
      </c>
      <c r="G2042" s="21"/>
      <c r="H2042" s="58">
        <v>1</v>
      </c>
      <c r="I2042" s="28"/>
      <c r="J2042" s="28" t="s">
        <v>23</v>
      </c>
      <c r="K2042" s="14"/>
      <c r="L2042" s="14"/>
      <c r="M2042" s="14" t="s">
        <v>2651</v>
      </c>
      <c r="N2042" s="14" t="s">
        <v>25</v>
      </c>
      <c r="O2042" s="14"/>
      <c r="P2042" s="14"/>
      <c r="Q2042" s="14"/>
      <c r="R2042" s="43" t="s">
        <v>1824</v>
      </c>
    </row>
    <row r="2043" spans="1:18">
      <c r="A2043" s="12">
        <v>2273</v>
      </c>
      <c r="B2043" s="13" t="s">
        <v>3134</v>
      </c>
      <c r="C2043" s="31"/>
      <c r="D2043" s="16">
        <v>680</v>
      </c>
      <c r="E2043" s="28" t="s">
        <v>115</v>
      </c>
      <c r="F2043" s="29" t="s">
        <v>22</v>
      </c>
      <c r="G2043" s="18"/>
      <c r="H2043" s="58"/>
      <c r="I2043" s="50"/>
      <c r="J2043" s="28" t="s">
        <v>23</v>
      </c>
      <c r="K2043" s="18"/>
      <c r="L2043" s="18"/>
      <c r="M2043" s="18"/>
      <c r="N2043" s="18"/>
      <c r="O2043" s="18"/>
      <c r="P2043" s="18"/>
      <c r="Q2043" s="18"/>
      <c r="R2043" s="32"/>
    </row>
    <row r="2044" spans="1:18">
      <c r="A2044" s="12">
        <v>759</v>
      </c>
      <c r="B2044" s="13" t="s">
        <v>3135</v>
      </c>
      <c r="C2044" s="14"/>
      <c r="D2044" s="14" t="s">
        <v>3136</v>
      </c>
      <c r="E2044" s="28" t="s">
        <v>2991</v>
      </c>
      <c r="F2044" s="29" t="s">
        <v>22</v>
      </c>
      <c r="G2044" s="21"/>
      <c r="H2044" s="58"/>
      <c r="I2044" s="28"/>
      <c r="J2044" s="28" t="s">
        <v>23</v>
      </c>
      <c r="K2044" s="14"/>
      <c r="L2044" s="14"/>
      <c r="M2044" s="14" t="s">
        <v>1819</v>
      </c>
      <c r="N2044" s="14" t="s">
        <v>25</v>
      </c>
      <c r="O2044" s="14"/>
      <c r="P2044" s="14"/>
      <c r="Q2044" s="14"/>
      <c r="R2044" s="43" t="s">
        <v>3098</v>
      </c>
    </row>
    <row r="2045" spans="1:18">
      <c r="A2045" s="12">
        <v>2274</v>
      </c>
      <c r="B2045" s="13" t="s">
        <v>3137</v>
      </c>
      <c r="C2045" s="31"/>
      <c r="D2045" s="16">
        <v>681</v>
      </c>
      <c r="E2045" s="35" t="s">
        <v>2991</v>
      </c>
      <c r="F2045" s="29" t="s">
        <v>22</v>
      </c>
      <c r="G2045" s="18"/>
      <c r="H2045" s="58">
        <v>2</v>
      </c>
      <c r="I2045" s="35"/>
      <c r="J2045" s="28" t="s">
        <v>23</v>
      </c>
      <c r="K2045" s="18"/>
      <c r="L2045" s="18"/>
      <c r="M2045" s="18"/>
      <c r="N2045" s="18"/>
      <c r="O2045" s="18"/>
      <c r="P2045" s="18"/>
      <c r="Q2045" s="18"/>
      <c r="R2045" s="32"/>
    </row>
    <row r="2046" spans="1:18">
      <c r="A2046" s="12">
        <v>1485</v>
      </c>
      <c r="B2046" s="13" t="s">
        <v>3138</v>
      </c>
      <c r="C2046" s="14"/>
      <c r="D2046" s="14" t="s">
        <v>3139</v>
      </c>
      <c r="E2046" s="28" t="s">
        <v>2626</v>
      </c>
      <c r="F2046" s="29" t="s">
        <v>22</v>
      </c>
      <c r="G2046" s="21"/>
      <c r="H2046" s="58">
        <v>2</v>
      </c>
      <c r="I2046" s="28"/>
      <c r="J2046" s="28" t="s">
        <v>23</v>
      </c>
      <c r="K2046" s="14"/>
      <c r="L2046" s="14"/>
      <c r="M2046" s="14" t="s">
        <v>2651</v>
      </c>
      <c r="N2046" s="25" t="s">
        <v>37</v>
      </c>
      <c r="O2046" s="14" t="s">
        <v>3140</v>
      </c>
      <c r="P2046" s="14"/>
      <c r="Q2046" s="14"/>
      <c r="R2046" s="43" t="s">
        <v>1824</v>
      </c>
    </row>
    <row r="2047" spans="1:18">
      <c r="A2047" s="12">
        <v>760</v>
      </c>
      <c r="B2047" s="13" t="s">
        <v>3141</v>
      </c>
      <c r="C2047" s="14"/>
      <c r="D2047" s="14" t="s">
        <v>3142</v>
      </c>
      <c r="E2047" s="28"/>
      <c r="F2047" s="29" t="s">
        <v>22</v>
      </c>
      <c r="G2047" s="21"/>
      <c r="H2047" s="58"/>
      <c r="I2047" s="28"/>
      <c r="J2047" s="28" t="s">
        <v>23</v>
      </c>
      <c r="K2047" s="14"/>
      <c r="L2047" s="14"/>
      <c r="M2047" s="14" t="s">
        <v>1819</v>
      </c>
      <c r="N2047" s="25" t="s">
        <v>37</v>
      </c>
      <c r="O2047" s="14" t="s">
        <v>80</v>
      </c>
      <c r="P2047" s="14"/>
      <c r="Q2047" s="14"/>
      <c r="R2047" s="43" t="s">
        <v>3098</v>
      </c>
    </row>
    <row r="2048" spans="1:18">
      <c r="A2048" s="12">
        <v>1486</v>
      </c>
      <c r="B2048" s="13" t="s">
        <v>3143</v>
      </c>
      <c r="C2048" s="14"/>
      <c r="D2048" s="14" t="s">
        <v>3142</v>
      </c>
      <c r="E2048" s="14" t="s">
        <v>172</v>
      </c>
      <c r="F2048" s="29" t="s">
        <v>22</v>
      </c>
      <c r="G2048" s="21"/>
      <c r="H2048" s="58">
        <v>3</v>
      </c>
      <c r="I2048" s="28"/>
      <c r="J2048" s="28" t="s">
        <v>23</v>
      </c>
      <c r="K2048" s="14"/>
      <c r="L2048" s="14"/>
      <c r="M2048" s="14" t="s">
        <v>2651</v>
      </c>
      <c r="N2048" s="25" t="s">
        <v>37</v>
      </c>
      <c r="O2048" s="14" t="s">
        <v>3144</v>
      </c>
      <c r="P2048" s="14"/>
      <c r="Q2048" s="14"/>
      <c r="R2048" s="43" t="s">
        <v>1824</v>
      </c>
    </row>
    <row r="2049" spans="1:18">
      <c r="A2049" s="12">
        <v>2275</v>
      </c>
      <c r="B2049" s="13" t="s">
        <v>3145</v>
      </c>
      <c r="C2049" s="31"/>
      <c r="D2049" s="16">
        <v>683</v>
      </c>
      <c r="E2049" s="35"/>
      <c r="F2049" s="29" t="s">
        <v>22</v>
      </c>
      <c r="G2049" s="18"/>
      <c r="H2049" s="58">
        <v>1</v>
      </c>
      <c r="I2049" s="35"/>
      <c r="J2049" s="28" t="s">
        <v>23</v>
      </c>
      <c r="K2049" s="18"/>
      <c r="L2049" s="18"/>
      <c r="M2049" s="18"/>
      <c r="N2049" s="18"/>
      <c r="O2049" s="18"/>
      <c r="P2049" s="18"/>
      <c r="Q2049" s="18"/>
      <c r="R2049" s="32"/>
    </row>
    <row r="2050" spans="1:18">
      <c r="A2050" s="12">
        <v>761</v>
      </c>
      <c r="B2050" s="13" t="s">
        <v>3146</v>
      </c>
      <c r="C2050" s="14"/>
      <c r="D2050" s="14" t="s">
        <v>3147</v>
      </c>
      <c r="E2050" s="28" t="s">
        <v>2626</v>
      </c>
      <c r="F2050" s="29" t="s">
        <v>22</v>
      </c>
      <c r="G2050" s="21"/>
      <c r="H2050" s="58"/>
      <c r="I2050" s="28"/>
      <c r="J2050" s="28" t="s">
        <v>23</v>
      </c>
      <c r="K2050" s="14"/>
      <c r="L2050" s="14"/>
      <c r="M2050" s="14" t="s">
        <v>1819</v>
      </c>
      <c r="N2050" s="14" t="s">
        <v>25</v>
      </c>
      <c r="O2050" s="14"/>
      <c r="P2050" s="14"/>
      <c r="Q2050" s="14"/>
      <c r="R2050" s="43" t="s">
        <v>3098</v>
      </c>
    </row>
    <row r="2051" spans="1:18">
      <c r="A2051" s="12">
        <v>1487</v>
      </c>
      <c r="B2051" s="13" t="s">
        <v>3148</v>
      </c>
      <c r="C2051" s="14"/>
      <c r="D2051" s="14" t="s">
        <v>3147</v>
      </c>
      <c r="E2051" s="28" t="s">
        <v>2626</v>
      </c>
      <c r="F2051" s="29" t="s">
        <v>22</v>
      </c>
      <c r="G2051" s="21"/>
      <c r="H2051" s="58"/>
      <c r="I2051" s="28"/>
      <c r="J2051" s="28" t="s">
        <v>23</v>
      </c>
      <c r="K2051" s="14"/>
      <c r="L2051" s="14"/>
      <c r="M2051" s="14" t="s">
        <v>2651</v>
      </c>
      <c r="N2051" s="14" t="s">
        <v>25</v>
      </c>
      <c r="O2051" s="14"/>
      <c r="P2051" s="14"/>
      <c r="Q2051" s="14"/>
      <c r="R2051" s="43" t="s">
        <v>1824</v>
      </c>
    </row>
    <row r="2052" spans="1:18">
      <c r="A2052" s="12">
        <v>2276</v>
      </c>
      <c r="B2052" s="13" t="s">
        <v>3149</v>
      </c>
      <c r="C2052" s="31"/>
      <c r="D2052" s="16">
        <v>684</v>
      </c>
      <c r="E2052" s="35" t="s">
        <v>2626</v>
      </c>
      <c r="F2052" s="29" t="s">
        <v>22</v>
      </c>
      <c r="G2052" s="18"/>
      <c r="H2052" s="58">
        <v>4</v>
      </c>
      <c r="I2052" s="35"/>
      <c r="J2052" s="28" t="s">
        <v>23</v>
      </c>
      <c r="K2052" s="18"/>
      <c r="L2052" s="18"/>
      <c r="M2052" s="18"/>
      <c r="N2052" s="18"/>
      <c r="O2052" s="18"/>
      <c r="P2052" s="18"/>
      <c r="Q2052" s="18"/>
      <c r="R2052" s="32"/>
    </row>
    <row r="2053" spans="1:18">
      <c r="A2053" s="12">
        <v>762</v>
      </c>
      <c r="B2053" s="13" t="s">
        <v>3150</v>
      </c>
      <c r="C2053" s="14"/>
      <c r="D2053" s="14" t="s">
        <v>3151</v>
      </c>
      <c r="E2053" s="28" t="s">
        <v>2626</v>
      </c>
      <c r="F2053" s="29" t="s">
        <v>22</v>
      </c>
      <c r="G2053" s="21"/>
      <c r="H2053" s="58"/>
      <c r="I2053" s="28"/>
      <c r="J2053" s="28" t="s">
        <v>23</v>
      </c>
      <c r="K2053" s="14"/>
      <c r="L2053" s="14"/>
      <c r="M2053" s="14" t="s">
        <v>1819</v>
      </c>
      <c r="N2053" s="14" t="s">
        <v>25</v>
      </c>
      <c r="O2053" s="14"/>
      <c r="P2053" s="14"/>
      <c r="Q2053" s="14"/>
      <c r="R2053" s="43" t="s">
        <v>3098</v>
      </c>
    </row>
    <row r="2054" spans="1:18">
      <c r="A2054" s="12">
        <v>1488</v>
      </c>
      <c r="B2054" s="13" t="s">
        <v>3152</v>
      </c>
      <c r="C2054" s="14"/>
      <c r="D2054" s="14" t="s">
        <v>3151</v>
      </c>
      <c r="E2054" s="28" t="s">
        <v>2626</v>
      </c>
      <c r="F2054" s="29" t="s">
        <v>22</v>
      </c>
      <c r="G2054" s="21"/>
      <c r="H2054" s="58"/>
      <c r="I2054" s="28"/>
      <c r="J2054" s="28" t="s">
        <v>23</v>
      </c>
      <c r="K2054" s="14"/>
      <c r="L2054" s="14"/>
      <c r="M2054" s="14" t="s">
        <v>2651</v>
      </c>
      <c r="N2054" s="14" t="s">
        <v>25</v>
      </c>
      <c r="O2054" s="14"/>
      <c r="P2054" s="14"/>
      <c r="Q2054" s="14"/>
      <c r="R2054" s="43" t="s">
        <v>1824</v>
      </c>
    </row>
    <row r="2055" spans="1:18">
      <c r="A2055" s="12">
        <v>2277</v>
      </c>
      <c r="B2055" s="13" t="s">
        <v>3153</v>
      </c>
      <c r="C2055" s="31"/>
      <c r="D2055" s="16">
        <v>685</v>
      </c>
      <c r="E2055" s="35" t="s">
        <v>2626</v>
      </c>
      <c r="F2055" s="29" t="s">
        <v>22</v>
      </c>
      <c r="G2055" s="18"/>
      <c r="H2055" s="58"/>
      <c r="I2055" s="50"/>
      <c r="J2055" s="28" t="s">
        <v>23</v>
      </c>
      <c r="K2055" s="18"/>
      <c r="L2055" s="18"/>
      <c r="M2055" s="18"/>
      <c r="N2055" s="18"/>
      <c r="O2055" s="18"/>
      <c r="P2055" s="18"/>
      <c r="Q2055" s="18"/>
      <c r="R2055" s="32"/>
    </row>
    <row r="2056" spans="1:18">
      <c r="A2056" s="12">
        <v>612</v>
      </c>
      <c r="B2056" s="13" t="s">
        <v>3154</v>
      </c>
      <c r="C2056" s="22"/>
      <c r="D2056" s="22" t="s">
        <v>3155</v>
      </c>
      <c r="E2056" s="30" t="s">
        <v>2991</v>
      </c>
      <c r="F2056" s="29" t="s">
        <v>22</v>
      </c>
      <c r="G2056" s="26"/>
      <c r="H2056" s="58"/>
      <c r="I2056" s="30"/>
      <c r="J2056" s="28" t="s">
        <v>23</v>
      </c>
      <c r="K2056" s="22"/>
      <c r="L2056" s="22"/>
      <c r="M2056" s="14" t="s">
        <v>1537</v>
      </c>
      <c r="N2056" s="14" t="s">
        <v>25</v>
      </c>
      <c r="O2056" s="22"/>
      <c r="P2056" s="14"/>
      <c r="Q2056" s="14"/>
      <c r="R2056" s="43" t="s">
        <v>2449</v>
      </c>
    </row>
    <row r="2057" spans="1:18">
      <c r="A2057" s="12">
        <v>1577</v>
      </c>
      <c r="B2057" s="13" t="s">
        <v>3156</v>
      </c>
      <c r="C2057" s="14"/>
      <c r="D2057" s="14" t="s">
        <v>3155</v>
      </c>
      <c r="E2057" s="28" t="s">
        <v>2991</v>
      </c>
      <c r="F2057" s="29" t="s">
        <v>22</v>
      </c>
      <c r="G2057" s="14"/>
      <c r="H2057" s="58">
        <v>0</v>
      </c>
      <c r="I2057" s="28"/>
      <c r="J2057" s="28" t="s">
        <v>23</v>
      </c>
      <c r="K2057" s="14"/>
      <c r="L2057" s="14"/>
      <c r="M2057" s="14" t="s">
        <v>650</v>
      </c>
      <c r="N2057" s="14" t="s">
        <v>25</v>
      </c>
      <c r="O2057" s="14"/>
      <c r="P2057" s="14"/>
      <c r="Q2057" s="14"/>
      <c r="R2057" s="43" t="s">
        <v>2338</v>
      </c>
    </row>
    <row r="2058" spans="1:18">
      <c r="A2058" s="12">
        <v>2278</v>
      </c>
      <c r="B2058" s="13" t="s">
        <v>3157</v>
      </c>
      <c r="C2058" s="31"/>
      <c r="D2058" s="16">
        <v>686</v>
      </c>
      <c r="E2058" s="35" t="s">
        <v>2991</v>
      </c>
      <c r="F2058" s="29" t="s">
        <v>22</v>
      </c>
      <c r="G2058" s="18"/>
      <c r="H2058" s="58"/>
      <c r="I2058" s="50"/>
      <c r="J2058" s="28" t="s">
        <v>23</v>
      </c>
      <c r="K2058" s="18"/>
      <c r="L2058" s="18"/>
      <c r="M2058" s="18"/>
      <c r="N2058" s="18"/>
      <c r="O2058" s="18"/>
      <c r="P2058" s="18"/>
      <c r="Q2058" s="18"/>
      <c r="R2058" s="32"/>
    </row>
    <row r="2059" spans="1:18">
      <c r="A2059" s="12">
        <v>613</v>
      </c>
      <c r="B2059" s="13" t="s">
        <v>3158</v>
      </c>
      <c r="C2059" s="22"/>
      <c r="D2059" s="22" t="s">
        <v>3159</v>
      </c>
      <c r="E2059" s="30" t="s">
        <v>3160</v>
      </c>
      <c r="F2059" s="29" t="s">
        <v>22</v>
      </c>
      <c r="G2059" s="26"/>
      <c r="H2059" s="58"/>
      <c r="I2059" s="30"/>
      <c r="J2059" s="28" t="s">
        <v>23</v>
      </c>
      <c r="K2059" s="22"/>
      <c r="L2059" s="22"/>
      <c r="M2059" s="14" t="s">
        <v>1537</v>
      </c>
      <c r="N2059" s="14" t="s">
        <v>25</v>
      </c>
      <c r="O2059" s="22"/>
      <c r="P2059" s="14"/>
      <c r="Q2059" s="14"/>
      <c r="R2059" s="43" t="s">
        <v>2449</v>
      </c>
    </row>
    <row r="2060" spans="1:18">
      <c r="A2060" s="12">
        <v>1578</v>
      </c>
      <c r="B2060" s="13" t="s">
        <v>3161</v>
      </c>
      <c r="C2060" s="14"/>
      <c r="D2060" s="14" t="s">
        <v>3159</v>
      </c>
      <c r="E2060" s="28" t="s">
        <v>3162</v>
      </c>
      <c r="F2060" s="29" t="s">
        <v>22</v>
      </c>
      <c r="G2060" s="14"/>
      <c r="H2060" s="58">
        <v>0</v>
      </c>
      <c r="I2060" s="28"/>
      <c r="J2060" s="28" t="s">
        <v>23</v>
      </c>
      <c r="K2060" s="14"/>
      <c r="L2060" s="14"/>
      <c r="M2060" s="14" t="s">
        <v>650</v>
      </c>
      <c r="N2060" s="14" t="s">
        <v>25</v>
      </c>
      <c r="O2060" s="14"/>
      <c r="P2060" s="14"/>
      <c r="Q2060" s="14"/>
      <c r="R2060" s="14" t="s">
        <v>33</v>
      </c>
    </row>
    <row r="2061" spans="1:18">
      <c r="A2061" s="12">
        <v>2279</v>
      </c>
      <c r="B2061" s="13" t="s">
        <v>3163</v>
      </c>
      <c r="C2061" s="31"/>
      <c r="D2061" s="16">
        <v>687</v>
      </c>
      <c r="E2061" s="35" t="s">
        <v>3160</v>
      </c>
      <c r="F2061" s="29" t="s">
        <v>22</v>
      </c>
      <c r="G2061" s="18"/>
      <c r="H2061" s="58"/>
      <c r="I2061" s="50"/>
      <c r="J2061" s="28" t="s">
        <v>23</v>
      </c>
      <c r="K2061" s="18"/>
      <c r="L2061" s="18"/>
      <c r="M2061" s="18"/>
      <c r="N2061" s="18"/>
      <c r="O2061" s="18"/>
      <c r="P2061" s="18"/>
      <c r="Q2061" s="18"/>
      <c r="R2061" s="32"/>
    </row>
    <row r="2062" spans="1:18">
      <c r="A2062" s="12">
        <v>614</v>
      </c>
      <c r="B2062" s="13" t="s">
        <v>3164</v>
      </c>
      <c r="C2062" s="22"/>
      <c r="D2062" s="22" t="s">
        <v>3165</v>
      </c>
      <c r="E2062" s="30" t="s">
        <v>2991</v>
      </c>
      <c r="F2062" s="29" t="s">
        <v>22</v>
      </c>
      <c r="G2062" s="26"/>
      <c r="H2062" s="58"/>
      <c r="I2062" s="30"/>
      <c r="J2062" s="28" t="s">
        <v>23</v>
      </c>
      <c r="K2062" s="22"/>
      <c r="L2062" s="22"/>
      <c r="M2062" s="14" t="s">
        <v>1537</v>
      </c>
      <c r="N2062" s="14" t="s">
        <v>25</v>
      </c>
      <c r="O2062" s="22"/>
      <c r="P2062" s="14"/>
      <c r="Q2062" s="14"/>
      <c r="R2062" s="43" t="s">
        <v>2449</v>
      </c>
    </row>
    <row r="2063" spans="1:18">
      <c r="A2063" s="12">
        <v>1579</v>
      </c>
      <c r="B2063" s="13" t="s">
        <v>3166</v>
      </c>
      <c r="C2063" s="14"/>
      <c r="D2063" s="14" t="s">
        <v>3165</v>
      </c>
      <c r="E2063" s="28" t="s">
        <v>2991</v>
      </c>
      <c r="F2063" s="29" t="s">
        <v>22</v>
      </c>
      <c r="G2063" s="14"/>
      <c r="H2063" s="58">
        <v>1</v>
      </c>
      <c r="I2063" s="28"/>
      <c r="J2063" s="28" t="s">
        <v>23</v>
      </c>
      <c r="K2063" s="14"/>
      <c r="L2063" s="14"/>
      <c r="M2063" s="14" t="s">
        <v>650</v>
      </c>
      <c r="N2063" s="14" t="s">
        <v>25</v>
      </c>
      <c r="O2063" s="14"/>
      <c r="P2063" s="14"/>
      <c r="Q2063" s="14"/>
      <c r="R2063" s="14" t="s">
        <v>33</v>
      </c>
    </row>
    <row r="2064" spans="1:18">
      <c r="A2064" s="12">
        <v>2280</v>
      </c>
      <c r="B2064" s="13" t="s">
        <v>3167</v>
      </c>
      <c r="C2064" s="31"/>
      <c r="D2064" s="16">
        <v>688</v>
      </c>
      <c r="E2064" s="35" t="s">
        <v>2991</v>
      </c>
      <c r="F2064" s="29" t="s">
        <v>22</v>
      </c>
      <c r="G2064" s="18"/>
      <c r="H2064" s="58"/>
      <c r="I2064" s="50"/>
      <c r="J2064" s="28" t="s">
        <v>23</v>
      </c>
      <c r="K2064" s="18"/>
      <c r="L2064" s="18"/>
      <c r="M2064" s="18"/>
      <c r="N2064" s="18"/>
      <c r="O2064" s="18"/>
      <c r="P2064" s="18"/>
      <c r="Q2064" s="18"/>
      <c r="R2064" s="32"/>
    </row>
    <row r="2065" spans="1:18">
      <c r="A2065" s="12">
        <v>667</v>
      </c>
      <c r="B2065" s="13" t="s">
        <v>3168</v>
      </c>
      <c r="C2065" s="22"/>
      <c r="D2065" s="22" t="s">
        <v>3169</v>
      </c>
      <c r="E2065" s="35" t="s">
        <v>2991</v>
      </c>
      <c r="F2065" s="29" t="s">
        <v>22</v>
      </c>
      <c r="G2065" s="26"/>
      <c r="H2065" s="58"/>
      <c r="I2065" s="30"/>
      <c r="J2065" s="28" t="s">
        <v>23</v>
      </c>
      <c r="K2065" s="22"/>
      <c r="L2065" s="22"/>
      <c r="M2065" s="22" t="s">
        <v>654</v>
      </c>
      <c r="N2065" s="14" t="s">
        <v>25</v>
      </c>
      <c r="O2065" s="22"/>
      <c r="P2065" s="14"/>
      <c r="Q2065" s="14"/>
      <c r="R2065" s="43" t="s">
        <v>1820</v>
      </c>
    </row>
    <row r="2066" spans="1:18">
      <c r="A2066" s="12">
        <v>1580</v>
      </c>
      <c r="B2066" s="13" t="s">
        <v>3170</v>
      </c>
      <c r="C2066" s="14"/>
      <c r="D2066" s="14" t="s">
        <v>3169</v>
      </c>
      <c r="E2066" s="35" t="s">
        <v>2991</v>
      </c>
      <c r="F2066" s="29" t="s">
        <v>22</v>
      </c>
      <c r="G2066" s="14"/>
      <c r="H2066" s="58">
        <v>0</v>
      </c>
      <c r="I2066" s="28"/>
      <c r="J2066" s="28" t="s">
        <v>23</v>
      </c>
      <c r="K2066" s="14"/>
      <c r="L2066" s="14"/>
      <c r="M2066" s="14" t="s">
        <v>650</v>
      </c>
      <c r="N2066" s="14" t="s">
        <v>25</v>
      </c>
      <c r="O2066" s="14"/>
      <c r="P2066" s="14"/>
      <c r="Q2066" s="14"/>
      <c r="R2066" s="14" t="s">
        <v>33</v>
      </c>
    </row>
    <row r="2067" spans="1:18">
      <c r="A2067" s="12">
        <v>2281</v>
      </c>
      <c r="B2067" s="13" t="s">
        <v>3171</v>
      </c>
      <c r="C2067" s="31"/>
      <c r="D2067" s="16">
        <v>689</v>
      </c>
      <c r="E2067" s="35" t="s">
        <v>2991</v>
      </c>
      <c r="F2067" s="29" t="s">
        <v>22</v>
      </c>
      <c r="G2067" s="18"/>
      <c r="H2067" s="58">
        <v>1</v>
      </c>
      <c r="I2067" s="35"/>
      <c r="J2067" s="28" t="s">
        <v>23</v>
      </c>
      <c r="K2067" s="18"/>
      <c r="L2067" s="18"/>
      <c r="M2067" s="18"/>
      <c r="N2067" s="18"/>
      <c r="O2067" s="18"/>
      <c r="P2067" s="18"/>
      <c r="Q2067" s="18"/>
      <c r="R2067" s="32"/>
    </row>
    <row r="2068" spans="1:18">
      <c r="A2068" s="12">
        <v>615</v>
      </c>
      <c r="B2068" s="13" t="s">
        <v>3172</v>
      </c>
      <c r="C2068" s="22"/>
      <c r="D2068" s="22" t="s">
        <v>3173</v>
      </c>
      <c r="E2068" s="35" t="s">
        <v>2991</v>
      </c>
      <c r="F2068" s="29" t="s">
        <v>22</v>
      </c>
      <c r="G2068" s="26"/>
      <c r="H2068" s="58"/>
      <c r="I2068" s="30"/>
      <c r="J2068" s="28" t="s">
        <v>23</v>
      </c>
      <c r="K2068" s="22"/>
      <c r="L2068" s="22"/>
      <c r="M2068" s="14" t="s">
        <v>1537</v>
      </c>
      <c r="N2068" s="25" t="s">
        <v>37</v>
      </c>
      <c r="O2068" s="22" t="s">
        <v>80</v>
      </c>
      <c r="P2068" s="14"/>
      <c r="Q2068" s="14"/>
      <c r="R2068" s="43" t="s">
        <v>2449</v>
      </c>
    </row>
    <row r="2069" spans="1:18">
      <c r="A2069" s="12">
        <v>1581</v>
      </c>
      <c r="B2069" s="13" t="s">
        <v>3174</v>
      </c>
      <c r="C2069" s="14"/>
      <c r="D2069" s="14" t="s">
        <v>3173</v>
      </c>
      <c r="E2069" s="35" t="s">
        <v>2991</v>
      </c>
      <c r="F2069" s="29" t="s">
        <v>22</v>
      </c>
      <c r="G2069" s="14"/>
      <c r="H2069" s="58">
        <v>1</v>
      </c>
      <c r="I2069" s="28"/>
      <c r="J2069" s="28" t="s">
        <v>23</v>
      </c>
      <c r="K2069" s="14"/>
      <c r="L2069" s="14"/>
      <c r="M2069" s="14" t="s">
        <v>650</v>
      </c>
      <c r="N2069" s="14" t="s">
        <v>25</v>
      </c>
      <c r="O2069" s="14"/>
      <c r="P2069" s="14"/>
      <c r="Q2069" s="14"/>
      <c r="R2069" s="14" t="s">
        <v>33</v>
      </c>
    </row>
    <row r="2070" spans="1:18">
      <c r="A2070" s="12">
        <v>2282</v>
      </c>
      <c r="B2070" s="13" t="s">
        <v>3175</v>
      </c>
      <c r="C2070" s="31"/>
      <c r="D2070" s="16">
        <v>690</v>
      </c>
      <c r="E2070" s="35" t="s">
        <v>2991</v>
      </c>
      <c r="F2070" s="29" t="s">
        <v>22</v>
      </c>
      <c r="G2070" s="18"/>
      <c r="H2070" s="58">
        <v>3</v>
      </c>
      <c r="I2070" s="35"/>
      <c r="J2070" s="28" t="s">
        <v>23</v>
      </c>
      <c r="K2070" s="18"/>
      <c r="L2070" s="18"/>
      <c r="M2070" s="18"/>
      <c r="N2070" s="18"/>
      <c r="O2070" s="18"/>
      <c r="P2070" s="18"/>
      <c r="Q2070" s="18"/>
      <c r="R2070" s="32"/>
    </row>
    <row r="2071" spans="1:18">
      <c r="A2071" s="12">
        <v>616</v>
      </c>
      <c r="B2071" s="13" t="s">
        <v>3176</v>
      </c>
      <c r="C2071" s="22"/>
      <c r="D2071" s="22" t="s">
        <v>3177</v>
      </c>
      <c r="E2071" s="35" t="s">
        <v>2991</v>
      </c>
      <c r="F2071" s="29" t="s">
        <v>22</v>
      </c>
      <c r="G2071" s="26"/>
      <c r="H2071" s="58"/>
      <c r="I2071" s="30"/>
      <c r="J2071" s="28" t="s">
        <v>23</v>
      </c>
      <c r="K2071" s="22"/>
      <c r="L2071" s="22"/>
      <c r="M2071" s="14" t="s">
        <v>1537</v>
      </c>
      <c r="N2071" s="14" t="s">
        <v>25</v>
      </c>
      <c r="O2071" s="22"/>
      <c r="P2071" s="14"/>
      <c r="Q2071" s="14"/>
      <c r="R2071" s="43" t="s">
        <v>2449</v>
      </c>
    </row>
    <row r="2072" spans="1:18">
      <c r="A2072" s="12">
        <v>668</v>
      </c>
      <c r="B2072" s="13" t="s">
        <v>3178</v>
      </c>
      <c r="C2072" s="22"/>
      <c r="D2072" s="22" t="s">
        <v>3177</v>
      </c>
      <c r="E2072" s="35" t="s">
        <v>2991</v>
      </c>
      <c r="F2072" s="29" t="s">
        <v>22</v>
      </c>
      <c r="G2072" s="26"/>
      <c r="H2072" s="58"/>
      <c r="I2072" s="30"/>
      <c r="J2072" s="28" t="s">
        <v>23</v>
      </c>
      <c r="K2072" s="22"/>
      <c r="L2072" s="22"/>
      <c r="M2072" s="22" t="s">
        <v>654</v>
      </c>
      <c r="N2072" s="25" t="s">
        <v>37</v>
      </c>
      <c r="O2072" s="22" t="s">
        <v>38</v>
      </c>
      <c r="P2072" s="14"/>
      <c r="Q2072" s="14"/>
      <c r="R2072" s="43" t="s">
        <v>1820</v>
      </c>
    </row>
    <row r="2073" spans="1:18">
      <c r="A2073" s="12">
        <v>1582</v>
      </c>
      <c r="B2073" s="13" t="s">
        <v>3179</v>
      </c>
      <c r="C2073" s="14"/>
      <c r="D2073" s="14" t="s">
        <v>3177</v>
      </c>
      <c r="E2073" s="35" t="s">
        <v>2991</v>
      </c>
      <c r="F2073" s="29" t="s">
        <v>22</v>
      </c>
      <c r="G2073" s="14"/>
      <c r="H2073" s="58">
        <v>2</v>
      </c>
      <c r="I2073" s="28"/>
      <c r="J2073" s="28" t="s">
        <v>23</v>
      </c>
      <c r="K2073" s="14"/>
      <c r="L2073" s="14"/>
      <c r="M2073" s="14" t="s">
        <v>650</v>
      </c>
      <c r="N2073" s="25" t="s">
        <v>37</v>
      </c>
      <c r="O2073" s="14" t="s">
        <v>3180</v>
      </c>
      <c r="P2073" s="14"/>
      <c r="Q2073" s="14"/>
      <c r="R2073" s="14" t="s">
        <v>33</v>
      </c>
    </row>
    <row r="2074" spans="1:18">
      <c r="A2074" s="12">
        <v>2283</v>
      </c>
      <c r="B2074" s="13" t="s">
        <v>3181</v>
      </c>
      <c r="C2074" s="31"/>
      <c r="D2074" s="16">
        <v>691</v>
      </c>
      <c r="E2074" s="35" t="s">
        <v>2991</v>
      </c>
      <c r="F2074" s="29" t="s">
        <v>22</v>
      </c>
      <c r="G2074" s="18"/>
      <c r="H2074" s="58">
        <v>1</v>
      </c>
      <c r="I2074" s="35"/>
      <c r="J2074" s="28" t="s">
        <v>23</v>
      </c>
      <c r="K2074" s="18"/>
      <c r="L2074" s="18"/>
      <c r="M2074" s="18"/>
      <c r="N2074" s="18"/>
      <c r="O2074" s="18"/>
      <c r="P2074" s="18"/>
      <c r="Q2074" s="18"/>
      <c r="R2074" s="32"/>
    </row>
    <row r="2075" spans="1:18">
      <c r="A2075" s="12">
        <v>617</v>
      </c>
      <c r="B2075" s="13" t="s">
        <v>3182</v>
      </c>
      <c r="C2075" s="22"/>
      <c r="D2075" s="22" t="s">
        <v>3183</v>
      </c>
      <c r="E2075" s="35" t="s">
        <v>2991</v>
      </c>
      <c r="F2075" s="29" t="s">
        <v>22</v>
      </c>
      <c r="G2075" s="26"/>
      <c r="H2075" s="58"/>
      <c r="I2075" s="30"/>
      <c r="J2075" s="28" t="s">
        <v>23</v>
      </c>
      <c r="K2075" s="22"/>
      <c r="L2075" s="22"/>
      <c r="M2075" s="14" t="s">
        <v>1537</v>
      </c>
      <c r="N2075" s="14" t="s">
        <v>25</v>
      </c>
      <c r="O2075" s="22"/>
      <c r="P2075" s="14"/>
      <c r="Q2075" s="14"/>
      <c r="R2075" s="43" t="s">
        <v>2449</v>
      </c>
    </row>
    <row r="2076" spans="1:18">
      <c r="A2076" s="12">
        <v>1583</v>
      </c>
      <c r="B2076" s="13" t="s">
        <v>3184</v>
      </c>
      <c r="C2076" s="14"/>
      <c r="D2076" s="14" t="s">
        <v>3183</v>
      </c>
      <c r="E2076" s="35" t="s">
        <v>2991</v>
      </c>
      <c r="F2076" s="29" t="s">
        <v>22</v>
      </c>
      <c r="G2076" s="14"/>
      <c r="H2076" s="58">
        <v>1</v>
      </c>
      <c r="I2076" s="28"/>
      <c r="J2076" s="28" t="s">
        <v>23</v>
      </c>
      <c r="K2076" s="14"/>
      <c r="L2076" s="14"/>
      <c r="M2076" s="14" t="s">
        <v>650</v>
      </c>
      <c r="N2076" s="14" t="s">
        <v>25</v>
      </c>
      <c r="O2076" s="14"/>
      <c r="P2076" s="14"/>
      <c r="Q2076" s="14"/>
      <c r="R2076" s="14" t="s">
        <v>33</v>
      </c>
    </row>
    <row r="2077" spans="1:18">
      <c r="A2077" s="12">
        <v>2284</v>
      </c>
      <c r="B2077" s="13" t="s">
        <v>3185</v>
      </c>
      <c r="C2077" s="31"/>
      <c r="D2077" s="16">
        <v>692</v>
      </c>
      <c r="E2077" s="35" t="s">
        <v>2991</v>
      </c>
      <c r="F2077" s="29" t="s">
        <v>22</v>
      </c>
      <c r="G2077" s="18"/>
      <c r="H2077" s="58">
        <v>1</v>
      </c>
      <c r="I2077" s="35"/>
      <c r="J2077" s="28" t="s">
        <v>23</v>
      </c>
      <c r="K2077" s="18"/>
      <c r="L2077" s="18"/>
      <c r="M2077" s="18"/>
      <c r="N2077" s="18"/>
      <c r="O2077" s="18"/>
      <c r="P2077" s="18"/>
      <c r="Q2077" s="18"/>
      <c r="R2077" s="32"/>
    </row>
    <row r="2078" spans="1:18">
      <c r="A2078" s="12">
        <v>1584</v>
      </c>
      <c r="B2078" s="13" t="s">
        <v>3186</v>
      </c>
      <c r="C2078" s="14"/>
      <c r="D2078" s="14" t="s">
        <v>3187</v>
      </c>
      <c r="E2078" s="35" t="s">
        <v>2991</v>
      </c>
      <c r="F2078" s="29" t="s">
        <v>22</v>
      </c>
      <c r="G2078" s="14"/>
      <c r="H2078" s="58">
        <v>1</v>
      </c>
      <c r="I2078" s="28"/>
      <c r="J2078" s="28" t="s">
        <v>23</v>
      </c>
      <c r="K2078" s="14"/>
      <c r="L2078" s="14"/>
      <c r="M2078" s="14" t="s">
        <v>650</v>
      </c>
      <c r="N2078" s="14" t="s">
        <v>25</v>
      </c>
      <c r="O2078" s="14"/>
      <c r="P2078" s="14"/>
      <c r="Q2078" s="14"/>
      <c r="R2078" s="14" t="s">
        <v>33</v>
      </c>
    </row>
    <row r="2079" spans="1:18">
      <c r="A2079" s="12">
        <v>2285</v>
      </c>
      <c r="B2079" s="13" t="s">
        <v>3188</v>
      </c>
      <c r="C2079" s="31"/>
      <c r="D2079" s="16">
        <v>693</v>
      </c>
      <c r="E2079" s="35" t="s">
        <v>2991</v>
      </c>
      <c r="F2079" s="29" t="s">
        <v>22</v>
      </c>
      <c r="G2079" s="18"/>
      <c r="H2079" s="58">
        <v>2</v>
      </c>
      <c r="I2079" s="35"/>
      <c r="J2079" s="28" t="s">
        <v>23</v>
      </c>
      <c r="K2079" s="18"/>
      <c r="L2079" s="18"/>
      <c r="M2079" s="18"/>
      <c r="N2079" s="18"/>
      <c r="O2079" s="18"/>
      <c r="P2079" s="18"/>
      <c r="Q2079" s="18"/>
      <c r="R2079" s="32"/>
    </row>
    <row r="2080" spans="1:18">
      <c r="A2080" s="12">
        <v>669</v>
      </c>
      <c r="B2080" s="13" t="s">
        <v>3189</v>
      </c>
      <c r="C2080" s="22"/>
      <c r="D2080" s="22" t="s">
        <v>3190</v>
      </c>
      <c r="E2080" s="30" t="s">
        <v>768</v>
      </c>
      <c r="F2080" s="29" t="s">
        <v>22</v>
      </c>
      <c r="G2080" s="26"/>
      <c r="H2080" s="58"/>
      <c r="I2080" s="30"/>
      <c r="J2080" s="28" t="s">
        <v>23</v>
      </c>
      <c r="K2080" s="22"/>
      <c r="L2080" s="22"/>
      <c r="M2080" s="22" t="s">
        <v>654</v>
      </c>
      <c r="N2080" s="25" t="s">
        <v>37</v>
      </c>
      <c r="O2080" s="22" t="s">
        <v>80</v>
      </c>
      <c r="P2080" s="14"/>
      <c r="Q2080" s="14"/>
      <c r="R2080" s="43" t="s">
        <v>1820</v>
      </c>
    </row>
    <row r="2081" spans="1:18">
      <c r="A2081" s="12">
        <v>1585</v>
      </c>
      <c r="B2081" s="13" t="s">
        <v>3191</v>
      </c>
      <c r="C2081" s="14"/>
      <c r="D2081" s="14" t="s">
        <v>3190</v>
      </c>
      <c r="E2081" s="28" t="s">
        <v>768</v>
      </c>
      <c r="F2081" s="29" t="s">
        <v>22</v>
      </c>
      <c r="G2081" s="14"/>
      <c r="H2081" s="58">
        <v>2</v>
      </c>
      <c r="I2081" s="28"/>
      <c r="J2081" s="28" t="s">
        <v>23</v>
      </c>
      <c r="K2081" s="14"/>
      <c r="L2081" s="14"/>
      <c r="M2081" s="14" t="s">
        <v>650</v>
      </c>
      <c r="N2081" s="25" t="s">
        <v>37</v>
      </c>
      <c r="O2081" s="14" t="s">
        <v>3013</v>
      </c>
      <c r="P2081" s="14"/>
      <c r="Q2081" s="14"/>
      <c r="R2081" s="14" t="s">
        <v>33</v>
      </c>
    </row>
    <row r="2082" spans="1:18">
      <c r="A2082" s="12">
        <v>2286</v>
      </c>
      <c r="B2082" s="13" t="s">
        <v>3192</v>
      </c>
      <c r="C2082" s="31"/>
      <c r="D2082" s="16">
        <v>694</v>
      </c>
      <c r="E2082" s="35" t="s">
        <v>768</v>
      </c>
      <c r="F2082" s="29" t="s">
        <v>22</v>
      </c>
      <c r="G2082" s="18"/>
      <c r="H2082" s="58">
        <v>3</v>
      </c>
      <c r="I2082" s="35"/>
      <c r="J2082" s="28" t="s">
        <v>23</v>
      </c>
      <c r="K2082" s="18"/>
      <c r="L2082" s="18"/>
      <c r="M2082" s="18"/>
      <c r="N2082" s="18"/>
      <c r="O2082" s="18"/>
      <c r="P2082" s="18"/>
      <c r="Q2082" s="18"/>
      <c r="R2082" s="32"/>
    </row>
    <row r="2083" spans="1:18">
      <c r="A2083" s="12">
        <v>763</v>
      </c>
      <c r="B2083" s="13" t="s">
        <v>3193</v>
      </c>
      <c r="C2083" s="14"/>
      <c r="D2083" s="14" t="s">
        <v>3194</v>
      </c>
      <c r="E2083" s="28"/>
      <c r="F2083" s="29" t="s">
        <v>22</v>
      </c>
      <c r="G2083" s="21"/>
      <c r="H2083" s="58"/>
      <c r="I2083" s="28"/>
      <c r="J2083" s="28" t="s">
        <v>23</v>
      </c>
      <c r="K2083" s="14"/>
      <c r="L2083" s="14"/>
      <c r="M2083" s="14" t="s">
        <v>1819</v>
      </c>
      <c r="N2083" s="25" t="s">
        <v>37</v>
      </c>
      <c r="O2083" s="14" t="s">
        <v>80</v>
      </c>
      <c r="P2083" s="14"/>
      <c r="Q2083" s="14"/>
      <c r="R2083" s="43" t="s">
        <v>3098</v>
      </c>
    </row>
    <row r="2084" spans="1:18">
      <c r="A2084" s="12">
        <v>1489</v>
      </c>
      <c r="B2084" s="13" t="s">
        <v>3195</v>
      </c>
      <c r="C2084" s="14"/>
      <c r="D2084" s="14" t="s">
        <v>3194</v>
      </c>
      <c r="E2084" s="14" t="s">
        <v>172</v>
      </c>
      <c r="F2084" s="29" t="s">
        <v>22</v>
      </c>
      <c r="G2084" s="21"/>
      <c r="H2084" s="58">
        <v>4</v>
      </c>
      <c r="I2084" s="28"/>
      <c r="J2084" s="28" t="s">
        <v>23</v>
      </c>
      <c r="K2084" s="14"/>
      <c r="L2084" s="14"/>
      <c r="M2084" s="14" t="s">
        <v>2651</v>
      </c>
      <c r="N2084" s="25" t="s">
        <v>37</v>
      </c>
      <c r="O2084" s="14" t="s">
        <v>45</v>
      </c>
      <c r="P2084" s="14"/>
      <c r="Q2084" s="14"/>
      <c r="R2084" s="43" t="s">
        <v>1824</v>
      </c>
    </row>
    <row r="2085" spans="1:18">
      <c r="A2085" s="12">
        <v>2287</v>
      </c>
      <c r="B2085" s="13" t="s">
        <v>3196</v>
      </c>
      <c r="C2085" s="31"/>
      <c r="D2085" s="16">
        <v>695</v>
      </c>
      <c r="E2085" s="35"/>
      <c r="F2085" s="29" t="s">
        <v>22</v>
      </c>
      <c r="G2085" s="18"/>
      <c r="H2085" s="58">
        <v>3</v>
      </c>
      <c r="I2085" s="35"/>
      <c r="J2085" s="28" t="s">
        <v>23</v>
      </c>
      <c r="K2085" s="18"/>
      <c r="L2085" s="18"/>
      <c r="M2085" s="18"/>
      <c r="N2085" s="18"/>
      <c r="O2085" s="18"/>
      <c r="P2085" s="18"/>
      <c r="Q2085" s="18"/>
      <c r="R2085" s="32"/>
    </row>
    <row r="2086" spans="1:18">
      <c r="A2086" s="12">
        <v>764</v>
      </c>
      <c r="B2086" s="13" t="s">
        <v>3197</v>
      </c>
      <c r="C2086" s="14"/>
      <c r="D2086" s="14" t="s">
        <v>3198</v>
      </c>
      <c r="E2086" s="14" t="s">
        <v>137</v>
      </c>
      <c r="F2086" s="29" t="s">
        <v>22</v>
      </c>
      <c r="G2086" s="21"/>
      <c r="H2086" s="58"/>
      <c r="I2086" s="28"/>
      <c r="J2086" s="28" t="s">
        <v>23</v>
      </c>
      <c r="K2086" s="14"/>
      <c r="L2086" s="14"/>
      <c r="M2086" s="14" t="s">
        <v>1819</v>
      </c>
      <c r="N2086" s="25" t="s">
        <v>289</v>
      </c>
      <c r="O2086" s="14" t="s">
        <v>189</v>
      </c>
      <c r="P2086" s="14"/>
      <c r="Q2086" s="14"/>
      <c r="R2086" s="43" t="s">
        <v>3098</v>
      </c>
    </row>
    <row r="2087" spans="1:18">
      <c r="A2087" s="12">
        <v>1490</v>
      </c>
      <c r="B2087" s="13" t="s">
        <v>3199</v>
      </c>
      <c r="C2087" s="14"/>
      <c r="D2087" s="14" t="s">
        <v>3198</v>
      </c>
      <c r="E2087" s="14" t="s">
        <v>137</v>
      </c>
      <c r="F2087" s="29" t="s">
        <v>22</v>
      </c>
      <c r="G2087" s="21"/>
      <c r="H2087" s="58">
        <v>1</v>
      </c>
      <c r="I2087" s="28"/>
      <c r="J2087" s="28" t="s">
        <v>23</v>
      </c>
      <c r="K2087" s="14"/>
      <c r="L2087" s="14"/>
      <c r="M2087" s="14" t="s">
        <v>2651</v>
      </c>
      <c r="N2087" s="14" t="s">
        <v>25</v>
      </c>
      <c r="O2087" s="14"/>
      <c r="P2087" s="14"/>
      <c r="Q2087" s="14"/>
      <c r="R2087" s="43" t="s">
        <v>1824</v>
      </c>
    </row>
    <row r="2088" spans="1:18">
      <c r="A2088" s="12">
        <v>2288</v>
      </c>
      <c r="B2088" s="13" t="s">
        <v>3200</v>
      </c>
      <c r="C2088" s="31"/>
      <c r="D2088" s="16">
        <v>696</v>
      </c>
      <c r="E2088" s="14" t="s">
        <v>137</v>
      </c>
      <c r="F2088" s="29" t="s">
        <v>22</v>
      </c>
      <c r="G2088" s="18"/>
      <c r="H2088" s="58">
        <v>3</v>
      </c>
      <c r="I2088" s="35"/>
      <c r="J2088" s="28" t="s">
        <v>23</v>
      </c>
      <c r="K2088" s="18"/>
      <c r="L2088" s="18"/>
      <c r="M2088" s="18"/>
      <c r="N2088" s="18"/>
      <c r="O2088" s="18"/>
      <c r="P2088" s="18"/>
      <c r="Q2088" s="18"/>
      <c r="R2088" s="32"/>
    </row>
    <row r="2089" spans="1:18">
      <c r="A2089" s="12">
        <v>765</v>
      </c>
      <c r="B2089" s="13" t="s">
        <v>3201</v>
      </c>
      <c r="C2089" s="14"/>
      <c r="D2089" s="14" t="s">
        <v>3202</v>
      </c>
      <c r="E2089" s="28" t="s">
        <v>3203</v>
      </c>
      <c r="F2089" s="29" t="s">
        <v>22</v>
      </c>
      <c r="G2089" s="21"/>
      <c r="H2089" s="58"/>
      <c r="I2089" s="28"/>
      <c r="J2089" s="28" t="s">
        <v>23</v>
      </c>
      <c r="K2089" s="14"/>
      <c r="L2089" s="14"/>
      <c r="M2089" s="14" t="s">
        <v>1819</v>
      </c>
      <c r="N2089" s="25" t="s">
        <v>37</v>
      </c>
      <c r="O2089" s="14" t="s">
        <v>38</v>
      </c>
      <c r="P2089" s="14"/>
      <c r="Q2089" s="14"/>
      <c r="R2089" s="43" t="s">
        <v>3098</v>
      </c>
    </row>
    <row r="2090" spans="1:18">
      <c r="A2090" s="12">
        <v>1491</v>
      </c>
      <c r="B2090" s="13" t="s">
        <v>3204</v>
      </c>
      <c r="C2090" s="14"/>
      <c r="D2090" s="14" t="s">
        <v>3202</v>
      </c>
      <c r="E2090" s="28" t="s">
        <v>3203</v>
      </c>
      <c r="F2090" s="29" t="s">
        <v>22</v>
      </c>
      <c r="G2090" s="21"/>
      <c r="H2090" s="58"/>
      <c r="I2090" s="28"/>
      <c r="J2090" s="28" t="s">
        <v>23</v>
      </c>
      <c r="K2090" s="14"/>
      <c r="L2090" s="14"/>
      <c r="M2090" s="14" t="s">
        <v>2651</v>
      </c>
      <c r="N2090" s="14" t="s">
        <v>25</v>
      </c>
      <c r="O2090" s="14"/>
      <c r="P2090" s="14"/>
      <c r="Q2090" s="14"/>
      <c r="R2090" s="43" t="s">
        <v>1824</v>
      </c>
    </row>
    <row r="2091" spans="1:18">
      <c r="A2091" s="12">
        <v>2289</v>
      </c>
      <c r="B2091" s="13" t="s">
        <v>3205</v>
      </c>
      <c r="C2091" s="31"/>
      <c r="D2091" s="16">
        <v>697</v>
      </c>
      <c r="E2091" s="35" t="s">
        <v>3203</v>
      </c>
      <c r="F2091" s="29" t="s">
        <v>22</v>
      </c>
      <c r="G2091" s="18"/>
      <c r="H2091" s="58"/>
      <c r="I2091" s="35"/>
      <c r="J2091" s="28" t="s">
        <v>23</v>
      </c>
      <c r="K2091" s="18"/>
      <c r="L2091" s="18"/>
      <c r="M2091" s="18"/>
      <c r="N2091" s="18"/>
      <c r="O2091" s="18"/>
      <c r="P2091" s="18"/>
      <c r="Q2091" s="18"/>
      <c r="R2091" s="32"/>
    </row>
    <row r="2092" spans="1:18">
      <c r="A2092" s="12">
        <v>766</v>
      </c>
      <c r="B2092" s="13" t="s">
        <v>3206</v>
      </c>
      <c r="C2092" s="14"/>
      <c r="D2092" s="14" t="s">
        <v>3207</v>
      </c>
      <c r="E2092" s="28"/>
      <c r="F2092" s="29" t="s">
        <v>22</v>
      </c>
      <c r="G2092" s="21"/>
      <c r="H2092" s="58"/>
      <c r="I2092" s="28"/>
      <c r="J2092" s="28" t="s">
        <v>23</v>
      </c>
      <c r="K2092" s="14"/>
      <c r="L2092" s="14"/>
      <c r="M2092" s="14" t="s">
        <v>1819</v>
      </c>
      <c r="N2092" s="25" t="s">
        <v>37</v>
      </c>
      <c r="O2092" s="14" t="s">
        <v>173</v>
      </c>
      <c r="P2092" s="14"/>
      <c r="Q2092" s="14"/>
      <c r="R2092" s="43" t="s">
        <v>3098</v>
      </c>
    </row>
    <row r="2093" spans="1:18">
      <c r="A2093" s="12">
        <v>1492</v>
      </c>
      <c r="B2093" s="13" t="s">
        <v>3208</v>
      </c>
      <c r="C2093" s="14"/>
      <c r="D2093" s="14" t="s">
        <v>3207</v>
      </c>
      <c r="E2093" s="14" t="s">
        <v>172</v>
      </c>
      <c r="F2093" s="29" t="s">
        <v>22</v>
      </c>
      <c r="G2093" s="21"/>
      <c r="H2093" s="58">
        <v>4</v>
      </c>
      <c r="I2093" s="28"/>
      <c r="J2093" s="28" t="s">
        <v>23</v>
      </c>
      <c r="K2093" s="14"/>
      <c r="L2093" s="14"/>
      <c r="M2093" s="14" t="s">
        <v>2651</v>
      </c>
      <c r="N2093" s="25" t="s">
        <v>37</v>
      </c>
      <c r="O2093" s="14" t="s">
        <v>992</v>
      </c>
      <c r="P2093" s="14"/>
      <c r="Q2093" s="14"/>
      <c r="R2093" s="43" t="s">
        <v>1824</v>
      </c>
    </row>
    <row r="2094" spans="1:18">
      <c r="A2094" s="12">
        <v>2290</v>
      </c>
      <c r="B2094" s="13" t="s">
        <v>3209</v>
      </c>
      <c r="C2094" s="31"/>
      <c r="D2094" s="16">
        <v>698</v>
      </c>
      <c r="E2094" s="35"/>
      <c r="F2094" s="29" t="s">
        <v>22</v>
      </c>
      <c r="G2094" s="18"/>
      <c r="H2094" s="58">
        <v>4</v>
      </c>
      <c r="I2094" s="35"/>
      <c r="J2094" s="28" t="s">
        <v>23</v>
      </c>
      <c r="K2094" s="18"/>
      <c r="L2094" s="18"/>
      <c r="M2094" s="18"/>
      <c r="N2094" s="18"/>
      <c r="O2094" s="18"/>
      <c r="P2094" s="18"/>
      <c r="Q2094" s="18"/>
      <c r="R2094" s="32"/>
    </row>
    <row r="2095" spans="1:18">
      <c r="A2095" s="12">
        <v>767</v>
      </c>
      <c r="B2095" s="13" t="s">
        <v>3210</v>
      </c>
      <c r="C2095" s="14"/>
      <c r="D2095" s="14" t="s">
        <v>3211</v>
      </c>
      <c r="E2095" s="14" t="s">
        <v>215</v>
      </c>
      <c r="F2095" s="29" t="s">
        <v>22</v>
      </c>
      <c r="G2095" s="21"/>
      <c r="H2095" s="58"/>
      <c r="I2095" s="28"/>
      <c r="J2095" s="28" t="s">
        <v>23</v>
      </c>
      <c r="K2095" s="14"/>
      <c r="L2095" s="14"/>
      <c r="M2095" s="14" t="s">
        <v>1819</v>
      </c>
      <c r="N2095" s="14" t="s">
        <v>25</v>
      </c>
      <c r="O2095" s="14"/>
      <c r="P2095" s="14"/>
      <c r="Q2095" s="14"/>
      <c r="R2095" s="43" t="s">
        <v>3098</v>
      </c>
    </row>
    <row r="2096" spans="1:18">
      <c r="A2096" s="12">
        <v>1493</v>
      </c>
      <c r="B2096" s="13" t="s">
        <v>3212</v>
      </c>
      <c r="C2096" s="14"/>
      <c r="D2096" s="14" t="s">
        <v>3211</v>
      </c>
      <c r="E2096" s="14" t="s">
        <v>215</v>
      </c>
      <c r="F2096" s="29" t="s">
        <v>22</v>
      </c>
      <c r="G2096" s="21"/>
      <c r="H2096" s="58"/>
      <c r="I2096" s="28"/>
      <c r="J2096" s="28" t="s">
        <v>23</v>
      </c>
      <c r="K2096" s="14"/>
      <c r="L2096" s="14"/>
      <c r="M2096" s="14" t="s">
        <v>2651</v>
      </c>
      <c r="N2096" s="25" t="s">
        <v>37</v>
      </c>
      <c r="O2096" s="14" t="s">
        <v>3213</v>
      </c>
      <c r="P2096" s="14"/>
      <c r="Q2096" s="14"/>
      <c r="R2096" s="43" t="s">
        <v>1824</v>
      </c>
    </row>
    <row r="2097" spans="1:18">
      <c r="A2097" s="12">
        <v>2291</v>
      </c>
      <c r="B2097" s="13" t="s">
        <v>3214</v>
      </c>
      <c r="C2097" s="31"/>
      <c r="D2097" s="16">
        <v>699</v>
      </c>
      <c r="E2097" s="14" t="s">
        <v>215</v>
      </c>
      <c r="F2097" s="29" t="s">
        <v>22</v>
      </c>
      <c r="G2097" s="18"/>
      <c r="H2097" s="58"/>
      <c r="I2097" s="50"/>
      <c r="J2097" s="28" t="s">
        <v>23</v>
      </c>
      <c r="K2097" s="18"/>
      <c r="L2097" s="18"/>
      <c r="M2097" s="18"/>
      <c r="N2097" s="18"/>
      <c r="O2097" s="18"/>
      <c r="P2097" s="18"/>
      <c r="Q2097" s="18"/>
      <c r="R2097" s="32"/>
    </row>
    <row r="2098" spans="1:18">
      <c r="A2098" s="12">
        <v>768</v>
      </c>
      <c r="B2098" s="13" t="s">
        <v>3215</v>
      </c>
      <c r="C2098" s="14"/>
      <c r="D2098" s="14" t="s">
        <v>3216</v>
      </c>
      <c r="E2098" s="28" t="s">
        <v>2355</v>
      </c>
      <c r="F2098" s="29" t="s">
        <v>22</v>
      </c>
      <c r="G2098" s="21"/>
      <c r="H2098" s="58"/>
      <c r="I2098" s="28"/>
      <c r="J2098" s="28" t="s">
        <v>23</v>
      </c>
      <c r="K2098" s="28"/>
      <c r="L2098" s="28"/>
      <c r="M2098" s="28" t="s">
        <v>1819</v>
      </c>
      <c r="N2098" s="41" t="s">
        <v>37</v>
      </c>
      <c r="O2098" s="28" t="s">
        <v>179</v>
      </c>
      <c r="P2098" s="28"/>
      <c r="Q2098" s="28"/>
      <c r="R2098" s="33" t="s">
        <v>3098</v>
      </c>
    </row>
    <row r="2099" spans="1:18">
      <c r="A2099" s="12">
        <v>1494</v>
      </c>
      <c r="B2099" s="13" t="s">
        <v>3217</v>
      </c>
      <c r="C2099" s="14"/>
      <c r="D2099" s="14" t="s">
        <v>3216</v>
      </c>
      <c r="E2099" s="28" t="s">
        <v>2355</v>
      </c>
      <c r="F2099" s="15" t="s">
        <v>22</v>
      </c>
      <c r="G2099" s="21"/>
      <c r="H2099" s="58">
        <v>2</v>
      </c>
      <c r="I2099" s="28"/>
      <c r="J2099" s="28" t="s">
        <v>23</v>
      </c>
      <c r="K2099" s="14"/>
      <c r="L2099" s="14"/>
      <c r="M2099" s="14" t="s">
        <v>2651</v>
      </c>
      <c r="N2099" s="25" t="s">
        <v>37</v>
      </c>
      <c r="O2099" s="14" t="s">
        <v>1155</v>
      </c>
      <c r="P2099" s="14"/>
      <c r="Q2099" s="14"/>
      <c r="R2099" s="43" t="s">
        <v>1824</v>
      </c>
    </row>
    <row r="2100" spans="1:18">
      <c r="A2100" s="12">
        <v>2292</v>
      </c>
      <c r="B2100" s="13" t="s">
        <v>3218</v>
      </c>
      <c r="C2100" s="31"/>
      <c r="D2100" s="16">
        <v>700</v>
      </c>
      <c r="E2100" s="28" t="s">
        <v>2355</v>
      </c>
      <c r="F2100" s="15" t="s">
        <v>22</v>
      </c>
      <c r="G2100" s="18"/>
      <c r="H2100" s="58">
        <v>1</v>
      </c>
      <c r="I2100" s="51"/>
      <c r="J2100" s="28" t="s">
        <v>23</v>
      </c>
      <c r="K2100" s="18"/>
      <c r="L2100" s="18"/>
      <c r="M2100" s="18"/>
      <c r="N2100" s="18"/>
      <c r="O2100" s="18"/>
      <c r="P2100" s="18"/>
      <c r="Q2100" s="18"/>
      <c r="R2100" s="32"/>
    </row>
    <row r="2101" spans="1:18">
      <c r="A2101" s="12">
        <v>769</v>
      </c>
      <c r="B2101" s="13" t="s">
        <v>3219</v>
      </c>
      <c r="C2101" s="14"/>
      <c r="D2101" s="14" t="s">
        <v>3220</v>
      </c>
      <c r="E2101" s="14"/>
      <c r="F2101" s="15" t="s">
        <v>22</v>
      </c>
      <c r="G2101" s="21"/>
      <c r="H2101" s="58"/>
      <c r="I2101" s="28"/>
      <c r="J2101" s="28" t="s">
        <v>23</v>
      </c>
      <c r="K2101" s="14"/>
      <c r="L2101" s="14"/>
      <c r="M2101" s="14" t="s">
        <v>1819</v>
      </c>
      <c r="N2101" s="25" t="s">
        <v>37</v>
      </c>
      <c r="O2101" s="14" t="s">
        <v>80</v>
      </c>
      <c r="P2101" s="14"/>
      <c r="Q2101" s="14"/>
      <c r="R2101" s="43" t="s">
        <v>3098</v>
      </c>
    </row>
    <row r="2102" spans="1:18">
      <c r="A2102" s="12">
        <v>1495</v>
      </c>
      <c r="B2102" s="13" t="s">
        <v>3221</v>
      </c>
      <c r="C2102" s="14"/>
      <c r="D2102" s="14" t="s">
        <v>3220</v>
      </c>
      <c r="E2102" s="14"/>
      <c r="F2102" s="15" t="s">
        <v>22</v>
      </c>
      <c r="G2102" s="21"/>
      <c r="H2102" s="58"/>
      <c r="I2102" s="28"/>
      <c r="J2102" s="28" t="s">
        <v>23</v>
      </c>
      <c r="K2102" s="14"/>
      <c r="L2102" s="14"/>
      <c r="M2102" s="14" t="s">
        <v>2651</v>
      </c>
      <c r="N2102" s="25" t="s">
        <v>289</v>
      </c>
      <c r="O2102" s="14" t="s">
        <v>3222</v>
      </c>
      <c r="P2102" s="14"/>
      <c r="Q2102" s="14"/>
      <c r="R2102" s="43" t="s">
        <v>1824</v>
      </c>
    </row>
    <row r="2103" spans="1:18">
      <c r="A2103" s="12">
        <v>2293</v>
      </c>
      <c r="B2103" s="13" t="s">
        <v>3223</v>
      </c>
      <c r="C2103" s="31"/>
      <c r="D2103" s="16">
        <v>701</v>
      </c>
      <c r="E2103" s="16"/>
      <c r="F2103" s="15" t="s">
        <v>22</v>
      </c>
      <c r="G2103" s="18"/>
      <c r="H2103" s="58">
        <v>2</v>
      </c>
      <c r="I2103" s="51"/>
      <c r="J2103" s="28" t="s">
        <v>23</v>
      </c>
      <c r="K2103" s="18"/>
      <c r="L2103" s="18"/>
      <c r="M2103" s="18"/>
      <c r="N2103" s="18"/>
      <c r="O2103" s="18"/>
      <c r="P2103" s="18"/>
      <c r="Q2103" s="18"/>
      <c r="R2103" s="32"/>
    </row>
    <row r="2104" spans="1:18">
      <c r="A2104" s="12">
        <v>770</v>
      </c>
      <c r="B2104" s="13" t="s">
        <v>3224</v>
      </c>
      <c r="C2104" s="14"/>
      <c r="D2104" s="14" t="s">
        <v>3225</v>
      </c>
      <c r="E2104" s="14" t="s">
        <v>2626</v>
      </c>
      <c r="F2104" s="15" t="s">
        <v>22</v>
      </c>
      <c r="G2104" s="21"/>
      <c r="H2104" s="58"/>
      <c r="I2104" s="28"/>
      <c r="J2104" s="28" t="s">
        <v>23</v>
      </c>
      <c r="K2104" s="14"/>
      <c r="L2104" s="14"/>
      <c r="M2104" s="14" t="s">
        <v>1819</v>
      </c>
      <c r="N2104" s="25" t="s">
        <v>37</v>
      </c>
      <c r="O2104" s="14" t="s">
        <v>173</v>
      </c>
      <c r="P2104" s="14"/>
      <c r="Q2104" s="14"/>
      <c r="R2104" s="43" t="s">
        <v>3098</v>
      </c>
    </row>
    <row r="2105" spans="1:18">
      <c r="A2105" s="12">
        <v>1496</v>
      </c>
      <c r="B2105" s="13" t="s">
        <v>3226</v>
      </c>
      <c r="C2105" s="14"/>
      <c r="D2105" s="14" t="s">
        <v>3225</v>
      </c>
      <c r="E2105" s="14" t="s">
        <v>2626</v>
      </c>
      <c r="F2105" s="15" t="s">
        <v>22</v>
      </c>
      <c r="G2105" s="21"/>
      <c r="H2105" s="58">
        <v>1</v>
      </c>
      <c r="I2105" s="28"/>
      <c r="J2105" s="28" t="s">
        <v>23</v>
      </c>
      <c r="K2105" s="14"/>
      <c r="L2105" s="14"/>
      <c r="M2105" s="14" t="s">
        <v>2651</v>
      </c>
      <c r="N2105" s="14" t="s">
        <v>25</v>
      </c>
      <c r="O2105" s="14"/>
      <c r="P2105" s="14"/>
      <c r="Q2105" s="14"/>
      <c r="R2105" s="43" t="s">
        <v>1824</v>
      </c>
    </row>
    <row r="2106" spans="1:18">
      <c r="A2106" s="12">
        <v>2294</v>
      </c>
      <c r="B2106" s="13" t="s">
        <v>3227</v>
      </c>
      <c r="C2106" s="31"/>
      <c r="D2106" s="16">
        <v>702</v>
      </c>
      <c r="E2106" s="16" t="s">
        <v>2626</v>
      </c>
      <c r="F2106" s="15" t="s">
        <v>22</v>
      </c>
      <c r="G2106" s="18"/>
      <c r="H2106" s="58"/>
      <c r="I2106" s="51"/>
      <c r="J2106" s="28" t="s">
        <v>23</v>
      </c>
      <c r="K2106" s="18"/>
      <c r="L2106" s="18"/>
      <c r="M2106" s="18"/>
      <c r="N2106" s="18"/>
      <c r="O2106" s="18"/>
      <c r="P2106" s="18"/>
      <c r="Q2106" s="18"/>
      <c r="R2106" s="32"/>
    </row>
    <row r="2107" spans="1:18">
      <c r="A2107" s="12">
        <v>771</v>
      </c>
      <c r="B2107" s="13" t="s">
        <v>3228</v>
      </c>
      <c r="C2107" s="14"/>
      <c r="D2107" s="14" t="s">
        <v>3229</v>
      </c>
      <c r="E2107" s="14" t="s">
        <v>3160</v>
      </c>
      <c r="F2107" s="15" t="s">
        <v>22</v>
      </c>
      <c r="G2107" s="21"/>
      <c r="H2107" s="58"/>
      <c r="I2107" s="28"/>
      <c r="J2107" s="28" t="s">
        <v>23</v>
      </c>
      <c r="K2107" s="14"/>
      <c r="L2107" s="14"/>
      <c r="M2107" s="14" t="s">
        <v>1819</v>
      </c>
      <c r="N2107" s="25" t="s">
        <v>37</v>
      </c>
      <c r="O2107" s="14" t="s">
        <v>189</v>
      </c>
      <c r="P2107" s="14"/>
      <c r="Q2107" s="14"/>
      <c r="R2107" s="43" t="s">
        <v>3098</v>
      </c>
    </row>
    <row r="2108" spans="1:18">
      <c r="A2108" s="12">
        <v>1497</v>
      </c>
      <c r="B2108" s="13" t="s">
        <v>3230</v>
      </c>
      <c r="C2108" s="14"/>
      <c r="D2108" s="14" t="s">
        <v>3229</v>
      </c>
      <c r="E2108" s="14" t="s">
        <v>3160</v>
      </c>
      <c r="F2108" s="15" t="s">
        <v>22</v>
      </c>
      <c r="G2108" s="21"/>
      <c r="H2108" s="58">
        <v>3</v>
      </c>
      <c r="I2108" s="28"/>
      <c r="J2108" s="28" t="s">
        <v>23</v>
      </c>
      <c r="K2108" s="14"/>
      <c r="L2108" s="14"/>
      <c r="M2108" s="14" t="s">
        <v>2651</v>
      </c>
      <c r="N2108" s="14" t="s">
        <v>25</v>
      </c>
      <c r="O2108" s="14"/>
      <c r="P2108" s="14"/>
      <c r="Q2108" s="14"/>
      <c r="R2108" s="43" t="s">
        <v>1824</v>
      </c>
    </row>
    <row r="2109" spans="1:18">
      <c r="A2109" s="12">
        <v>2295</v>
      </c>
      <c r="B2109" s="13" t="s">
        <v>3231</v>
      </c>
      <c r="C2109" s="31"/>
      <c r="D2109" s="16">
        <v>703</v>
      </c>
      <c r="E2109" s="14" t="s">
        <v>3160</v>
      </c>
      <c r="F2109" s="15" t="s">
        <v>22</v>
      </c>
      <c r="G2109" s="18"/>
      <c r="H2109" s="58">
        <v>2</v>
      </c>
      <c r="I2109" s="51"/>
      <c r="J2109" s="28" t="s">
        <v>23</v>
      </c>
      <c r="K2109" s="18"/>
      <c r="L2109" s="18"/>
      <c r="M2109" s="18"/>
      <c r="N2109" s="18"/>
      <c r="O2109" s="18"/>
      <c r="P2109" s="18"/>
      <c r="Q2109" s="18"/>
      <c r="R2109" s="32"/>
    </row>
    <row r="2110" spans="1:18">
      <c r="A2110" s="12">
        <v>772</v>
      </c>
      <c r="B2110" s="13" t="s">
        <v>3232</v>
      </c>
      <c r="C2110" s="14"/>
      <c r="D2110" s="14" t="s">
        <v>3233</v>
      </c>
      <c r="E2110" s="14" t="s">
        <v>3160</v>
      </c>
      <c r="F2110" s="15" t="s">
        <v>22</v>
      </c>
      <c r="G2110" s="21"/>
      <c r="H2110" s="58"/>
      <c r="I2110" s="28"/>
      <c r="J2110" s="28" t="s">
        <v>23</v>
      </c>
      <c r="K2110" s="14"/>
      <c r="L2110" s="14"/>
      <c r="M2110" s="14" t="s">
        <v>1819</v>
      </c>
      <c r="N2110" s="14" t="s">
        <v>25</v>
      </c>
      <c r="O2110" s="14"/>
      <c r="P2110" s="14"/>
      <c r="Q2110" s="14"/>
      <c r="R2110" s="43" t="s">
        <v>3098</v>
      </c>
    </row>
    <row r="2111" spans="1:18">
      <c r="A2111" s="12">
        <v>1498</v>
      </c>
      <c r="B2111" s="13" t="s">
        <v>3234</v>
      </c>
      <c r="C2111" s="14"/>
      <c r="D2111" s="14" t="s">
        <v>3233</v>
      </c>
      <c r="E2111" s="14" t="s">
        <v>3160</v>
      </c>
      <c r="F2111" s="15" t="s">
        <v>22</v>
      </c>
      <c r="G2111" s="21"/>
      <c r="H2111" s="58">
        <v>2</v>
      </c>
      <c r="I2111" s="28"/>
      <c r="J2111" s="28" t="s">
        <v>23</v>
      </c>
      <c r="K2111" s="14"/>
      <c r="L2111" s="14"/>
      <c r="M2111" s="14" t="s">
        <v>2651</v>
      </c>
      <c r="N2111" s="14" t="s">
        <v>25</v>
      </c>
      <c r="O2111" s="14"/>
      <c r="P2111" s="14"/>
      <c r="Q2111" s="14"/>
      <c r="R2111" s="43" t="s">
        <v>1824</v>
      </c>
    </row>
    <row r="2112" spans="1:18">
      <c r="A2112" s="12">
        <v>2296</v>
      </c>
      <c r="B2112" s="13" t="s">
        <v>3235</v>
      </c>
      <c r="C2112" s="31"/>
      <c r="D2112" s="16">
        <v>704</v>
      </c>
      <c r="E2112" s="14" t="s">
        <v>3160</v>
      </c>
      <c r="F2112" s="15" t="s">
        <v>22</v>
      </c>
      <c r="G2112" s="18"/>
      <c r="H2112" s="58">
        <v>2</v>
      </c>
      <c r="I2112" s="51"/>
      <c r="J2112" s="28" t="s">
        <v>23</v>
      </c>
      <c r="K2112" s="18"/>
      <c r="L2112" s="18"/>
      <c r="M2112" s="18"/>
      <c r="N2112" s="18"/>
      <c r="O2112" s="18"/>
      <c r="P2112" s="18"/>
      <c r="Q2112" s="18"/>
      <c r="R2112" s="32"/>
    </row>
    <row r="2113" spans="1:18">
      <c r="A2113" s="12">
        <v>773</v>
      </c>
      <c r="B2113" s="13" t="s">
        <v>3236</v>
      </c>
      <c r="C2113" s="14"/>
      <c r="D2113" s="14" t="s">
        <v>3237</v>
      </c>
      <c r="E2113" s="14" t="s">
        <v>3160</v>
      </c>
      <c r="F2113" s="15" t="s">
        <v>22</v>
      </c>
      <c r="G2113" s="21"/>
      <c r="H2113" s="58"/>
      <c r="I2113" s="28"/>
      <c r="J2113" s="28" t="s">
        <v>23</v>
      </c>
      <c r="K2113" s="14"/>
      <c r="L2113" s="14"/>
      <c r="M2113" s="14" t="s">
        <v>1819</v>
      </c>
      <c r="N2113" s="25" t="s">
        <v>37</v>
      </c>
      <c r="O2113" s="14" t="s">
        <v>52</v>
      </c>
      <c r="P2113" s="14"/>
      <c r="Q2113" s="14"/>
      <c r="R2113" s="43" t="s">
        <v>3098</v>
      </c>
    </row>
    <row r="2114" spans="1:18">
      <c r="A2114" s="12">
        <v>1499</v>
      </c>
      <c r="B2114" s="13" t="s">
        <v>3238</v>
      </c>
      <c r="C2114" s="14"/>
      <c r="D2114" s="14" t="s">
        <v>3237</v>
      </c>
      <c r="E2114" s="14" t="s">
        <v>3160</v>
      </c>
      <c r="F2114" s="15" t="s">
        <v>22</v>
      </c>
      <c r="G2114" s="21"/>
      <c r="H2114" s="58"/>
      <c r="I2114" s="28"/>
      <c r="J2114" s="28" t="s">
        <v>23</v>
      </c>
      <c r="K2114" s="14"/>
      <c r="L2114" s="14"/>
      <c r="M2114" s="14" t="s">
        <v>2651</v>
      </c>
      <c r="N2114" s="25" t="s">
        <v>37</v>
      </c>
      <c r="O2114" s="14" t="s">
        <v>1361</v>
      </c>
      <c r="P2114" s="14"/>
      <c r="Q2114" s="14"/>
      <c r="R2114" s="43" t="s">
        <v>1824</v>
      </c>
    </row>
    <row r="2115" spans="1:18">
      <c r="A2115" s="12">
        <v>2297</v>
      </c>
      <c r="B2115" s="13" t="s">
        <v>3239</v>
      </c>
      <c r="C2115" s="31"/>
      <c r="D2115" s="16">
        <v>705</v>
      </c>
      <c r="E2115" s="14" t="s">
        <v>3160</v>
      </c>
      <c r="F2115" s="15" t="s">
        <v>22</v>
      </c>
      <c r="G2115" s="18"/>
      <c r="H2115" s="58"/>
      <c r="I2115" s="51"/>
      <c r="J2115" s="28" t="s">
        <v>23</v>
      </c>
      <c r="K2115" s="18"/>
      <c r="L2115" s="18"/>
      <c r="M2115" s="18"/>
      <c r="N2115" s="18"/>
      <c r="O2115" s="18"/>
      <c r="P2115" s="18"/>
      <c r="Q2115" s="18"/>
      <c r="R2115" s="32"/>
    </row>
    <row r="2116" spans="1:18">
      <c r="A2116" s="12">
        <v>774</v>
      </c>
      <c r="B2116" s="13" t="s">
        <v>3240</v>
      </c>
      <c r="C2116" s="14"/>
      <c r="D2116" s="14" t="s">
        <v>3241</v>
      </c>
      <c r="E2116" s="14" t="s">
        <v>3160</v>
      </c>
      <c r="F2116" s="15" t="s">
        <v>22</v>
      </c>
      <c r="G2116" s="21"/>
      <c r="H2116" s="58"/>
      <c r="I2116" s="28"/>
      <c r="J2116" s="28" t="s">
        <v>23</v>
      </c>
      <c r="K2116" s="14"/>
      <c r="L2116" s="14"/>
      <c r="M2116" s="14" t="s">
        <v>1819</v>
      </c>
      <c r="N2116" s="14" t="s">
        <v>25</v>
      </c>
      <c r="O2116" s="14"/>
      <c r="P2116" s="14"/>
      <c r="Q2116" s="14"/>
      <c r="R2116" s="43" t="s">
        <v>3098</v>
      </c>
    </row>
    <row r="2117" spans="1:18">
      <c r="A2117" s="12">
        <v>1500</v>
      </c>
      <c r="B2117" s="13" t="s">
        <v>3242</v>
      </c>
      <c r="C2117" s="14"/>
      <c r="D2117" s="14" t="s">
        <v>3241</v>
      </c>
      <c r="E2117" s="14" t="s">
        <v>3160</v>
      </c>
      <c r="F2117" s="15" t="s">
        <v>22</v>
      </c>
      <c r="G2117" s="21"/>
      <c r="H2117" s="58">
        <v>2</v>
      </c>
      <c r="I2117" s="28"/>
      <c r="J2117" s="28" t="s">
        <v>23</v>
      </c>
      <c r="K2117" s="14"/>
      <c r="L2117" s="14"/>
      <c r="M2117" s="14" t="s">
        <v>2651</v>
      </c>
      <c r="N2117" s="25" t="s">
        <v>37</v>
      </c>
      <c r="O2117" s="14" t="s">
        <v>301</v>
      </c>
      <c r="P2117" s="14"/>
      <c r="Q2117" s="14"/>
      <c r="R2117" s="43" t="s">
        <v>1824</v>
      </c>
    </row>
    <row r="2118" spans="1:18">
      <c r="A2118" s="12">
        <v>2298</v>
      </c>
      <c r="B2118" s="13" t="s">
        <v>3243</v>
      </c>
      <c r="C2118" s="31"/>
      <c r="D2118" s="16">
        <v>706</v>
      </c>
      <c r="E2118" s="14" t="s">
        <v>3160</v>
      </c>
      <c r="F2118" s="15" t="s">
        <v>22</v>
      </c>
      <c r="G2118" s="18"/>
      <c r="H2118" s="58">
        <v>2</v>
      </c>
      <c r="I2118" s="51"/>
      <c r="J2118" s="28" t="s">
        <v>23</v>
      </c>
      <c r="K2118" s="18"/>
      <c r="L2118" s="18"/>
      <c r="M2118" s="18"/>
      <c r="N2118" s="18"/>
      <c r="O2118" s="18"/>
      <c r="P2118" s="18"/>
      <c r="Q2118" s="18"/>
      <c r="R2118" s="32"/>
    </row>
    <row r="2119" spans="1:18">
      <c r="A2119" s="12">
        <v>775</v>
      </c>
      <c r="B2119" s="13" t="s">
        <v>3244</v>
      </c>
      <c r="C2119" s="14"/>
      <c r="D2119" s="14" t="s">
        <v>3245</v>
      </c>
      <c r="E2119" s="14" t="s">
        <v>3160</v>
      </c>
      <c r="F2119" s="15" t="s">
        <v>22</v>
      </c>
      <c r="G2119" s="21"/>
      <c r="H2119" s="58"/>
      <c r="I2119" s="28"/>
      <c r="J2119" s="28" t="s">
        <v>23</v>
      </c>
      <c r="K2119" s="14"/>
      <c r="L2119" s="14"/>
      <c r="M2119" s="14" t="s">
        <v>1819</v>
      </c>
      <c r="N2119" s="14" t="s">
        <v>25</v>
      </c>
      <c r="O2119" s="14"/>
      <c r="P2119" s="14"/>
      <c r="Q2119" s="14"/>
      <c r="R2119" s="43" t="s">
        <v>3098</v>
      </c>
    </row>
    <row r="2120" spans="1:18">
      <c r="A2120" s="12">
        <v>1501</v>
      </c>
      <c r="B2120" s="13" t="s">
        <v>3246</v>
      </c>
      <c r="C2120" s="14"/>
      <c r="D2120" s="14" t="s">
        <v>3245</v>
      </c>
      <c r="E2120" s="14" t="s">
        <v>3160</v>
      </c>
      <c r="F2120" s="15" t="s">
        <v>22</v>
      </c>
      <c r="G2120" s="21"/>
      <c r="H2120" s="58"/>
      <c r="I2120" s="28"/>
      <c r="J2120" s="28" t="s">
        <v>23</v>
      </c>
      <c r="K2120" s="14"/>
      <c r="L2120" s="14"/>
      <c r="M2120" s="14" t="s">
        <v>2651</v>
      </c>
      <c r="N2120" s="14" t="s">
        <v>25</v>
      </c>
      <c r="O2120" s="14"/>
      <c r="P2120" s="14"/>
      <c r="Q2120" s="14"/>
      <c r="R2120" s="43" t="s">
        <v>1824</v>
      </c>
    </row>
    <row r="2121" spans="1:18">
      <c r="A2121" s="12">
        <v>2299</v>
      </c>
      <c r="B2121" s="13" t="s">
        <v>3247</v>
      </c>
      <c r="C2121" s="31"/>
      <c r="D2121" s="16">
        <v>707</v>
      </c>
      <c r="E2121" s="14" t="s">
        <v>3160</v>
      </c>
      <c r="F2121" s="15" t="s">
        <v>22</v>
      </c>
      <c r="G2121" s="18"/>
      <c r="H2121" s="58"/>
      <c r="I2121" s="51"/>
      <c r="J2121" s="28" t="s">
        <v>23</v>
      </c>
      <c r="K2121" s="18"/>
      <c r="L2121" s="18"/>
      <c r="M2121" s="18"/>
      <c r="N2121" s="18"/>
      <c r="O2121" s="18"/>
      <c r="P2121" s="18"/>
      <c r="Q2121" s="18"/>
      <c r="R2121" s="32"/>
    </row>
    <row r="2122" spans="1:18">
      <c r="A2122" s="12">
        <v>776</v>
      </c>
      <c r="B2122" s="13" t="s">
        <v>3248</v>
      </c>
      <c r="C2122" s="14"/>
      <c r="D2122" s="14" t="s">
        <v>3249</v>
      </c>
      <c r="E2122" s="14" t="s">
        <v>2991</v>
      </c>
      <c r="F2122" s="15" t="s">
        <v>22</v>
      </c>
      <c r="G2122" s="21"/>
      <c r="H2122" s="58"/>
      <c r="I2122" s="28"/>
      <c r="J2122" s="28" t="s">
        <v>23</v>
      </c>
      <c r="K2122" s="14"/>
      <c r="L2122" s="14"/>
      <c r="M2122" s="14" t="s">
        <v>1819</v>
      </c>
      <c r="N2122" s="25" t="s">
        <v>289</v>
      </c>
      <c r="O2122" s="14" t="s">
        <v>138</v>
      </c>
      <c r="P2122" s="14"/>
      <c r="Q2122" s="14"/>
      <c r="R2122" s="43" t="s">
        <v>3098</v>
      </c>
    </row>
    <row r="2123" spans="1:18">
      <c r="A2123" s="12">
        <v>1502</v>
      </c>
      <c r="B2123" s="13" t="s">
        <v>3250</v>
      </c>
      <c r="C2123" s="14"/>
      <c r="D2123" s="14" t="s">
        <v>3249</v>
      </c>
      <c r="E2123" s="14" t="s">
        <v>2991</v>
      </c>
      <c r="F2123" s="15" t="s">
        <v>22</v>
      </c>
      <c r="G2123" s="21"/>
      <c r="H2123" s="58">
        <v>1</v>
      </c>
      <c r="I2123" s="28"/>
      <c r="J2123" s="28" t="s">
        <v>23</v>
      </c>
      <c r="K2123" s="14"/>
      <c r="L2123" s="14"/>
      <c r="M2123" s="14" t="s">
        <v>2651</v>
      </c>
      <c r="N2123" s="25" t="s">
        <v>37</v>
      </c>
      <c r="O2123" s="14" t="s">
        <v>479</v>
      </c>
      <c r="P2123" s="14"/>
      <c r="Q2123" s="14"/>
      <c r="R2123" s="43" t="s">
        <v>1824</v>
      </c>
    </row>
    <row r="2124" spans="1:18">
      <c r="A2124" s="12">
        <v>2300</v>
      </c>
      <c r="B2124" s="13" t="s">
        <v>3251</v>
      </c>
      <c r="C2124" s="31"/>
      <c r="D2124" s="16">
        <v>708</v>
      </c>
      <c r="E2124" s="16" t="s">
        <v>2991</v>
      </c>
      <c r="F2124" s="15" t="s">
        <v>22</v>
      </c>
      <c r="G2124" s="18"/>
      <c r="H2124" s="58">
        <v>2</v>
      </c>
      <c r="I2124" s="51"/>
      <c r="J2124" s="28" t="s">
        <v>23</v>
      </c>
      <c r="K2124" s="18"/>
      <c r="L2124" s="18"/>
      <c r="M2124" s="18"/>
      <c r="N2124" s="18"/>
      <c r="O2124" s="18"/>
      <c r="P2124" s="18"/>
      <c r="Q2124" s="18"/>
      <c r="R2124" s="32"/>
    </row>
    <row r="2125" spans="1:18">
      <c r="A2125" s="12">
        <v>777</v>
      </c>
      <c r="B2125" s="13" t="s">
        <v>3252</v>
      </c>
      <c r="C2125" s="14"/>
      <c r="D2125" s="14" t="s">
        <v>3253</v>
      </c>
      <c r="E2125" s="14" t="s">
        <v>21</v>
      </c>
      <c r="F2125" s="15" t="s">
        <v>22</v>
      </c>
      <c r="G2125" s="21"/>
      <c r="H2125" s="58"/>
      <c r="I2125" s="28"/>
      <c r="J2125" s="28" t="s">
        <v>23</v>
      </c>
      <c r="K2125" s="14"/>
      <c r="L2125" s="14"/>
      <c r="M2125" s="14" t="s">
        <v>1819</v>
      </c>
      <c r="N2125" s="14" t="s">
        <v>25</v>
      </c>
      <c r="O2125" s="14"/>
      <c r="P2125" s="14"/>
      <c r="Q2125" s="14"/>
      <c r="R2125" s="43" t="s">
        <v>3098</v>
      </c>
    </row>
    <row r="2126" spans="1:18">
      <c r="A2126" s="12">
        <v>1503</v>
      </c>
      <c r="B2126" s="13" t="s">
        <v>3254</v>
      </c>
      <c r="C2126" s="14"/>
      <c r="D2126" s="14" t="s">
        <v>3253</v>
      </c>
      <c r="E2126" s="14" t="s">
        <v>21</v>
      </c>
      <c r="F2126" s="15" t="s">
        <v>22</v>
      </c>
      <c r="G2126" s="21"/>
      <c r="H2126" s="58">
        <v>1</v>
      </c>
      <c r="I2126" s="28"/>
      <c r="J2126" s="28" t="s">
        <v>23</v>
      </c>
      <c r="K2126" s="14"/>
      <c r="L2126" s="14"/>
      <c r="M2126" s="14" t="s">
        <v>2651</v>
      </c>
      <c r="N2126" s="14" t="s">
        <v>25</v>
      </c>
      <c r="O2126" s="14"/>
      <c r="P2126" s="14"/>
      <c r="Q2126" s="14"/>
      <c r="R2126" s="43" t="s">
        <v>1824</v>
      </c>
    </row>
    <row r="2127" spans="1:18">
      <c r="A2127" s="12">
        <v>2301</v>
      </c>
      <c r="B2127" s="13" t="s">
        <v>3255</v>
      </c>
      <c r="C2127" s="31"/>
      <c r="D2127" s="16">
        <v>709</v>
      </c>
      <c r="E2127" s="14" t="s">
        <v>21</v>
      </c>
      <c r="F2127" s="15" t="s">
        <v>22</v>
      </c>
      <c r="G2127" s="18"/>
      <c r="H2127" s="58">
        <v>1</v>
      </c>
      <c r="I2127" s="51"/>
      <c r="J2127" s="28" t="s">
        <v>23</v>
      </c>
      <c r="K2127" s="18"/>
      <c r="L2127" s="18"/>
      <c r="M2127" s="18"/>
      <c r="N2127" s="18"/>
      <c r="O2127" s="18"/>
      <c r="P2127" s="18"/>
      <c r="Q2127" s="18"/>
      <c r="R2127" s="32"/>
    </row>
    <row r="2128" spans="1:18">
      <c r="A2128" s="12">
        <v>778</v>
      </c>
      <c r="B2128" s="13" t="s">
        <v>3256</v>
      </c>
      <c r="C2128" s="14"/>
      <c r="D2128" s="14" t="s">
        <v>3257</v>
      </c>
      <c r="E2128" s="14" t="s">
        <v>21</v>
      </c>
      <c r="F2128" s="15" t="s">
        <v>22</v>
      </c>
      <c r="G2128" s="21"/>
      <c r="H2128" s="58"/>
      <c r="I2128" s="28"/>
      <c r="J2128" s="28" t="s">
        <v>23</v>
      </c>
      <c r="K2128" s="14"/>
      <c r="L2128" s="14"/>
      <c r="M2128" s="14" t="s">
        <v>1819</v>
      </c>
      <c r="N2128" s="14" t="s">
        <v>25</v>
      </c>
      <c r="O2128" s="14"/>
      <c r="P2128" s="14"/>
      <c r="Q2128" s="14"/>
      <c r="R2128" s="43" t="s">
        <v>3098</v>
      </c>
    </row>
    <row r="2129" spans="1:18">
      <c r="A2129" s="12">
        <v>1504</v>
      </c>
      <c r="B2129" s="13" t="s">
        <v>3258</v>
      </c>
      <c r="C2129" s="14"/>
      <c r="D2129" s="14" t="s">
        <v>3257</v>
      </c>
      <c r="E2129" s="14" t="s">
        <v>21</v>
      </c>
      <c r="F2129" s="15" t="s">
        <v>22</v>
      </c>
      <c r="G2129" s="21"/>
      <c r="H2129" s="58"/>
      <c r="I2129" s="28"/>
      <c r="J2129" s="28" t="s">
        <v>23</v>
      </c>
      <c r="K2129" s="14"/>
      <c r="L2129" s="14"/>
      <c r="M2129" s="14" t="s">
        <v>2651</v>
      </c>
      <c r="N2129" s="14" t="s">
        <v>25</v>
      </c>
      <c r="O2129" s="14"/>
      <c r="P2129" s="14"/>
      <c r="Q2129" s="14"/>
      <c r="R2129" s="43" t="s">
        <v>1824</v>
      </c>
    </row>
    <row r="2130" spans="1:18">
      <c r="A2130" s="12">
        <v>2302</v>
      </c>
      <c r="B2130" s="13" t="s">
        <v>3259</v>
      </c>
      <c r="C2130" s="31"/>
      <c r="D2130" s="16">
        <v>710</v>
      </c>
      <c r="E2130" s="14" t="s">
        <v>21</v>
      </c>
      <c r="F2130" s="15" t="s">
        <v>22</v>
      </c>
      <c r="G2130" s="18"/>
      <c r="H2130" s="58"/>
      <c r="I2130" s="50"/>
      <c r="J2130" s="28" t="s">
        <v>23</v>
      </c>
      <c r="K2130" s="18"/>
      <c r="L2130" s="18"/>
      <c r="M2130" s="18"/>
      <c r="N2130" s="18"/>
      <c r="O2130" s="18"/>
      <c r="P2130" s="18"/>
      <c r="Q2130" s="18"/>
      <c r="R2130" s="32"/>
    </row>
    <row r="2131" spans="1:18">
      <c r="A2131" s="12">
        <v>779</v>
      </c>
      <c r="B2131" s="13" t="s">
        <v>3260</v>
      </c>
      <c r="C2131" s="14"/>
      <c r="D2131" s="14" t="s">
        <v>3261</v>
      </c>
      <c r="E2131" s="14" t="s">
        <v>172</v>
      </c>
      <c r="F2131" s="15" t="s">
        <v>22</v>
      </c>
      <c r="G2131" s="21"/>
      <c r="H2131" s="58"/>
      <c r="I2131" s="28"/>
      <c r="J2131" s="28" t="s">
        <v>23</v>
      </c>
      <c r="K2131" s="14"/>
      <c r="L2131" s="14"/>
      <c r="M2131" s="14" t="s">
        <v>1819</v>
      </c>
      <c r="N2131" s="14" t="s">
        <v>25</v>
      </c>
      <c r="O2131" s="14"/>
      <c r="P2131" s="14"/>
      <c r="Q2131" s="14"/>
      <c r="R2131" s="43" t="s">
        <v>3098</v>
      </c>
    </row>
    <row r="2132" spans="1:18">
      <c r="A2132" s="12">
        <v>1505</v>
      </c>
      <c r="B2132" s="13" t="s">
        <v>3262</v>
      </c>
      <c r="C2132" s="14"/>
      <c r="D2132" s="14" t="s">
        <v>3261</v>
      </c>
      <c r="E2132" s="14" t="s">
        <v>172</v>
      </c>
      <c r="F2132" s="15" t="s">
        <v>22</v>
      </c>
      <c r="G2132" s="21"/>
      <c r="H2132" s="58">
        <v>1</v>
      </c>
      <c r="I2132" s="28"/>
      <c r="J2132" s="28" t="s">
        <v>23</v>
      </c>
      <c r="K2132" s="14"/>
      <c r="L2132" s="14"/>
      <c r="M2132" s="14" t="s">
        <v>2651</v>
      </c>
      <c r="N2132" s="14" t="s">
        <v>25</v>
      </c>
      <c r="O2132" s="14"/>
      <c r="P2132" s="14"/>
      <c r="Q2132" s="14"/>
      <c r="R2132" s="43" t="s">
        <v>1824</v>
      </c>
    </row>
    <row r="2133" spans="1:18">
      <c r="A2133" s="12">
        <v>2303</v>
      </c>
      <c r="B2133" s="13" t="s">
        <v>3263</v>
      </c>
      <c r="C2133" s="31"/>
      <c r="D2133" s="16">
        <v>711</v>
      </c>
      <c r="E2133" s="16" t="s">
        <v>172</v>
      </c>
      <c r="F2133" s="15" t="s">
        <v>22</v>
      </c>
      <c r="G2133" s="18"/>
      <c r="H2133" s="58">
        <v>2</v>
      </c>
      <c r="I2133" s="35"/>
      <c r="J2133" s="28" t="s">
        <v>23</v>
      </c>
      <c r="K2133" s="18"/>
      <c r="L2133" s="18"/>
      <c r="M2133" s="18"/>
      <c r="N2133" s="18"/>
      <c r="O2133" s="18"/>
      <c r="P2133" s="18"/>
      <c r="Q2133" s="18"/>
      <c r="R2133" s="32"/>
    </row>
    <row r="2134" spans="1:18">
      <c r="A2134" s="12">
        <v>780</v>
      </c>
      <c r="B2134" s="13" t="s">
        <v>3264</v>
      </c>
      <c r="C2134" s="14"/>
      <c r="D2134" s="14" t="s">
        <v>3265</v>
      </c>
      <c r="E2134" s="14" t="s">
        <v>3160</v>
      </c>
      <c r="F2134" s="15" t="s">
        <v>22</v>
      </c>
      <c r="G2134" s="21"/>
      <c r="H2134" s="58"/>
      <c r="I2134" s="28"/>
      <c r="J2134" s="28" t="s">
        <v>23</v>
      </c>
      <c r="K2134" s="14"/>
      <c r="L2134" s="14"/>
      <c r="M2134" s="14" t="s">
        <v>1819</v>
      </c>
      <c r="N2134" s="25" t="s">
        <v>289</v>
      </c>
      <c r="O2134" s="14" t="s">
        <v>189</v>
      </c>
      <c r="P2134" s="14"/>
      <c r="Q2134" s="14"/>
      <c r="R2134" s="43" t="s">
        <v>3098</v>
      </c>
    </row>
    <row r="2135" spans="1:18">
      <c r="A2135" s="12">
        <v>1506</v>
      </c>
      <c r="B2135" s="13" t="s">
        <v>3266</v>
      </c>
      <c r="C2135" s="14"/>
      <c r="D2135" s="14" t="s">
        <v>3265</v>
      </c>
      <c r="E2135" s="14" t="s">
        <v>3160</v>
      </c>
      <c r="F2135" s="15" t="s">
        <v>22</v>
      </c>
      <c r="G2135" s="21"/>
      <c r="H2135" s="58"/>
      <c r="I2135" s="28"/>
      <c r="J2135" s="28" t="s">
        <v>23</v>
      </c>
      <c r="K2135" s="14"/>
      <c r="L2135" s="14"/>
      <c r="M2135" s="14" t="s">
        <v>2651</v>
      </c>
      <c r="N2135" s="25" t="s">
        <v>289</v>
      </c>
      <c r="O2135" s="14" t="s">
        <v>3267</v>
      </c>
      <c r="P2135" s="14"/>
      <c r="Q2135" s="14"/>
      <c r="R2135" s="43" t="s">
        <v>1824</v>
      </c>
    </row>
    <row r="2136" spans="1:18">
      <c r="A2136" s="12">
        <v>2304</v>
      </c>
      <c r="B2136" s="13" t="s">
        <v>3268</v>
      </c>
      <c r="C2136" s="31"/>
      <c r="D2136" s="16">
        <v>712</v>
      </c>
      <c r="E2136" s="14" t="s">
        <v>3160</v>
      </c>
      <c r="F2136" s="15" t="s">
        <v>22</v>
      </c>
      <c r="G2136" s="18"/>
      <c r="H2136" s="58"/>
      <c r="I2136" s="35"/>
      <c r="J2136" s="28" t="s">
        <v>23</v>
      </c>
      <c r="K2136" s="18"/>
      <c r="L2136" s="18"/>
      <c r="M2136" s="18"/>
      <c r="N2136" s="18"/>
      <c r="O2136" s="18"/>
      <c r="P2136" s="18"/>
      <c r="Q2136" s="18"/>
      <c r="R2136" s="32"/>
    </row>
    <row r="2137" spans="1:18">
      <c r="A2137" s="12">
        <v>781</v>
      </c>
      <c r="B2137" s="13" t="s">
        <v>3269</v>
      </c>
      <c r="C2137" s="14"/>
      <c r="D2137" s="14" t="s">
        <v>3270</v>
      </c>
      <c r="E2137" s="14" t="s">
        <v>2355</v>
      </c>
      <c r="F2137" s="15" t="s">
        <v>22</v>
      </c>
      <c r="G2137" s="21"/>
      <c r="H2137" s="58"/>
      <c r="I2137" s="28"/>
      <c r="J2137" s="28" t="s">
        <v>23</v>
      </c>
      <c r="K2137" s="14"/>
      <c r="L2137" s="14"/>
      <c r="M2137" s="14" t="s">
        <v>1819</v>
      </c>
      <c r="N2137" s="14" t="s">
        <v>25</v>
      </c>
      <c r="O2137" s="14"/>
      <c r="P2137" s="14"/>
      <c r="Q2137" s="14"/>
      <c r="R2137" s="43" t="s">
        <v>3098</v>
      </c>
    </row>
    <row r="2138" spans="1:18">
      <c r="A2138" s="12">
        <v>1507</v>
      </c>
      <c r="B2138" s="13" t="s">
        <v>3271</v>
      </c>
      <c r="C2138" s="14"/>
      <c r="D2138" s="14" t="s">
        <v>3270</v>
      </c>
      <c r="E2138" s="14" t="s">
        <v>2355</v>
      </c>
      <c r="F2138" s="15" t="s">
        <v>22</v>
      </c>
      <c r="G2138" s="21"/>
      <c r="H2138" s="58">
        <v>1</v>
      </c>
      <c r="I2138" s="28"/>
      <c r="J2138" s="28" t="s">
        <v>23</v>
      </c>
      <c r="K2138" s="14"/>
      <c r="L2138" s="14"/>
      <c r="M2138" s="14" t="s">
        <v>2651</v>
      </c>
      <c r="N2138" s="25" t="s">
        <v>37</v>
      </c>
      <c r="O2138" s="14" t="s">
        <v>3272</v>
      </c>
      <c r="P2138" s="14"/>
      <c r="Q2138" s="14"/>
      <c r="R2138" s="43" t="s">
        <v>1824</v>
      </c>
    </row>
    <row r="2139" spans="1:18">
      <c r="A2139" s="12">
        <v>2305</v>
      </c>
      <c r="B2139" s="13" t="s">
        <v>3273</v>
      </c>
      <c r="C2139" s="31"/>
      <c r="D2139" s="16">
        <v>713</v>
      </c>
      <c r="E2139" s="16" t="s">
        <v>2355</v>
      </c>
      <c r="F2139" s="15" t="s">
        <v>22</v>
      </c>
      <c r="G2139" s="18"/>
      <c r="H2139" s="58">
        <v>0</v>
      </c>
      <c r="I2139" s="35"/>
      <c r="J2139" s="28" t="s">
        <v>23</v>
      </c>
      <c r="K2139" s="18"/>
      <c r="L2139" s="18"/>
      <c r="M2139" s="18"/>
      <c r="N2139" s="18"/>
      <c r="O2139" s="18"/>
      <c r="P2139" s="18"/>
      <c r="Q2139" s="18"/>
      <c r="R2139" s="32"/>
    </row>
    <row r="2140" spans="1:18">
      <c r="A2140" s="12">
        <v>782</v>
      </c>
      <c r="B2140" s="13" t="s">
        <v>3274</v>
      </c>
      <c r="C2140" s="14"/>
      <c r="D2140" s="14" t="s">
        <v>3275</v>
      </c>
      <c r="E2140" s="14" t="s">
        <v>2626</v>
      </c>
      <c r="F2140" s="15" t="s">
        <v>22</v>
      </c>
      <c r="G2140" s="21"/>
      <c r="H2140" s="58"/>
      <c r="I2140" s="28"/>
      <c r="J2140" s="28" t="s">
        <v>23</v>
      </c>
      <c r="K2140" s="14"/>
      <c r="L2140" s="14"/>
      <c r="M2140" s="14" t="s">
        <v>1819</v>
      </c>
      <c r="N2140" s="14" t="s">
        <v>25</v>
      </c>
      <c r="O2140" s="14"/>
      <c r="P2140" s="14"/>
      <c r="Q2140" s="14"/>
      <c r="R2140" s="43" t="s">
        <v>3098</v>
      </c>
    </row>
    <row r="2141" spans="1:18">
      <c r="A2141" s="12">
        <v>1508</v>
      </c>
      <c r="B2141" s="13" t="s">
        <v>3276</v>
      </c>
      <c r="C2141" s="14"/>
      <c r="D2141" s="14" t="s">
        <v>3275</v>
      </c>
      <c r="E2141" s="14" t="s">
        <v>2626</v>
      </c>
      <c r="F2141" s="15" t="s">
        <v>22</v>
      </c>
      <c r="G2141" s="21"/>
      <c r="H2141" s="58">
        <v>2</v>
      </c>
      <c r="I2141" s="28"/>
      <c r="J2141" s="28" t="s">
        <v>23</v>
      </c>
      <c r="K2141" s="14"/>
      <c r="L2141" s="14"/>
      <c r="M2141" s="14" t="s">
        <v>2651</v>
      </c>
      <c r="N2141" s="25" t="s">
        <v>37</v>
      </c>
      <c r="O2141" s="14" t="s">
        <v>3277</v>
      </c>
      <c r="P2141" s="14"/>
      <c r="Q2141" s="14"/>
      <c r="R2141" s="14" t="s">
        <v>1824</v>
      </c>
    </row>
    <row r="2142" spans="1:18">
      <c r="A2142" s="12">
        <v>2306</v>
      </c>
      <c r="B2142" s="13" t="s">
        <v>3278</v>
      </c>
      <c r="C2142" s="31"/>
      <c r="D2142" s="16">
        <v>714</v>
      </c>
      <c r="E2142" s="16" t="s">
        <v>2626</v>
      </c>
      <c r="F2142" s="15" t="s">
        <v>22</v>
      </c>
      <c r="G2142" s="18"/>
      <c r="H2142" s="58">
        <v>2</v>
      </c>
      <c r="I2142" s="35"/>
      <c r="J2142" s="28" t="s">
        <v>23</v>
      </c>
      <c r="K2142" s="18"/>
      <c r="L2142" s="18"/>
      <c r="M2142" s="18"/>
      <c r="N2142" s="18"/>
      <c r="O2142" s="18"/>
      <c r="P2142" s="18"/>
      <c r="Q2142" s="18"/>
      <c r="R2142" s="18"/>
    </row>
    <row r="2143" spans="1:18">
      <c r="A2143" s="12">
        <v>783</v>
      </c>
      <c r="B2143" s="13" t="s">
        <v>3279</v>
      </c>
      <c r="C2143" s="14"/>
      <c r="D2143" s="14" t="s">
        <v>3280</v>
      </c>
      <c r="E2143" s="14" t="s">
        <v>2991</v>
      </c>
      <c r="F2143" s="15" t="s">
        <v>22</v>
      </c>
      <c r="G2143" s="21"/>
      <c r="H2143" s="58"/>
      <c r="I2143" s="28"/>
      <c r="J2143" s="28" t="s">
        <v>23</v>
      </c>
      <c r="K2143" s="14"/>
      <c r="L2143" s="14"/>
      <c r="M2143" s="14" t="s">
        <v>1819</v>
      </c>
      <c r="N2143" s="25" t="s">
        <v>37</v>
      </c>
      <c r="O2143" s="14" t="s">
        <v>179</v>
      </c>
      <c r="P2143" s="14"/>
      <c r="Q2143" s="14"/>
      <c r="R2143" s="14" t="s">
        <v>3098</v>
      </c>
    </row>
    <row r="2144" spans="1:18">
      <c r="A2144" s="12">
        <v>1509</v>
      </c>
      <c r="B2144" s="13" t="s">
        <v>3281</v>
      </c>
      <c r="C2144" s="14"/>
      <c r="D2144" s="14" t="s">
        <v>3280</v>
      </c>
      <c r="E2144" s="14" t="s">
        <v>2991</v>
      </c>
      <c r="F2144" s="15" t="s">
        <v>22</v>
      </c>
      <c r="G2144" s="21"/>
      <c r="H2144" s="58">
        <v>3</v>
      </c>
      <c r="I2144" s="28"/>
      <c r="J2144" s="28" t="s">
        <v>23</v>
      </c>
      <c r="K2144" s="14"/>
      <c r="L2144" s="14"/>
      <c r="M2144" s="14" t="s">
        <v>2651</v>
      </c>
      <c r="N2144" s="25" t="s">
        <v>37</v>
      </c>
      <c r="O2144" s="14" t="s">
        <v>3282</v>
      </c>
      <c r="P2144" s="14"/>
      <c r="Q2144" s="14"/>
      <c r="R2144" s="14" t="s">
        <v>1824</v>
      </c>
    </row>
    <row r="2145" spans="1:18">
      <c r="A2145" s="12">
        <v>2307</v>
      </c>
      <c r="B2145" s="13" t="s">
        <v>3283</v>
      </c>
      <c r="C2145" s="31"/>
      <c r="D2145" s="16">
        <v>715</v>
      </c>
      <c r="E2145" s="16" t="s">
        <v>2991</v>
      </c>
      <c r="F2145" s="15" t="s">
        <v>22</v>
      </c>
      <c r="G2145" s="18"/>
      <c r="H2145" s="58">
        <v>4</v>
      </c>
      <c r="I2145" s="35"/>
      <c r="J2145" s="28" t="s">
        <v>23</v>
      </c>
      <c r="K2145" s="18"/>
      <c r="L2145" s="18"/>
      <c r="M2145" s="18"/>
      <c r="N2145" s="18"/>
      <c r="O2145" s="18"/>
      <c r="P2145" s="18"/>
      <c r="Q2145" s="18"/>
      <c r="R2145" s="18"/>
    </row>
    <row r="2146" spans="1:18">
      <c r="A2146" s="12">
        <v>784</v>
      </c>
      <c r="B2146" s="13" t="s">
        <v>3284</v>
      </c>
      <c r="C2146" s="14"/>
      <c r="D2146" s="14" t="s">
        <v>3285</v>
      </c>
      <c r="E2146" s="14" t="s">
        <v>3162</v>
      </c>
      <c r="F2146" s="15" t="s">
        <v>22</v>
      </c>
      <c r="G2146" s="21"/>
      <c r="H2146" s="58"/>
      <c r="I2146" s="28"/>
      <c r="J2146" s="28" t="s">
        <v>23</v>
      </c>
      <c r="K2146" s="14"/>
      <c r="L2146" s="14"/>
      <c r="M2146" s="14" t="s">
        <v>1819</v>
      </c>
      <c r="N2146" s="14" t="s">
        <v>25</v>
      </c>
      <c r="O2146" s="14"/>
      <c r="P2146" s="14"/>
      <c r="Q2146" s="14"/>
      <c r="R2146" s="14" t="s">
        <v>3098</v>
      </c>
    </row>
    <row r="2147" spans="1:18">
      <c r="A2147" s="12">
        <v>1510</v>
      </c>
      <c r="B2147" s="13" t="s">
        <v>3286</v>
      </c>
      <c r="C2147" s="14"/>
      <c r="D2147" s="14" t="s">
        <v>3285</v>
      </c>
      <c r="E2147" s="14" t="s">
        <v>3162</v>
      </c>
      <c r="F2147" s="15" t="s">
        <v>22</v>
      </c>
      <c r="G2147" s="21"/>
      <c r="H2147" s="58">
        <v>2</v>
      </c>
      <c r="I2147" s="28"/>
      <c r="J2147" s="28" t="s">
        <v>23</v>
      </c>
      <c r="K2147" s="14"/>
      <c r="L2147" s="14"/>
      <c r="M2147" s="14" t="s">
        <v>2651</v>
      </c>
      <c r="N2147" s="25" t="s">
        <v>37</v>
      </c>
      <c r="O2147" s="14" t="s">
        <v>2051</v>
      </c>
      <c r="P2147" s="14"/>
      <c r="Q2147" s="14"/>
      <c r="R2147" s="14" t="s">
        <v>1824</v>
      </c>
    </row>
    <row r="2148" spans="1:18">
      <c r="A2148" s="12">
        <v>2308</v>
      </c>
      <c r="B2148" s="13" t="s">
        <v>3287</v>
      </c>
      <c r="C2148" s="31"/>
      <c r="D2148" s="16">
        <v>716</v>
      </c>
      <c r="E2148" s="16" t="s">
        <v>3160</v>
      </c>
      <c r="F2148" s="15" t="s">
        <v>22</v>
      </c>
      <c r="G2148" s="18"/>
      <c r="H2148" s="58">
        <v>2</v>
      </c>
      <c r="I2148" s="35"/>
      <c r="J2148" s="28" t="s">
        <v>23</v>
      </c>
      <c r="K2148" s="18"/>
      <c r="L2148" s="18"/>
      <c r="M2148" s="18"/>
      <c r="N2148" s="18"/>
      <c r="O2148" s="18"/>
      <c r="P2148" s="18"/>
      <c r="Q2148" s="18"/>
      <c r="R2148" s="18"/>
    </row>
    <row r="2149" spans="1:18">
      <c r="A2149" s="12">
        <v>785</v>
      </c>
      <c r="B2149" s="13" t="s">
        <v>3288</v>
      </c>
      <c r="C2149" s="14"/>
      <c r="D2149" s="14" t="s">
        <v>3289</v>
      </c>
      <c r="E2149" s="14"/>
      <c r="F2149" s="15" t="s">
        <v>22</v>
      </c>
      <c r="G2149" s="21"/>
      <c r="H2149" s="58"/>
      <c r="I2149" s="28"/>
      <c r="J2149" s="28" t="s">
        <v>23</v>
      </c>
      <c r="K2149" s="14"/>
      <c r="L2149" s="14"/>
      <c r="M2149" s="14" t="s">
        <v>1819</v>
      </c>
      <c r="N2149" s="25" t="s">
        <v>37</v>
      </c>
      <c r="O2149" s="14" t="s">
        <v>185</v>
      </c>
      <c r="P2149" s="14"/>
      <c r="Q2149" s="14"/>
      <c r="R2149" s="14" t="s">
        <v>3098</v>
      </c>
    </row>
    <row r="2150" spans="1:18">
      <c r="A2150" s="12">
        <v>1511</v>
      </c>
      <c r="B2150" s="13" t="s">
        <v>3290</v>
      </c>
      <c r="C2150" s="14"/>
      <c r="D2150" s="14" t="s">
        <v>3289</v>
      </c>
      <c r="E2150" s="14" t="s">
        <v>172</v>
      </c>
      <c r="F2150" s="15" t="s">
        <v>22</v>
      </c>
      <c r="G2150" s="14"/>
      <c r="H2150" s="58">
        <v>2</v>
      </c>
      <c r="I2150" s="28"/>
      <c r="J2150" s="28" t="s">
        <v>23</v>
      </c>
      <c r="K2150" s="14"/>
      <c r="L2150" s="14"/>
      <c r="M2150" s="14" t="s">
        <v>2651</v>
      </c>
      <c r="N2150" s="25" t="s">
        <v>37</v>
      </c>
      <c r="O2150" s="14" t="s">
        <v>1055</v>
      </c>
      <c r="P2150" s="14"/>
      <c r="Q2150" s="14"/>
      <c r="R2150" s="14" t="s">
        <v>1824</v>
      </c>
    </row>
    <row r="2151" spans="1:18">
      <c r="A2151" s="12">
        <v>2309</v>
      </c>
      <c r="B2151" s="13" t="s">
        <v>3291</v>
      </c>
      <c r="C2151" s="31"/>
      <c r="D2151" s="16">
        <v>717</v>
      </c>
      <c r="E2151" s="16"/>
      <c r="F2151" s="15" t="s">
        <v>22</v>
      </c>
      <c r="G2151" s="18"/>
      <c r="H2151" s="58"/>
      <c r="I2151" s="35"/>
      <c r="J2151" s="28" t="s">
        <v>23</v>
      </c>
      <c r="K2151" s="18"/>
      <c r="L2151" s="18"/>
      <c r="M2151" s="18"/>
      <c r="N2151" s="18"/>
      <c r="O2151" s="18"/>
      <c r="P2151" s="18"/>
      <c r="Q2151" s="18"/>
      <c r="R2151" s="18"/>
    </row>
    <row r="2152" spans="1:18">
      <c r="A2152" s="12">
        <v>1512</v>
      </c>
      <c r="B2152" s="13" t="s">
        <v>3292</v>
      </c>
      <c r="C2152" s="14"/>
      <c r="D2152" s="14" t="s">
        <v>3293</v>
      </c>
      <c r="E2152" s="14" t="s">
        <v>3162</v>
      </c>
      <c r="F2152" s="15" t="s">
        <v>22</v>
      </c>
      <c r="G2152" s="14"/>
      <c r="H2152" s="58">
        <v>3</v>
      </c>
      <c r="I2152" s="28"/>
      <c r="J2152" s="28" t="s">
        <v>23</v>
      </c>
      <c r="K2152" s="14"/>
      <c r="L2152" s="14"/>
      <c r="M2152" s="14" t="s">
        <v>2651</v>
      </c>
      <c r="N2152" s="25" t="s">
        <v>37</v>
      </c>
      <c r="O2152" s="14" t="s">
        <v>3140</v>
      </c>
      <c r="P2152" s="14"/>
      <c r="Q2152" s="14"/>
      <c r="R2152" s="14" t="s">
        <v>1824</v>
      </c>
    </row>
    <row r="2153" spans="1:18">
      <c r="A2153" s="12">
        <v>2310</v>
      </c>
      <c r="B2153" s="13" t="s">
        <v>3294</v>
      </c>
      <c r="C2153" s="31"/>
      <c r="D2153" s="16">
        <v>718</v>
      </c>
      <c r="E2153" s="16" t="s">
        <v>3162</v>
      </c>
      <c r="F2153" s="15" t="s">
        <v>22</v>
      </c>
      <c r="G2153" s="18"/>
      <c r="H2153" s="58">
        <v>4</v>
      </c>
      <c r="I2153" s="35"/>
      <c r="J2153" s="28" t="s">
        <v>23</v>
      </c>
      <c r="K2153" s="18"/>
      <c r="L2153" s="18"/>
      <c r="M2153" s="18"/>
      <c r="N2153" s="18"/>
      <c r="O2153" s="18"/>
      <c r="P2153" s="18"/>
      <c r="Q2153" s="18"/>
      <c r="R2153" s="18"/>
    </row>
    <row r="2154" spans="1:18">
      <c r="A2154" s="12">
        <v>786</v>
      </c>
      <c r="B2154" s="13" t="s">
        <v>3295</v>
      </c>
      <c r="C2154" s="14"/>
      <c r="D2154" s="14" t="s">
        <v>3296</v>
      </c>
      <c r="E2154" s="14" t="s">
        <v>3162</v>
      </c>
      <c r="F2154" s="15" t="s">
        <v>22</v>
      </c>
      <c r="G2154" s="21"/>
      <c r="H2154" s="58"/>
      <c r="I2154" s="28"/>
      <c r="J2154" s="28" t="s">
        <v>23</v>
      </c>
      <c r="K2154" s="14"/>
      <c r="L2154" s="14"/>
      <c r="M2154" s="14" t="s">
        <v>1819</v>
      </c>
      <c r="N2154" s="25" t="s">
        <v>37</v>
      </c>
      <c r="O2154" s="14" t="s">
        <v>38</v>
      </c>
      <c r="P2154" s="14"/>
      <c r="Q2154" s="14"/>
      <c r="R2154" s="14" t="s">
        <v>3098</v>
      </c>
    </row>
    <row r="2155" spans="1:18">
      <c r="A2155" s="12">
        <v>1513</v>
      </c>
      <c r="B2155" s="13" t="s">
        <v>3297</v>
      </c>
      <c r="C2155" s="14"/>
      <c r="D2155" s="14" t="s">
        <v>3296</v>
      </c>
      <c r="E2155" s="14" t="s">
        <v>3162</v>
      </c>
      <c r="F2155" s="15" t="s">
        <v>22</v>
      </c>
      <c r="G2155" s="14"/>
      <c r="H2155" s="58">
        <v>3</v>
      </c>
      <c r="I2155" s="28"/>
      <c r="J2155" s="28" t="s">
        <v>23</v>
      </c>
      <c r="K2155" s="14"/>
      <c r="L2155" s="14"/>
      <c r="M2155" s="14" t="s">
        <v>2651</v>
      </c>
      <c r="N2155" s="25" t="s">
        <v>37</v>
      </c>
      <c r="O2155" s="14" t="s">
        <v>65</v>
      </c>
      <c r="P2155" s="14"/>
      <c r="Q2155" s="14"/>
      <c r="R2155" s="14" t="s">
        <v>1824</v>
      </c>
    </row>
    <row r="2156" spans="1:18">
      <c r="A2156" s="12">
        <v>2311</v>
      </c>
      <c r="B2156" s="13" t="s">
        <v>3298</v>
      </c>
      <c r="C2156" s="31"/>
      <c r="D2156" s="16">
        <v>719</v>
      </c>
      <c r="E2156" s="16" t="s">
        <v>3160</v>
      </c>
      <c r="F2156" s="15" t="s">
        <v>22</v>
      </c>
      <c r="G2156" s="18"/>
      <c r="H2156" s="58">
        <v>2</v>
      </c>
      <c r="I2156" s="35"/>
      <c r="J2156" s="28" t="s">
        <v>23</v>
      </c>
      <c r="K2156" s="18"/>
      <c r="L2156" s="18"/>
      <c r="M2156" s="18"/>
      <c r="N2156" s="18"/>
      <c r="O2156" s="18"/>
      <c r="P2156" s="18"/>
      <c r="Q2156" s="18"/>
      <c r="R2156" s="18"/>
    </row>
    <row r="2157" spans="1:18">
      <c r="A2157" s="12">
        <v>787</v>
      </c>
      <c r="B2157" s="13" t="s">
        <v>3299</v>
      </c>
      <c r="C2157" s="14"/>
      <c r="D2157" s="14" t="s">
        <v>3300</v>
      </c>
      <c r="E2157" s="14"/>
      <c r="F2157" s="15" t="s">
        <v>22</v>
      </c>
      <c r="G2157" s="21"/>
      <c r="H2157" s="58"/>
      <c r="I2157" s="28"/>
      <c r="J2157" s="28" t="s">
        <v>23</v>
      </c>
      <c r="K2157" s="14"/>
      <c r="L2157" s="14"/>
      <c r="M2157" s="14" t="s">
        <v>1819</v>
      </c>
      <c r="N2157" s="25" t="s">
        <v>37</v>
      </c>
      <c r="O2157" s="14" t="s">
        <v>80</v>
      </c>
      <c r="P2157" s="14"/>
      <c r="Q2157" s="14"/>
      <c r="R2157" s="14" t="s">
        <v>3098</v>
      </c>
    </row>
    <row r="2158" spans="1:18">
      <c r="A2158" s="12">
        <v>1514</v>
      </c>
      <c r="B2158" s="13" t="s">
        <v>3301</v>
      </c>
      <c r="C2158" s="14"/>
      <c r="D2158" s="14" t="s">
        <v>3300</v>
      </c>
      <c r="E2158" s="14" t="s">
        <v>172</v>
      </c>
      <c r="F2158" s="15" t="s">
        <v>22</v>
      </c>
      <c r="G2158" s="14"/>
      <c r="H2158" s="58">
        <v>2</v>
      </c>
      <c r="I2158" s="28"/>
      <c r="J2158" s="28" t="s">
        <v>23</v>
      </c>
      <c r="K2158" s="14"/>
      <c r="L2158" s="14"/>
      <c r="M2158" s="14" t="s">
        <v>2651</v>
      </c>
      <c r="N2158" s="25" t="s">
        <v>37</v>
      </c>
      <c r="O2158" s="14" t="s">
        <v>1924</v>
      </c>
      <c r="P2158" s="14"/>
      <c r="Q2158" s="14"/>
      <c r="R2158" s="14" t="s">
        <v>1824</v>
      </c>
    </row>
    <row r="2159" spans="1:18">
      <c r="A2159" s="12">
        <v>2312</v>
      </c>
      <c r="B2159" s="13" t="s">
        <v>3302</v>
      </c>
      <c r="C2159" s="31"/>
      <c r="D2159" s="16">
        <v>720</v>
      </c>
      <c r="E2159" s="16"/>
      <c r="F2159" s="15" t="s">
        <v>22</v>
      </c>
      <c r="G2159" s="18"/>
      <c r="H2159" s="58">
        <v>3</v>
      </c>
      <c r="I2159" s="35"/>
      <c r="J2159" s="28" t="s">
        <v>23</v>
      </c>
      <c r="K2159" s="18"/>
      <c r="L2159" s="18"/>
      <c r="M2159" s="18"/>
      <c r="N2159" s="18"/>
      <c r="O2159" s="18"/>
      <c r="P2159" s="18"/>
      <c r="Q2159" s="18"/>
      <c r="R2159" s="18"/>
    </row>
    <row r="2160" spans="1:18">
      <c r="A2160" s="12">
        <v>788</v>
      </c>
      <c r="B2160" s="13" t="s">
        <v>3303</v>
      </c>
      <c r="C2160" s="14"/>
      <c r="D2160" s="14" t="s">
        <v>3304</v>
      </c>
      <c r="E2160" s="14" t="s">
        <v>3160</v>
      </c>
      <c r="F2160" s="15" t="s">
        <v>22</v>
      </c>
      <c r="G2160" s="21"/>
      <c r="H2160" s="58"/>
      <c r="I2160" s="28"/>
      <c r="J2160" s="28" t="s">
        <v>23</v>
      </c>
      <c r="K2160" s="14"/>
      <c r="L2160" s="14"/>
      <c r="M2160" s="14" t="s">
        <v>1819</v>
      </c>
      <c r="N2160" s="25" t="s">
        <v>37</v>
      </c>
      <c r="O2160" s="14" t="s">
        <v>80</v>
      </c>
      <c r="P2160" s="14"/>
      <c r="Q2160" s="14"/>
      <c r="R2160" s="14" t="s">
        <v>3098</v>
      </c>
    </row>
    <row r="2161" spans="1:1027">
      <c r="A2161" s="12">
        <v>1515</v>
      </c>
      <c r="B2161" s="13" t="s">
        <v>3305</v>
      </c>
      <c r="C2161" s="14"/>
      <c r="D2161" s="14" t="s">
        <v>3304</v>
      </c>
      <c r="E2161" s="14" t="s">
        <v>3162</v>
      </c>
      <c r="F2161" s="15" t="s">
        <v>22</v>
      </c>
      <c r="G2161" s="14"/>
      <c r="H2161" s="58">
        <v>4</v>
      </c>
      <c r="I2161" s="28"/>
      <c r="J2161" s="28" t="s">
        <v>23</v>
      </c>
      <c r="K2161" s="14"/>
      <c r="L2161" s="14"/>
      <c r="M2161" s="14" t="s">
        <v>2651</v>
      </c>
      <c r="N2161" s="25" t="s">
        <v>37</v>
      </c>
      <c r="O2161" s="14" t="s">
        <v>3306</v>
      </c>
      <c r="P2161" s="14"/>
      <c r="Q2161" s="14"/>
      <c r="R2161" s="14" t="s">
        <v>1824</v>
      </c>
    </row>
    <row r="2162" spans="1:1027">
      <c r="A2162" s="12">
        <v>2313</v>
      </c>
      <c r="B2162" s="13" t="s">
        <v>3307</v>
      </c>
      <c r="C2162" s="31"/>
      <c r="D2162" s="16">
        <v>721</v>
      </c>
      <c r="E2162" s="16" t="s">
        <v>3162</v>
      </c>
      <c r="F2162" s="15" t="s">
        <v>22</v>
      </c>
      <c r="G2162" s="18"/>
      <c r="H2162" s="58">
        <v>4</v>
      </c>
      <c r="I2162" s="35"/>
      <c r="J2162" s="28" t="s">
        <v>23</v>
      </c>
      <c r="K2162" s="18"/>
      <c r="L2162" s="18"/>
      <c r="M2162" s="18"/>
      <c r="N2162" s="18"/>
      <c r="O2162" s="18"/>
      <c r="P2162" s="18"/>
      <c r="Q2162" s="18"/>
      <c r="R2162" s="18"/>
    </row>
    <row r="2163" spans="1:1027">
      <c r="A2163" s="12">
        <v>789</v>
      </c>
      <c r="B2163" s="13" t="s">
        <v>3308</v>
      </c>
      <c r="C2163" s="14"/>
      <c r="D2163" s="14" t="s">
        <v>3309</v>
      </c>
      <c r="E2163" s="14" t="s">
        <v>2626</v>
      </c>
      <c r="F2163" s="15" t="s">
        <v>22</v>
      </c>
      <c r="G2163" s="21"/>
      <c r="H2163" s="58"/>
      <c r="I2163" s="28"/>
      <c r="J2163" s="28" t="s">
        <v>23</v>
      </c>
      <c r="K2163" s="14"/>
      <c r="L2163" s="14"/>
      <c r="M2163" s="14" t="s">
        <v>1819</v>
      </c>
      <c r="N2163" s="14" t="s">
        <v>25</v>
      </c>
      <c r="O2163" s="14"/>
      <c r="P2163" s="14"/>
      <c r="Q2163" s="14"/>
      <c r="R2163" s="14" t="s">
        <v>3098</v>
      </c>
    </row>
    <row r="2164" spans="1:1027">
      <c r="A2164" s="12">
        <v>1516</v>
      </c>
      <c r="B2164" s="13" t="s">
        <v>3310</v>
      </c>
      <c r="C2164" s="14"/>
      <c r="D2164" s="14" t="s">
        <v>3309</v>
      </c>
      <c r="E2164" s="14" t="s">
        <v>2626</v>
      </c>
      <c r="F2164" s="15" t="s">
        <v>22</v>
      </c>
      <c r="G2164" s="14"/>
      <c r="H2164" s="58"/>
      <c r="I2164" s="28"/>
      <c r="J2164" s="28" t="s">
        <v>23</v>
      </c>
      <c r="K2164" s="14"/>
      <c r="L2164" s="14"/>
      <c r="M2164" s="14" t="s">
        <v>2651</v>
      </c>
      <c r="N2164" s="14" t="s">
        <v>25</v>
      </c>
      <c r="O2164" s="14"/>
      <c r="P2164" s="14"/>
      <c r="Q2164" s="14"/>
      <c r="R2164" s="14" t="s">
        <v>1824</v>
      </c>
    </row>
    <row r="2165" spans="1:1027">
      <c r="A2165" s="12">
        <v>2314</v>
      </c>
      <c r="B2165" s="13" t="s">
        <v>3311</v>
      </c>
      <c r="C2165" s="31"/>
      <c r="D2165" s="16">
        <v>722</v>
      </c>
      <c r="E2165" s="16" t="s">
        <v>2626</v>
      </c>
      <c r="F2165" s="15" t="s">
        <v>22</v>
      </c>
      <c r="G2165" s="18"/>
      <c r="H2165" s="58"/>
      <c r="I2165" s="35"/>
      <c r="J2165" s="28" t="s">
        <v>23</v>
      </c>
      <c r="K2165" s="18"/>
      <c r="L2165" s="18"/>
      <c r="M2165" s="18"/>
      <c r="N2165" s="18"/>
      <c r="O2165" s="18"/>
      <c r="P2165" s="18"/>
      <c r="Q2165" s="18"/>
      <c r="R2165" s="18"/>
    </row>
    <row r="2166" spans="1:1027">
      <c r="A2166" s="12">
        <v>40</v>
      </c>
      <c r="B2166" s="13" t="s">
        <v>3312</v>
      </c>
      <c r="C2166" s="14"/>
      <c r="D2166" s="14" t="s">
        <v>3313</v>
      </c>
      <c r="E2166" s="14"/>
      <c r="F2166" s="15" t="s">
        <v>22</v>
      </c>
      <c r="G2166" s="14"/>
      <c r="H2166" s="58"/>
      <c r="I2166" s="28"/>
      <c r="J2166" s="28" t="s">
        <v>23</v>
      </c>
      <c r="K2166" s="15"/>
      <c r="L2166" s="15"/>
      <c r="M2166" s="14" t="s">
        <v>3314</v>
      </c>
      <c r="N2166" s="14" t="s">
        <v>25</v>
      </c>
      <c r="O2166" s="14"/>
      <c r="P2166" s="14"/>
      <c r="Q2166" s="14"/>
      <c r="R2166" s="17">
        <v>43599</v>
      </c>
      <c r="S2166" s="12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  <c r="EK2166" s="3"/>
      <c r="EL2166" s="3"/>
      <c r="EM2166" s="3"/>
      <c r="EN2166" s="3"/>
      <c r="EO2166" s="3"/>
      <c r="EP2166" s="3"/>
      <c r="EQ2166" s="3"/>
      <c r="ER2166" s="3"/>
      <c r="ES2166" s="3"/>
      <c r="ET2166" s="3"/>
      <c r="EU2166" s="3"/>
      <c r="EV2166" s="3"/>
      <c r="EW2166" s="3"/>
      <c r="EX2166" s="3"/>
      <c r="EY2166" s="3"/>
      <c r="EZ2166" s="3"/>
      <c r="FA2166" s="3"/>
      <c r="FB2166" s="3"/>
      <c r="FC2166" s="3"/>
      <c r="FD2166" s="3"/>
      <c r="FE2166" s="3"/>
      <c r="FF2166" s="3"/>
      <c r="FG2166" s="3"/>
      <c r="FH2166" s="3"/>
      <c r="FI2166" s="3"/>
      <c r="FJ2166" s="3"/>
      <c r="FK2166" s="3"/>
      <c r="FL2166" s="3"/>
      <c r="FM2166" s="3"/>
      <c r="FN2166" s="3"/>
      <c r="FO2166" s="3"/>
      <c r="FP2166" s="3"/>
      <c r="FQ2166" s="3"/>
      <c r="FR2166" s="3"/>
      <c r="FS2166" s="3"/>
      <c r="FT2166" s="3"/>
      <c r="FU2166" s="3"/>
      <c r="FV2166" s="3"/>
      <c r="FW2166" s="3"/>
      <c r="FX2166" s="3"/>
      <c r="FY2166" s="3"/>
      <c r="FZ2166" s="3"/>
      <c r="GA2166" s="3"/>
      <c r="GB2166" s="3"/>
      <c r="GC2166" s="3"/>
      <c r="GD2166" s="3"/>
      <c r="GE2166" s="3"/>
      <c r="GF2166" s="3"/>
      <c r="GG2166" s="3"/>
      <c r="GH2166" s="3"/>
      <c r="GI2166" s="3"/>
      <c r="GJ2166" s="3"/>
      <c r="GK2166" s="3"/>
      <c r="GL2166" s="3"/>
      <c r="GM2166" s="3"/>
      <c r="GN2166" s="3"/>
      <c r="GO2166" s="3"/>
      <c r="GP2166" s="3"/>
      <c r="GQ2166" s="3"/>
      <c r="GR2166" s="3"/>
      <c r="GS2166" s="3"/>
      <c r="GT2166" s="3"/>
      <c r="GU2166" s="3"/>
      <c r="GV2166" s="3"/>
      <c r="GW2166" s="3"/>
      <c r="GX2166" s="3"/>
      <c r="GY2166" s="3"/>
      <c r="GZ2166" s="3"/>
      <c r="HA2166" s="3"/>
      <c r="HB2166" s="3"/>
      <c r="HC2166" s="3"/>
      <c r="HD2166" s="3"/>
      <c r="HE2166" s="3"/>
      <c r="HF2166" s="3"/>
      <c r="HG2166" s="3"/>
      <c r="HH2166" s="3"/>
      <c r="HI2166" s="3"/>
      <c r="HJ2166" s="3"/>
      <c r="HK2166" s="3"/>
      <c r="HL2166" s="3"/>
      <c r="HM2166" s="3"/>
      <c r="HN2166" s="3"/>
      <c r="HO2166" s="3"/>
      <c r="HP2166" s="3"/>
      <c r="HQ2166" s="3"/>
      <c r="HR2166" s="3"/>
      <c r="HS2166" s="3"/>
      <c r="HT2166" s="3"/>
      <c r="HU2166" s="3"/>
      <c r="HV2166" s="3"/>
      <c r="HW2166" s="3"/>
      <c r="HX2166" s="3"/>
      <c r="HY2166" s="3"/>
      <c r="HZ2166" s="3"/>
      <c r="IA2166" s="3"/>
      <c r="IB2166" s="3"/>
      <c r="IC2166" s="3"/>
      <c r="ID2166" s="3"/>
      <c r="IE2166" s="3"/>
      <c r="IF2166" s="3"/>
      <c r="IG2166" s="3"/>
      <c r="IH2166" s="3"/>
      <c r="II2166" s="3"/>
      <c r="IJ2166" s="3"/>
      <c r="IK2166" s="3"/>
      <c r="IL2166" s="3"/>
      <c r="IM2166" s="3"/>
      <c r="IN2166" s="3"/>
      <c r="IO2166" s="3"/>
      <c r="IP2166" s="3"/>
      <c r="IQ2166" s="3"/>
      <c r="IR2166" s="3"/>
      <c r="IS2166" s="3"/>
      <c r="IT2166" s="3"/>
      <c r="IU2166" s="3"/>
      <c r="IV2166" s="3"/>
      <c r="IW2166" s="3"/>
      <c r="IX2166" s="3"/>
      <c r="IY2166" s="3"/>
      <c r="IZ2166" s="3"/>
      <c r="JA2166" s="3"/>
      <c r="JB2166" s="3"/>
      <c r="JC2166" s="3"/>
      <c r="JD2166" s="3"/>
      <c r="JE2166" s="3"/>
      <c r="JF2166" s="3"/>
      <c r="JG2166" s="3"/>
      <c r="JH2166" s="3"/>
      <c r="JI2166" s="3"/>
      <c r="JJ2166" s="3"/>
      <c r="JK2166" s="3"/>
      <c r="JL2166" s="3"/>
      <c r="JM2166" s="3"/>
      <c r="JN2166" s="3"/>
      <c r="JO2166" s="3"/>
      <c r="JP2166" s="3"/>
      <c r="JQ2166" s="3"/>
      <c r="JR2166" s="3"/>
      <c r="JS2166" s="3"/>
      <c r="JT2166" s="3"/>
      <c r="JU2166" s="3"/>
      <c r="JV2166" s="3"/>
      <c r="JW2166" s="3"/>
      <c r="JX2166" s="3"/>
      <c r="JY2166" s="3"/>
      <c r="JZ2166" s="3"/>
      <c r="KA2166" s="3"/>
      <c r="KB2166" s="3"/>
      <c r="KC2166" s="3"/>
      <c r="KD2166" s="3"/>
      <c r="KE2166" s="3"/>
      <c r="KF2166" s="3"/>
      <c r="KG2166" s="3"/>
      <c r="KH2166" s="3"/>
      <c r="KI2166" s="3"/>
      <c r="KJ2166" s="3"/>
      <c r="KK2166" s="3"/>
      <c r="KL2166" s="3"/>
      <c r="KM2166" s="3"/>
      <c r="KN2166" s="3"/>
      <c r="KO2166" s="3"/>
      <c r="KP2166" s="3"/>
      <c r="KQ2166" s="3"/>
      <c r="KR2166" s="3"/>
      <c r="KS2166" s="3"/>
      <c r="KT2166" s="3"/>
      <c r="KU2166" s="3"/>
      <c r="KV2166" s="3"/>
      <c r="KW2166" s="3"/>
      <c r="KX2166" s="3"/>
      <c r="KY2166" s="3"/>
      <c r="KZ2166" s="3"/>
      <c r="LA2166" s="3"/>
      <c r="LB2166" s="3"/>
      <c r="LC2166" s="3"/>
      <c r="LD2166" s="3"/>
      <c r="LE2166" s="3"/>
      <c r="LF2166" s="3"/>
      <c r="LG2166" s="3"/>
      <c r="LH2166" s="3"/>
      <c r="LI2166" s="3"/>
      <c r="LJ2166" s="3"/>
      <c r="LK2166" s="3"/>
      <c r="LL2166" s="3"/>
      <c r="LM2166" s="3"/>
      <c r="LN2166" s="3"/>
      <c r="LO2166" s="3"/>
      <c r="LP2166" s="3"/>
      <c r="LQ2166" s="3"/>
      <c r="LR2166" s="3"/>
      <c r="LS2166" s="3"/>
      <c r="LT2166" s="3"/>
      <c r="LU2166" s="3"/>
      <c r="LV2166" s="3"/>
      <c r="LW2166" s="3"/>
      <c r="LX2166" s="3"/>
      <c r="LY2166" s="3"/>
      <c r="LZ2166" s="3"/>
      <c r="MA2166" s="3"/>
      <c r="MB2166" s="3"/>
      <c r="MC2166" s="3"/>
      <c r="MD2166" s="3"/>
      <c r="ME2166" s="3"/>
      <c r="MF2166" s="3"/>
      <c r="MG2166" s="3"/>
      <c r="MH2166" s="3"/>
      <c r="MI2166" s="3"/>
      <c r="MJ2166" s="3"/>
      <c r="MK2166" s="3"/>
      <c r="ML2166" s="3"/>
      <c r="MM2166" s="3"/>
      <c r="MN2166" s="3"/>
      <c r="MO2166" s="3"/>
      <c r="MP2166" s="3"/>
      <c r="MQ2166" s="3"/>
      <c r="MR2166" s="3"/>
      <c r="MS2166" s="3"/>
      <c r="MT2166" s="3"/>
      <c r="MU2166" s="3"/>
      <c r="MV2166" s="3"/>
      <c r="MW2166" s="3"/>
      <c r="MX2166" s="3"/>
      <c r="MY2166" s="3"/>
      <c r="MZ2166" s="3"/>
      <c r="NA2166" s="3"/>
      <c r="NB2166" s="3"/>
      <c r="NC2166" s="3"/>
      <c r="ND2166" s="3"/>
      <c r="NE2166" s="3"/>
      <c r="NF2166" s="3"/>
      <c r="NG2166" s="3"/>
      <c r="NH2166" s="3"/>
      <c r="NI2166" s="3"/>
      <c r="NJ2166" s="3"/>
      <c r="NK2166" s="3"/>
      <c r="NL2166" s="3"/>
      <c r="NM2166" s="3"/>
      <c r="NN2166" s="3"/>
      <c r="NO2166" s="3"/>
      <c r="NP2166" s="3"/>
      <c r="NQ2166" s="3"/>
      <c r="NR2166" s="3"/>
      <c r="NS2166" s="3"/>
      <c r="NT2166" s="3"/>
      <c r="NU2166" s="3"/>
      <c r="NV2166" s="3"/>
      <c r="NW2166" s="3"/>
      <c r="NX2166" s="3"/>
      <c r="NY2166" s="3"/>
      <c r="NZ2166" s="3"/>
      <c r="OA2166" s="3"/>
      <c r="OB2166" s="3"/>
      <c r="OC2166" s="3"/>
      <c r="OD2166" s="3"/>
      <c r="OE2166" s="3"/>
      <c r="OF2166" s="3"/>
      <c r="OG2166" s="3"/>
      <c r="OH2166" s="3"/>
      <c r="OI2166" s="3"/>
      <c r="OJ2166" s="3"/>
      <c r="OK2166" s="3"/>
      <c r="OL2166" s="3"/>
      <c r="OM2166" s="3"/>
      <c r="ON2166" s="3"/>
      <c r="OO2166" s="3"/>
      <c r="OP2166" s="3"/>
      <c r="OQ2166" s="3"/>
      <c r="OR2166" s="3"/>
      <c r="OS2166" s="3"/>
      <c r="OT2166" s="3"/>
      <c r="OU2166" s="3"/>
      <c r="OV2166" s="3"/>
      <c r="OW2166" s="3"/>
      <c r="OX2166" s="3"/>
      <c r="OY2166" s="3"/>
      <c r="OZ2166" s="3"/>
      <c r="PA2166" s="3"/>
      <c r="PB2166" s="3"/>
      <c r="PC2166" s="3"/>
      <c r="PD2166" s="3"/>
      <c r="PE2166" s="3"/>
      <c r="PF2166" s="3"/>
      <c r="PG2166" s="3"/>
      <c r="PH2166" s="3"/>
      <c r="PI2166" s="3"/>
      <c r="PJ2166" s="3"/>
      <c r="PK2166" s="3"/>
      <c r="PL2166" s="3"/>
      <c r="PM2166" s="3"/>
      <c r="PN2166" s="3"/>
      <c r="PO2166" s="3"/>
      <c r="PP2166" s="3"/>
      <c r="PQ2166" s="3"/>
      <c r="PR2166" s="3"/>
      <c r="PS2166" s="3"/>
      <c r="PT2166" s="3"/>
      <c r="PU2166" s="3"/>
      <c r="PV2166" s="3"/>
      <c r="PW2166" s="3"/>
      <c r="PX2166" s="3"/>
      <c r="PY2166" s="3"/>
      <c r="PZ2166" s="3"/>
      <c r="QA2166" s="3"/>
      <c r="QB2166" s="3"/>
      <c r="QC2166" s="3"/>
      <c r="QD2166" s="3"/>
      <c r="QE2166" s="3"/>
      <c r="QF2166" s="3"/>
      <c r="QG2166" s="3"/>
      <c r="QH2166" s="3"/>
      <c r="QI2166" s="3"/>
      <c r="QJ2166" s="3"/>
      <c r="QK2166" s="3"/>
      <c r="QL2166" s="3"/>
      <c r="QM2166" s="3"/>
      <c r="QN2166" s="3"/>
      <c r="QO2166" s="3"/>
      <c r="QP2166" s="3"/>
      <c r="QQ2166" s="3"/>
      <c r="QR2166" s="3"/>
      <c r="QS2166" s="3"/>
      <c r="QT2166" s="3"/>
      <c r="QU2166" s="3"/>
      <c r="QV2166" s="3"/>
      <c r="QW2166" s="3"/>
      <c r="QX2166" s="3"/>
      <c r="QY2166" s="3"/>
      <c r="QZ2166" s="3"/>
      <c r="RA2166" s="3"/>
      <c r="RB2166" s="3"/>
      <c r="RC2166" s="3"/>
      <c r="RD2166" s="3"/>
      <c r="RE2166" s="3"/>
      <c r="RF2166" s="3"/>
      <c r="RG2166" s="3"/>
      <c r="RH2166" s="3"/>
      <c r="RI2166" s="3"/>
      <c r="RJ2166" s="3"/>
      <c r="RK2166" s="3"/>
      <c r="RL2166" s="3"/>
      <c r="RM2166" s="3"/>
      <c r="RN2166" s="3"/>
      <c r="RO2166" s="3"/>
      <c r="RP2166" s="3"/>
      <c r="RQ2166" s="3"/>
      <c r="RR2166" s="3"/>
      <c r="RS2166" s="3"/>
      <c r="RT2166" s="3"/>
      <c r="RU2166" s="3"/>
      <c r="RV2166" s="3"/>
      <c r="RW2166" s="3"/>
      <c r="RX2166" s="3"/>
      <c r="RY2166" s="3"/>
      <c r="RZ2166" s="3"/>
      <c r="SA2166" s="3"/>
      <c r="SB2166" s="3"/>
      <c r="SC2166" s="3"/>
      <c r="SD2166" s="3"/>
      <c r="SE2166" s="3"/>
      <c r="SF2166" s="3"/>
      <c r="SG2166" s="3"/>
      <c r="SH2166" s="3"/>
      <c r="SI2166" s="3"/>
      <c r="SJ2166" s="3"/>
      <c r="SK2166" s="3"/>
      <c r="SL2166" s="3"/>
      <c r="SM2166" s="3"/>
      <c r="SN2166" s="3"/>
      <c r="SO2166" s="3"/>
      <c r="SP2166" s="3"/>
      <c r="SQ2166" s="3"/>
      <c r="SR2166" s="3"/>
      <c r="SS2166" s="3"/>
      <c r="ST2166" s="3"/>
      <c r="SU2166" s="3"/>
      <c r="SV2166" s="3"/>
      <c r="SW2166" s="3"/>
      <c r="SX2166" s="3"/>
      <c r="SY2166" s="3"/>
      <c r="SZ2166" s="3"/>
      <c r="TA2166" s="3"/>
      <c r="TB2166" s="3"/>
      <c r="TC2166" s="3"/>
      <c r="TD2166" s="3"/>
      <c r="TE2166" s="3"/>
      <c r="TF2166" s="3"/>
      <c r="TG2166" s="3"/>
      <c r="TH2166" s="3"/>
      <c r="TI2166" s="3"/>
      <c r="TJ2166" s="3"/>
      <c r="TK2166" s="3"/>
      <c r="TL2166" s="3"/>
      <c r="TM2166" s="3"/>
      <c r="TN2166" s="3"/>
      <c r="TO2166" s="3"/>
      <c r="TP2166" s="3"/>
      <c r="TQ2166" s="3"/>
      <c r="TR2166" s="3"/>
      <c r="TS2166" s="3"/>
      <c r="TT2166" s="3"/>
      <c r="TU2166" s="3"/>
      <c r="TV2166" s="3"/>
      <c r="TW2166" s="3"/>
      <c r="TX2166" s="3"/>
      <c r="TY2166" s="3"/>
      <c r="TZ2166" s="3"/>
      <c r="UA2166" s="3"/>
      <c r="UB2166" s="3"/>
      <c r="UC2166" s="3"/>
      <c r="UD2166" s="3"/>
      <c r="UE2166" s="3"/>
      <c r="UF2166" s="3"/>
      <c r="UG2166" s="3"/>
      <c r="UH2166" s="3"/>
      <c r="UI2166" s="3"/>
      <c r="UJ2166" s="3"/>
      <c r="UK2166" s="3"/>
      <c r="UL2166" s="3"/>
      <c r="UM2166" s="3"/>
      <c r="UN2166" s="3"/>
      <c r="UO2166" s="3"/>
      <c r="UP2166" s="3"/>
      <c r="UQ2166" s="3"/>
      <c r="UR2166" s="3"/>
      <c r="US2166" s="3"/>
      <c r="UT2166" s="3"/>
      <c r="UU2166" s="3"/>
      <c r="UV2166" s="3"/>
      <c r="UW2166" s="3"/>
      <c r="UX2166" s="3"/>
      <c r="UY2166" s="3"/>
      <c r="UZ2166" s="3"/>
      <c r="VA2166" s="3"/>
      <c r="VB2166" s="3"/>
      <c r="VC2166" s="3"/>
      <c r="VD2166" s="3"/>
      <c r="VE2166" s="3"/>
      <c r="VF2166" s="3"/>
      <c r="VG2166" s="3"/>
      <c r="VH2166" s="3"/>
      <c r="VI2166" s="3"/>
      <c r="VJ2166" s="3"/>
      <c r="VK2166" s="3"/>
      <c r="VL2166" s="3"/>
      <c r="VM2166" s="3"/>
      <c r="VN2166" s="3"/>
      <c r="VO2166" s="3"/>
      <c r="VP2166" s="3"/>
      <c r="VQ2166" s="3"/>
      <c r="VR2166" s="3"/>
      <c r="VS2166" s="3"/>
      <c r="VT2166" s="3"/>
      <c r="VU2166" s="3"/>
      <c r="VV2166" s="3"/>
      <c r="VW2166" s="3"/>
      <c r="VX2166" s="3"/>
      <c r="VY2166" s="3"/>
      <c r="VZ2166" s="3"/>
      <c r="WA2166" s="3"/>
      <c r="WB2166" s="3"/>
      <c r="WC2166" s="3"/>
      <c r="WD2166" s="3"/>
      <c r="WE2166" s="3"/>
      <c r="WF2166" s="3"/>
      <c r="WG2166" s="3"/>
      <c r="WH2166" s="3"/>
      <c r="WI2166" s="3"/>
      <c r="WJ2166" s="3"/>
      <c r="WK2166" s="3"/>
      <c r="WL2166" s="3"/>
      <c r="WM2166" s="3"/>
      <c r="WN2166" s="3"/>
      <c r="WO2166" s="3"/>
      <c r="WP2166" s="3"/>
      <c r="WQ2166" s="3"/>
      <c r="WR2166" s="3"/>
      <c r="WS2166" s="3"/>
      <c r="WT2166" s="3"/>
      <c r="WU2166" s="3"/>
      <c r="WV2166" s="3"/>
      <c r="WW2166" s="3"/>
      <c r="WX2166" s="3"/>
      <c r="WY2166" s="3"/>
      <c r="WZ2166" s="3"/>
      <c r="XA2166" s="3"/>
      <c r="XB2166" s="3"/>
      <c r="XC2166" s="3"/>
      <c r="XD2166" s="3"/>
      <c r="XE2166" s="3"/>
      <c r="XF2166" s="3"/>
      <c r="XG2166" s="3"/>
      <c r="XH2166" s="3"/>
      <c r="XI2166" s="3"/>
      <c r="XJ2166" s="3"/>
      <c r="XK2166" s="3"/>
      <c r="XL2166" s="3"/>
      <c r="XM2166" s="3"/>
      <c r="XN2166" s="3"/>
      <c r="XO2166" s="3"/>
      <c r="XP2166" s="3"/>
      <c r="XQ2166" s="3"/>
      <c r="XR2166" s="3"/>
      <c r="XS2166" s="3"/>
      <c r="XT2166" s="3"/>
      <c r="XU2166" s="3"/>
      <c r="XV2166" s="3"/>
      <c r="XW2166" s="3"/>
      <c r="XX2166" s="3"/>
      <c r="XY2166" s="3"/>
      <c r="XZ2166" s="3"/>
      <c r="YA2166" s="3"/>
      <c r="YB2166" s="3"/>
      <c r="YC2166" s="3"/>
      <c r="YD2166" s="3"/>
      <c r="YE2166" s="3"/>
      <c r="YF2166" s="3"/>
      <c r="YG2166" s="3"/>
      <c r="YH2166" s="3"/>
      <c r="YI2166" s="3"/>
      <c r="YJ2166" s="3"/>
      <c r="YK2166" s="3"/>
      <c r="YL2166" s="3"/>
      <c r="YM2166" s="3"/>
      <c r="YN2166" s="3"/>
      <c r="YO2166" s="3"/>
      <c r="YP2166" s="3"/>
      <c r="YQ2166" s="3"/>
      <c r="YR2166" s="3"/>
      <c r="YS2166" s="3"/>
      <c r="YT2166" s="3"/>
      <c r="YU2166" s="3"/>
      <c r="YV2166" s="3"/>
      <c r="YW2166" s="3"/>
      <c r="YX2166" s="3"/>
      <c r="YY2166" s="3"/>
      <c r="YZ2166" s="3"/>
      <c r="ZA2166" s="3"/>
      <c r="ZB2166" s="3"/>
      <c r="ZC2166" s="3"/>
      <c r="ZD2166" s="3"/>
      <c r="ZE2166" s="3"/>
      <c r="ZF2166" s="3"/>
      <c r="ZG2166" s="3"/>
      <c r="ZH2166" s="3"/>
      <c r="ZI2166" s="3"/>
      <c r="ZJ2166" s="3"/>
      <c r="ZK2166" s="3"/>
      <c r="ZL2166" s="3"/>
      <c r="ZM2166" s="3"/>
      <c r="ZN2166" s="3"/>
      <c r="ZO2166" s="3"/>
      <c r="ZP2166" s="3"/>
      <c r="ZQ2166" s="3"/>
      <c r="ZR2166" s="3"/>
      <c r="ZS2166" s="3"/>
      <c r="ZT2166" s="3"/>
      <c r="ZU2166" s="3"/>
      <c r="ZV2166" s="3"/>
      <c r="ZW2166" s="3"/>
      <c r="ZX2166" s="3"/>
      <c r="ZY2166" s="3"/>
      <c r="ZZ2166" s="3"/>
      <c r="AAA2166" s="3"/>
      <c r="AAB2166" s="3"/>
      <c r="AAC2166" s="3"/>
      <c r="AAD2166" s="3"/>
      <c r="AAE2166" s="3"/>
      <c r="AAF2166" s="3"/>
      <c r="AAG2166" s="3"/>
      <c r="AAH2166" s="3"/>
      <c r="AAI2166" s="3"/>
      <c r="AAJ2166" s="3"/>
      <c r="AAK2166" s="3"/>
      <c r="AAL2166" s="3"/>
      <c r="AAM2166" s="3"/>
      <c r="AAN2166" s="3"/>
      <c r="AAO2166" s="3"/>
      <c r="AAP2166" s="3"/>
      <c r="AAQ2166" s="3"/>
      <c r="AAR2166" s="3"/>
      <c r="AAS2166" s="3"/>
      <c r="AAT2166" s="3"/>
      <c r="AAU2166" s="3"/>
      <c r="AAV2166" s="3"/>
      <c r="AAW2166" s="3"/>
      <c r="AAX2166" s="3"/>
      <c r="AAY2166" s="3"/>
      <c r="AAZ2166" s="3"/>
      <c r="ABA2166" s="3"/>
      <c r="ABB2166" s="3"/>
      <c r="ABC2166" s="3"/>
      <c r="ABD2166" s="3"/>
      <c r="ABE2166" s="3"/>
      <c r="ABF2166" s="3"/>
      <c r="ABG2166" s="3"/>
      <c r="ABH2166" s="3"/>
      <c r="ABI2166" s="3"/>
      <c r="ABJ2166" s="3"/>
      <c r="ABK2166" s="3"/>
      <c r="ABL2166" s="3"/>
      <c r="ABM2166" s="3"/>
      <c r="ABN2166" s="3"/>
      <c r="ABO2166" s="3"/>
      <c r="ABP2166" s="3"/>
      <c r="ABQ2166" s="3"/>
      <c r="ABR2166" s="3"/>
      <c r="ABS2166" s="3"/>
      <c r="ABT2166" s="3"/>
      <c r="ABU2166" s="3"/>
      <c r="ABV2166" s="3"/>
      <c r="ABW2166" s="3"/>
      <c r="ABX2166" s="3"/>
      <c r="ABY2166" s="3"/>
      <c r="ABZ2166" s="3"/>
      <c r="ACA2166" s="3"/>
      <c r="ACB2166" s="3"/>
      <c r="ACC2166" s="3"/>
      <c r="ACD2166" s="3"/>
      <c r="ACE2166" s="3"/>
      <c r="ACF2166" s="3"/>
      <c r="ACG2166" s="3"/>
      <c r="ACH2166" s="3"/>
      <c r="ACI2166" s="3"/>
      <c r="ACJ2166" s="3"/>
      <c r="ACK2166" s="3"/>
      <c r="ACL2166" s="3"/>
      <c r="ACM2166" s="3"/>
      <c r="ACN2166" s="3"/>
      <c r="ACO2166" s="3"/>
      <c r="ACP2166" s="3"/>
      <c r="ACQ2166" s="3"/>
      <c r="ACR2166" s="3"/>
      <c r="ACS2166" s="3"/>
      <c r="ACT2166" s="3"/>
      <c r="ACU2166" s="3"/>
      <c r="ACV2166" s="3"/>
      <c r="ACW2166" s="3"/>
      <c r="ACX2166" s="3"/>
      <c r="ACY2166" s="3"/>
      <c r="ACZ2166" s="3"/>
      <c r="ADA2166" s="3"/>
      <c r="ADB2166" s="3"/>
      <c r="ADC2166" s="3"/>
      <c r="ADD2166" s="3"/>
      <c r="ADE2166" s="3"/>
      <c r="ADF2166" s="3"/>
      <c r="ADG2166" s="3"/>
      <c r="ADH2166" s="3"/>
      <c r="ADI2166" s="3"/>
      <c r="ADJ2166" s="3"/>
      <c r="ADK2166" s="3"/>
      <c r="ADL2166" s="3"/>
      <c r="ADM2166" s="3"/>
      <c r="ADN2166" s="3"/>
      <c r="ADO2166" s="3"/>
      <c r="ADP2166" s="3"/>
      <c r="ADQ2166" s="3"/>
      <c r="ADR2166" s="3"/>
      <c r="ADS2166" s="3"/>
      <c r="ADT2166" s="3"/>
      <c r="ADU2166" s="3"/>
      <c r="ADV2166" s="3"/>
      <c r="ADW2166" s="3"/>
      <c r="ADX2166" s="3"/>
      <c r="ADY2166" s="3"/>
      <c r="ADZ2166" s="3"/>
      <c r="AEA2166" s="3"/>
      <c r="AEB2166" s="3"/>
      <c r="AEC2166" s="3"/>
      <c r="AED2166" s="3"/>
      <c r="AEE2166" s="3"/>
      <c r="AEF2166" s="3"/>
      <c r="AEG2166" s="3"/>
      <c r="AEH2166" s="3"/>
      <c r="AEI2166" s="3"/>
      <c r="AEJ2166" s="3"/>
      <c r="AEK2166" s="3"/>
      <c r="AEL2166" s="3"/>
      <c r="AEM2166" s="3"/>
      <c r="AEN2166" s="3"/>
      <c r="AEO2166" s="3"/>
      <c r="AEP2166" s="3"/>
      <c r="AEQ2166" s="3"/>
      <c r="AER2166" s="3"/>
      <c r="AES2166" s="3"/>
      <c r="AET2166" s="3"/>
      <c r="AEU2166" s="3"/>
      <c r="AEV2166" s="3"/>
      <c r="AEW2166" s="3"/>
      <c r="AEX2166" s="3"/>
      <c r="AEY2166" s="3"/>
      <c r="AEZ2166" s="3"/>
      <c r="AFA2166" s="3"/>
      <c r="AFB2166" s="3"/>
      <c r="AFC2166" s="3"/>
      <c r="AFD2166" s="3"/>
      <c r="AFE2166" s="3"/>
      <c r="AFF2166" s="3"/>
      <c r="AFG2166" s="3"/>
      <c r="AFH2166" s="3"/>
      <c r="AFI2166" s="3"/>
      <c r="AFJ2166" s="3"/>
      <c r="AFK2166" s="3"/>
      <c r="AFL2166" s="3"/>
      <c r="AFM2166" s="3"/>
      <c r="AFN2166" s="3"/>
      <c r="AFO2166" s="3"/>
      <c r="AFP2166" s="3"/>
      <c r="AFQ2166" s="3"/>
      <c r="AFR2166" s="3"/>
      <c r="AFS2166" s="3"/>
      <c r="AFT2166" s="3"/>
      <c r="AFU2166" s="3"/>
      <c r="AFV2166" s="3"/>
      <c r="AFW2166" s="3"/>
      <c r="AFX2166" s="3"/>
      <c r="AFY2166" s="3"/>
      <c r="AFZ2166" s="3"/>
      <c r="AGA2166" s="3"/>
      <c r="AGB2166" s="3"/>
      <c r="AGC2166" s="3"/>
      <c r="AGD2166" s="3"/>
      <c r="AGE2166" s="3"/>
      <c r="AGF2166" s="3"/>
      <c r="AGG2166" s="3"/>
      <c r="AGH2166" s="3"/>
      <c r="AGI2166" s="3"/>
      <c r="AGJ2166" s="3"/>
      <c r="AGK2166" s="3"/>
      <c r="AGL2166" s="3"/>
      <c r="AGM2166" s="3"/>
      <c r="AGN2166" s="3"/>
      <c r="AGO2166" s="3"/>
      <c r="AGP2166" s="3"/>
      <c r="AGQ2166" s="3"/>
      <c r="AGR2166" s="3"/>
      <c r="AGS2166" s="3"/>
      <c r="AGT2166" s="3"/>
      <c r="AGU2166" s="3"/>
      <c r="AGV2166" s="3"/>
      <c r="AGW2166" s="3"/>
      <c r="AGX2166" s="3"/>
      <c r="AGY2166" s="3"/>
      <c r="AGZ2166" s="3"/>
      <c r="AHA2166" s="3"/>
      <c r="AHB2166" s="3"/>
      <c r="AHC2166" s="3"/>
      <c r="AHD2166" s="3"/>
      <c r="AHE2166" s="3"/>
      <c r="AHF2166" s="3"/>
      <c r="AHG2166" s="3"/>
      <c r="AHH2166" s="3"/>
      <c r="AHI2166" s="3"/>
      <c r="AHJ2166" s="3"/>
      <c r="AHK2166" s="3"/>
      <c r="AHL2166" s="3"/>
      <c r="AHM2166" s="3"/>
      <c r="AHN2166" s="3"/>
      <c r="AHO2166" s="3"/>
      <c r="AHP2166" s="3"/>
      <c r="AHQ2166" s="3"/>
      <c r="AHR2166" s="3"/>
      <c r="AHS2166" s="3"/>
      <c r="AHT2166" s="3"/>
      <c r="AHU2166" s="3"/>
      <c r="AHV2166" s="3"/>
      <c r="AHW2166" s="3"/>
      <c r="AHX2166" s="3"/>
      <c r="AHY2166" s="3"/>
      <c r="AHZ2166" s="3"/>
      <c r="AIA2166" s="3"/>
      <c r="AIB2166" s="3"/>
      <c r="AIC2166" s="3"/>
      <c r="AID2166" s="3"/>
      <c r="AIE2166" s="3"/>
      <c r="AIF2166" s="3"/>
      <c r="AIG2166" s="3"/>
      <c r="AIH2166" s="3"/>
      <c r="AII2166" s="3"/>
      <c r="AIJ2166" s="3"/>
      <c r="AIK2166" s="3"/>
      <c r="AIL2166" s="3"/>
      <c r="AIM2166" s="3"/>
      <c r="AIN2166" s="3"/>
      <c r="AIO2166" s="3"/>
      <c r="AIP2166" s="3"/>
      <c r="AIQ2166" s="3"/>
      <c r="AIR2166" s="3"/>
      <c r="AIS2166" s="3"/>
      <c r="AIT2166" s="3"/>
      <c r="AIU2166" s="3"/>
      <c r="AIV2166" s="3"/>
      <c r="AIW2166" s="3"/>
      <c r="AIX2166" s="3"/>
      <c r="AIY2166" s="3"/>
      <c r="AIZ2166" s="3"/>
      <c r="AJA2166" s="3"/>
      <c r="AJB2166" s="3"/>
      <c r="AJC2166" s="3"/>
      <c r="AJD2166" s="3"/>
      <c r="AJE2166" s="3"/>
      <c r="AJF2166" s="3"/>
      <c r="AJG2166" s="3"/>
      <c r="AJH2166" s="3"/>
      <c r="AJI2166" s="3"/>
      <c r="AJJ2166" s="3"/>
      <c r="AJK2166" s="3"/>
      <c r="AJL2166" s="3"/>
      <c r="AJM2166" s="3"/>
      <c r="AJN2166" s="3"/>
      <c r="AJO2166" s="3"/>
      <c r="AJP2166" s="3"/>
      <c r="AJQ2166" s="3"/>
      <c r="AJR2166" s="3"/>
      <c r="AJS2166" s="3"/>
      <c r="AJT2166" s="3"/>
      <c r="AJU2166" s="3"/>
      <c r="AJV2166" s="3"/>
      <c r="AJW2166" s="3"/>
      <c r="AJX2166" s="3"/>
      <c r="AJY2166" s="3"/>
      <c r="AJZ2166" s="3"/>
      <c r="AKA2166" s="3"/>
      <c r="AKB2166" s="3"/>
      <c r="AKC2166" s="3"/>
      <c r="AKD2166" s="3"/>
      <c r="AKE2166" s="3"/>
      <c r="AKF2166" s="3"/>
      <c r="AKG2166" s="3"/>
      <c r="AKH2166" s="3"/>
      <c r="AKI2166" s="3"/>
      <c r="AKJ2166" s="3"/>
      <c r="AKK2166" s="3"/>
      <c r="AKL2166" s="3"/>
      <c r="AKM2166" s="3"/>
      <c r="AKN2166" s="3"/>
      <c r="AKO2166" s="3"/>
      <c r="AKP2166" s="3"/>
      <c r="AKQ2166" s="3"/>
      <c r="AKR2166" s="3"/>
      <c r="AKS2166" s="3"/>
      <c r="AKT2166" s="3"/>
      <c r="AKU2166" s="3"/>
      <c r="AKV2166" s="3"/>
      <c r="AKW2166" s="3"/>
      <c r="AKX2166" s="3"/>
      <c r="AKY2166" s="3"/>
      <c r="AKZ2166" s="3"/>
      <c r="ALA2166" s="3"/>
      <c r="ALB2166" s="3"/>
      <c r="ALC2166" s="3"/>
      <c r="ALD2166" s="3"/>
      <c r="ALE2166" s="3"/>
      <c r="ALF2166" s="3"/>
      <c r="ALG2166" s="3"/>
      <c r="ALH2166" s="3"/>
      <c r="ALI2166" s="3"/>
      <c r="ALJ2166" s="3"/>
      <c r="ALK2166" s="3"/>
      <c r="ALL2166" s="3"/>
      <c r="ALM2166" s="3"/>
      <c r="ALN2166" s="3"/>
      <c r="ALO2166" s="3"/>
      <c r="ALP2166" s="3"/>
      <c r="ALQ2166" s="3"/>
      <c r="ALR2166" s="3"/>
      <c r="ALS2166" s="3"/>
      <c r="ALT2166" s="3"/>
      <c r="ALU2166" s="3"/>
      <c r="ALV2166" s="3"/>
      <c r="ALW2166" s="3"/>
      <c r="ALX2166" s="3"/>
      <c r="ALY2166" s="3"/>
      <c r="ALZ2166" s="3"/>
      <c r="AMA2166" s="3"/>
      <c r="AMB2166" s="3"/>
      <c r="AMC2166" s="3"/>
      <c r="AMD2166" s="3"/>
      <c r="AME2166" s="3"/>
      <c r="AMF2166" s="3"/>
      <c r="AMG2166" s="3"/>
      <c r="AMH2166" s="3"/>
      <c r="AMI2166" s="3"/>
      <c r="AMJ2166" s="3"/>
      <c r="AMK2166" s="3"/>
      <c r="AML2166" s="3"/>
      <c r="AMM2166" s="3"/>
    </row>
    <row r="2167" spans="1:1027">
      <c r="A2167" s="12">
        <v>790</v>
      </c>
      <c r="B2167" s="13" t="s">
        <v>3315</v>
      </c>
      <c r="C2167" s="14"/>
      <c r="D2167" s="14" t="s">
        <v>3313</v>
      </c>
      <c r="E2167" s="14"/>
      <c r="F2167" s="15" t="s">
        <v>22</v>
      </c>
      <c r="G2167" s="21"/>
      <c r="H2167" s="58"/>
      <c r="I2167" s="28"/>
      <c r="J2167" s="28" t="s">
        <v>23</v>
      </c>
      <c r="K2167" s="14"/>
      <c r="L2167" s="14"/>
      <c r="M2167" s="14" t="s">
        <v>1819</v>
      </c>
      <c r="N2167" s="14" t="s">
        <v>25</v>
      </c>
      <c r="O2167" s="14"/>
      <c r="P2167" s="14"/>
      <c r="Q2167" s="14"/>
      <c r="R2167" s="14" t="s">
        <v>3316</v>
      </c>
    </row>
    <row r="2168" spans="1:1027">
      <c r="A2168" s="12">
        <v>1517</v>
      </c>
      <c r="B2168" s="13" t="s">
        <v>3317</v>
      </c>
      <c r="C2168" s="14"/>
      <c r="D2168" s="14" t="s">
        <v>3313</v>
      </c>
      <c r="E2168" s="14" t="s">
        <v>172</v>
      </c>
      <c r="F2168" s="15" t="s">
        <v>22</v>
      </c>
      <c r="G2168" s="14"/>
      <c r="H2168" s="58">
        <v>3</v>
      </c>
      <c r="I2168" s="28"/>
      <c r="J2168" s="28" t="s">
        <v>23</v>
      </c>
      <c r="K2168" s="14"/>
      <c r="L2168" s="14"/>
      <c r="M2168" s="14" t="s">
        <v>2651</v>
      </c>
      <c r="N2168" s="25" t="s">
        <v>37</v>
      </c>
      <c r="O2168" s="14" t="s">
        <v>47</v>
      </c>
      <c r="P2168" s="14"/>
      <c r="Q2168" s="14"/>
      <c r="R2168" s="14" t="s">
        <v>1824</v>
      </c>
    </row>
    <row r="2169" spans="1:1027">
      <c r="A2169" s="12">
        <v>2315</v>
      </c>
      <c r="B2169" s="13" t="s">
        <v>3318</v>
      </c>
      <c r="C2169" s="31"/>
      <c r="D2169" s="16">
        <v>723</v>
      </c>
      <c r="E2169" s="16"/>
      <c r="F2169" s="15" t="s">
        <v>22</v>
      </c>
      <c r="G2169" s="18"/>
      <c r="H2169" s="58">
        <v>2</v>
      </c>
      <c r="I2169" s="35"/>
      <c r="J2169" s="28" t="s">
        <v>23</v>
      </c>
      <c r="K2169" s="18"/>
      <c r="L2169" s="18"/>
      <c r="M2169" s="18"/>
      <c r="N2169" s="18"/>
      <c r="O2169" s="18"/>
      <c r="P2169" s="18"/>
      <c r="Q2169" s="18"/>
      <c r="R2169" s="18"/>
    </row>
    <row r="2170" spans="1:1027">
      <c r="A2170" s="12">
        <v>791</v>
      </c>
      <c r="B2170" s="13" t="s">
        <v>3319</v>
      </c>
      <c r="C2170" s="14"/>
      <c r="D2170" s="14" t="s">
        <v>3320</v>
      </c>
      <c r="E2170" s="14" t="s">
        <v>2626</v>
      </c>
      <c r="F2170" s="15" t="s">
        <v>22</v>
      </c>
      <c r="G2170" s="21"/>
      <c r="H2170" s="58"/>
      <c r="I2170" s="28"/>
      <c r="J2170" s="28" t="s">
        <v>23</v>
      </c>
      <c r="K2170" s="14"/>
      <c r="L2170" s="14"/>
      <c r="M2170" s="14" t="s">
        <v>1819</v>
      </c>
      <c r="N2170" s="14" t="s">
        <v>25</v>
      </c>
      <c r="O2170" s="14"/>
      <c r="P2170" s="14"/>
      <c r="Q2170" s="14"/>
      <c r="R2170" s="14" t="s">
        <v>3316</v>
      </c>
    </row>
    <row r="2171" spans="1:1027">
      <c r="A2171" s="12">
        <v>1518</v>
      </c>
      <c r="B2171" s="13" t="s">
        <v>3321</v>
      </c>
      <c r="C2171" s="14"/>
      <c r="D2171" s="14" t="s">
        <v>3320</v>
      </c>
      <c r="E2171" s="14" t="s">
        <v>2626</v>
      </c>
      <c r="F2171" s="15" t="s">
        <v>22</v>
      </c>
      <c r="G2171" s="14"/>
      <c r="H2171" s="58">
        <v>1</v>
      </c>
      <c r="I2171" s="33"/>
      <c r="J2171" s="33" t="s">
        <v>23</v>
      </c>
      <c r="K2171" s="14"/>
      <c r="L2171" s="14"/>
      <c r="M2171" s="14" t="s">
        <v>2651</v>
      </c>
      <c r="N2171" s="14" t="s">
        <v>25</v>
      </c>
      <c r="O2171" s="14"/>
      <c r="P2171" s="14"/>
      <c r="Q2171" s="14"/>
      <c r="R2171" s="14" t="s">
        <v>1824</v>
      </c>
    </row>
    <row r="2172" spans="1:1027">
      <c r="A2172" s="12">
        <v>2316</v>
      </c>
      <c r="B2172" s="13" t="s">
        <v>3322</v>
      </c>
      <c r="C2172" s="31"/>
      <c r="D2172" s="16">
        <v>724</v>
      </c>
      <c r="E2172" s="16" t="s">
        <v>2626</v>
      </c>
      <c r="F2172" s="15" t="s">
        <v>22</v>
      </c>
      <c r="G2172" s="18"/>
      <c r="H2172" s="58"/>
      <c r="I2172" s="52"/>
      <c r="J2172" s="33" t="s">
        <v>23</v>
      </c>
      <c r="K2172" s="18"/>
      <c r="L2172" s="18"/>
      <c r="M2172" s="18"/>
      <c r="N2172" s="18"/>
      <c r="O2172" s="18"/>
      <c r="P2172" s="18"/>
      <c r="Q2172" s="18"/>
      <c r="R2172" s="18"/>
    </row>
    <row r="2173" spans="1:1027">
      <c r="A2173" s="12">
        <v>792</v>
      </c>
      <c r="B2173" s="13" t="s">
        <v>3323</v>
      </c>
      <c r="C2173" s="14"/>
      <c r="D2173" s="14" t="s">
        <v>3324</v>
      </c>
      <c r="E2173" s="14" t="s">
        <v>172</v>
      </c>
      <c r="F2173" s="15" t="s">
        <v>22</v>
      </c>
      <c r="G2173" s="21"/>
      <c r="H2173" s="58"/>
      <c r="I2173" s="33"/>
      <c r="J2173" s="33" t="s">
        <v>23</v>
      </c>
      <c r="K2173" s="14"/>
      <c r="L2173" s="14"/>
      <c r="M2173" s="14" t="s">
        <v>1819</v>
      </c>
      <c r="N2173" s="14" t="s">
        <v>25</v>
      </c>
      <c r="O2173" s="14"/>
      <c r="P2173" s="14"/>
      <c r="Q2173" s="14"/>
      <c r="R2173" s="14" t="s">
        <v>3316</v>
      </c>
    </row>
    <row r="2174" spans="1:1027">
      <c r="A2174" s="12">
        <v>1519</v>
      </c>
      <c r="B2174" s="13" t="s">
        <v>3325</v>
      </c>
      <c r="C2174" s="14"/>
      <c r="D2174" s="14" t="s">
        <v>3324</v>
      </c>
      <c r="E2174" s="14" t="s">
        <v>172</v>
      </c>
      <c r="F2174" s="15" t="s">
        <v>22</v>
      </c>
      <c r="G2174" s="14"/>
      <c r="H2174" s="58"/>
      <c r="I2174" s="33"/>
      <c r="J2174" s="33" t="s">
        <v>23</v>
      </c>
      <c r="K2174" s="14"/>
      <c r="L2174" s="14"/>
      <c r="M2174" s="14" t="s">
        <v>2651</v>
      </c>
      <c r="N2174" s="14" t="s">
        <v>25</v>
      </c>
      <c r="O2174" s="14"/>
      <c r="P2174" s="14"/>
      <c r="Q2174" s="14"/>
      <c r="R2174" s="14" t="s">
        <v>1824</v>
      </c>
    </row>
    <row r="2175" spans="1:1027">
      <c r="A2175" s="12">
        <v>2317</v>
      </c>
      <c r="B2175" s="13" t="s">
        <v>3326</v>
      </c>
      <c r="C2175" s="31"/>
      <c r="D2175" s="16">
        <v>726</v>
      </c>
      <c r="E2175" s="16" t="s">
        <v>172</v>
      </c>
      <c r="F2175" s="15" t="s">
        <v>22</v>
      </c>
      <c r="G2175" s="18"/>
      <c r="H2175" s="58"/>
      <c r="I2175" s="52"/>
      <c r="J2175" s="33" t="s">
        <v>23</v>
      </c>
      <c r="K2175" s="18"/>
      <c r="L2175" s="18"/>
      <c r="M2175" s="18"/>
      <c r="N2175" s="18"/>
      <c r="O2175" s="18"/>
      <c r="P2175" s="18"/>
      <c r="Q2175" s="18"/>
      <c r="R2175" s="18"/>
    </row>
    <row r="2176" spans="1:1027">
      <c r="A2176" s="12">
        <v>793</v>
      </c>
      <c r="B2176" s="13" t="s">
        <v>3327</v>
      </c>
      <c r="C2176" s="14"/>
      <c r="D2176" s="14" t="s">
        <v>3328</v>
      </c>
      <c r="E2176" s="14" t="s">
        <v>3162</v>
      </c>
      <c r="F2176" s="15" t="s">
        <v>22</v>
      </c>
      <c r="G2176" s="21"/>
      <c r="H2176" s="58"/>
      <c r="I2176" s="33"/>
      <c r="J2176" s="33" t="s">
        <v>23</v>
      </c>
      <c r="K2176" s="14"/>
      <c r="L2176" s="14"/>
      <c r="M2176" s="14" t="s">
        <v>1819</v>
      </c>
      <c r="N2176" s="25" t="s">
        <v>37</v>
      </c>
      <c r="O2176" s="14" t="s">
        <v>179</v>
      </c>
      <c r="P2176" s="14"/>
      <c r="Q2176" s="14"/>
      <c r="R2176" s="14" t="s">
        <v>3316</v>
      </c>
    </row>
    <row r="2177" spans="1:18">
      <c r="A2177" s="12">
        <v>1520</v>
      </c>
      <c r="B2177" s="13" t="s">
        <v>3329</v>
      </c>
      <c r="C2177" s="14"/>
      <c r="D2177" s="14" t="s">
        <v>3328</v>
      </c>
      <c r="E2177" s="14" t="s">
        <v>3162</v>
      </c>
      <c r="F2177" s="15" t="s">
        <v>22</v>
      </c>
      <c r="G2177" s="14"/>
      <c r="H2177" s="58">
        <v>4</v>
      </c>
      <c r="I2177" s="33"/>
      <c r="J2177" s="33" t="s">
        <v>23</v>
      </c>
      <c r="K2177" s="14"/>
      <c r="L2177" s="14"/>
      <c r="M2177" s="14" t="s">
        <v>2651</v>
      </c>
      <c r="N2177" s="25" t="s">
        <v>37</v>
      </c>
      <c r="O2177" s="14" t="s">
        <v>1512</v>
      </c>
      <c r="P2177" s="14"/>
      <c r="Q2177" s="14"/>
      <c r="R2177" s="14" t="s">
        <v>1824</v>
      </c>
    </row>
    <row r="2178" spans="1:18">
      <c r="A2178" s="12">
        <v>2318</v>
      </c>
      <c r="B2178" s="13" t="s">
        <v>3330</v>
      </c>
      <c r="C2178" s="31"/>
      <c r="D2178" s="16">
        <v>727</v>
      </c>
      <c r="E2178" s="16" t="s">
        <v>3162</v>
      </c>
      <c r="F2178" s="15" t="s">
        <v>22</v>
      </c>
      <c r="G2178" s="18"/>
      <c r="H2178" s="58">
        <v>4</v>
      </c>
      <c r="I2178" s="52"/>
      <c r="J2178" s="33" t="s">
        <v>23</v>
      </c>
      <c r="K2178" s="18"/>
      <c r="L2178" s="18"/>
      <c r="M2178" s="18"/>
      <c r="N2178" s="18"/>
      <c r="O2178" s="18"/>
      <c r="P2178" s="18"/>
      <c r="Q2178" s="18"/>
      <c r="R2178" s="18"/>
    </row>
    <row r="2179" spans="1:18">
      <c r="A2179" s="12">
        <v>794</v>
      </c>
      <c r="B2179" s="13" t="s">
        <v>3331</v>
      </c>
      <c r="C2179" s="14"/>
      <c r="D2179" s="14" t="s">
        <v>3332</v>
      </c>
      <c r="E2179" s="14" t="s">
        <v>2991</v>
      </c>
      <c r="F2179" s="15" t="s">
        <v>22</v>
      </c>
      <c r="G2179" s="21"/>
      <c r="H2179" s="58"/>
      <c r="I2179" s="33"/>
      <c r="J2179" s="33" t="s">
        <v>23</v>
      </c>
      <c r="K2179" s="14"/>
      <c r="L2179" s="14"/>
      <c r="M2179" s="14" t="s">
        <v>1819</v>
      </c>
      <c r="N2179" s="14" t="s">
        <v>25</v>
      </c>
      <c r="O2179" s="14"/>
      <c r="P2179" s="14"/>
      <c r="Q2179" s="14"/>
      <c r="R2179" s="14" t="s">
        <v>3316</v>
      </c>
    </row>
    <row r="2180" spans="1:18">
      <c r="A2180" s="12">
        <v>1521</v>
      </c>
      <c r="B2180" s="13" t="s">
        <v>3333</v>
      </c>
      <c r="C2180" s="14"/>
      <c r="D2180" s="14" t="s">
        <v>3332</v>
      </c>
      <c r="E2180" s="14" t="s">
        <v>2991</v>
      </c>
      <c r="F2180" s="15" t="s">
        <v>22</v>
      </c>
      <c r="G2180" s="14"/>
      <c r="H2180" s="58"/>
      <c r="I2180" s="33"/>
      <c r="J2180" s="33" t="s">
        <v>23</v>
      </c>
      <c r="K2180" s="14"/>
      <c r="L2180" s="14"/>
      <c r="M2180" s="14" t="s">
        <v>2651</v>
      </c>
      <c r="N2180" s="14" t="s">
        <v>25</v>
      </c>
      <c r="O2180" s="14"/>
      <c r="P2180" s="14"/>
      <c r="Q2180" s="14"/>
      <c r="R2180" s="14" t="s">
        <v>1824</v>
      </c>
    </row>
    <row r="2181" spans="1:18">
      <c r="A2181" s="12">
        <v>2319</v>
      </c>
      <c r="B2181" s="13" t="s">
        <v>3334</v>
      </c>
      <c r="C2181" s="31"/>
      <c r="D2181" s="16">
        <v>728</v>
      </c>
      <c r="E2181" s="16" t="s">
        <v>2991</v>
      </c>
      <c r="F2181" s="15" t="s">
        <v>22</v>
      </c>
      <c r="G2181" s="18"/>
      <c r="H2181" s="58"/>
      <c r="I2181" s="53"/>
      <c r="J2181" s="33" t="s">
        <v>23</v>
      </c>
      <c r="K2181" s="18"/>
      <c r="L2181" s="18"/>
      <c r="M2181" s="18"/>
      <c r="N2181" s="18"/>
      <c r="O2181" s="18"/>
      <c r="P2181" s="18"/>
      <c r="Q2181" s="18"/>
      <c r="R2181" s="18"/>
    </row>
    <row r="2182" spans="1:18">
      <c r="A2182" s="12">
        <v>795</v>
      </c>
      <c r="B2182" s="13" t="s">
        <v>3335</v>
      </c>
      <c r="C2182" s="14"/>
      <c r="D2182" s="14" t="s">
        <v>3336</v>
      </c>
      <c r="E2182" s="14" t="s">
        <v>2355</v>
      </c>
      <c r="F2182" s="15" t="s">
        <v>22</v>
      </c>
      <c r="G2182" s="21"/>
      <c r="H2182" s="58"/>
      <c r="I2182" s="33"/>
      <c r="J2182" s="33" t="s">
        <v>23</v>
      </c>
      <c r="K2182" s="14"/>
      <c r="L2182" s="14"/>
      <c r="M2182" s="14" t="s">
        <v>1819</v>
      </c>
      <c r="N2182" s="14" t="s">
        <v>25</v>
      </c>
      <c r="O2182" s="14"/>
      <c r="P2182" s="14"/>
      <c r="Q2182" s="14"/>
      <c r="R2182" s="14" t="s">
        <v>3316</v>
      </c>
    </row>
    <row r="2183" spans="1:18">
      <c r="A2183" s="12">
        <v>1522</v>
      </c>
      <c r="B2183" s="13" t="s">
        <v>3337</v>
      </c>
      <c r="C2183" s="14"/>
      <c r="D2183" s="14" t="s">
        <v>3336</v>
      </c>
      <c r="E2183" s="14" t="s">
        <v>2355</v>
      </c>
      <c r="F2183" s="15" t="s">
        <v>22</v>
      </c>
      <c r="G2183" s="14"/>
      <c r="H2183" s="58"/>
      <c r="I2183" s="33"/>
      <c r="J2183" s="33" t="s">
        <v>23</v>
      </c>
      <c r="K2183" s="14"/>
      <c r="L2183" s="14"/>
      <c r="M2183" s="14" t="s">
        <v>2651</v>
      </c>
      <c r="N2183" s="14" t="s">
        <v>25</v>
      </c>
      <c r="O2183" s="14"/>
      <c r="P2183" s="14"/>
      <c r="Q2183" s="14"/>
      <c r="R2183" s="14" t="s">
        <v>1824</v>
      </c>
    </row>
    <row r="2184" spans="1:18">
      <c r="A2184" s="12">
        <v>2320</v>
      </c>
      <c r="B2184" s="13" t="s">
        <v>3338</v>
      </c>
      <c r="C2184" s="31"/>
      <c r="D2184" s="16">
        <v>729</v>
      </c>
      <c r="E2184" s="16" t="s">
        <v>2355</v>
      </c>
      <c r="F2184" s="15" t="s">
        <v>22</v>
      </c>
      <c r="G2184" s="18"/>
      <c r="H2184" s="58"/>
      <c r="I2184" s="53"/>
      <c r="J2184" s="33" t="s">
        <v>23</v>
      </c>
      <c r="K2184" s="18"/>
      <c r="L2184" s="18"/>
      <c r="M2184" s="18"/>
      <c r="N2184" s="18"/>
      <c r="O2184" s="18"/>
      <c r="P2184" s="18"/>
      <c r="Q2184" s="18"/>
      <c r="R2184" s="18"/>
    </row>
    <row r="2185" spans="1:18">
      <c r="A2185" s="12">
        <v>796</v>
      </c>
      <c r="B2185" s="13" t="s">
        <v>3339</v>
      </c>
      <c r="C2185" s="14"/>
      <c r="D2185" s="14" t="s">
        <v>3340</v>
      </c>
      <c r="E2185" s="14" t="s">
        <v>3162</v>
      </c>
      <c r="F2185" s="15" t="s">
        <v>22</v>
      </c>
      <c r="G2185" s="21"/>
      <c r="H2185" s="58"/>
      <c r="I2185" s="33"/>
      <c r="J2185" s="33" t="s">
        <v>23</v>
      </c>
      <c r="K2185" s="14"/>
      <c r="L2185" s="14"/>
      <c r="M2185" s="14" t="s">
        <v>1819</v>
      </c>
      <c r="N2185" s="14" t="s">
        <v>25</v>
      </c>
      <c r="O2185" s="14"/>
      <c r="P2185" s="14"/>
      <c r="Q2185" s="14"/>
      <c r="R2185" s="14" t="s">
        <v>3316</v>
      </c>
    </row>
    <row r="2186" spans="1:18">
      <c r="A2186" s="12">
        <v>1523</v>
      </c>
      <c r="B2186" s="13" t="s">
        <v>3341</v>
      </c>
      <c r="C2186" s="14"/>
      <c r="D2186" s="14" t="s">
        <v>3340</v>
      </c>
      <c r="E2186" s="14" t="s">
        <v>3162</v>
      </c>
      <c r="F2186" s="15" t="s">
        <v>22</v>
      </c>
      <c r="G2186" s="14"/>
      <c r="H2186" s="58">
        <v>1</v>
      </c>
      <c r="I2186" s="33"/>
      <c r="J2186" s="33" t="s">
        <v>23</v>
      </c>
      <c r="K2186" s="14"/>
      <c r="L2186" s="14"/>
      <c r="M2186" s="14" t="s">
        <v>2651</v>
      </c>
      <c r="N2186" s="25" t="s">
        <v>289</v>
      </c>
      <c r="O2186" s="14" t="s">
        <v>3342</v>
      </c>
      <c r="P2186" s="14"/>
      <c r="Q2186" s="14"/>
      <c r="R2186" s="14" t="s">
        <v>1824</v>
      </c>
    </row>
    <row r="2187" spans="1:18">
      <c r="A2187" s="12">
        <v>2321</v>
      </c>
      <c r="B2187" s="13" t="s">
        <v>3343</v>
      </c>
      <c r="C2187" s="31"/>
      <c r="D2187" s="16">
        <v>730</v>
      </c>
      <c r="E2187" s="16" t="s">
        <v>3162</v>
      </c>
      <c r="F2187" s="15" t="s">
        <v>22</v>
      </c>
      <c r="G2187" s="18"/>
      <c r="H2187" s="58">
        <v>1</v>
      </c>
      <c r="I2187" s="52"/>
      <c r="J2187" s="33" t="s">
        <v>23</v>
      </c>
      <c r="K2187" s="18"/>
      <c r="L2187" s="18"/>
      <c r="M2187" s="18"/>
      <c r="N2187" s="18"/>
      <c r="O2187" s="18"/>
      <c r="P2187" s="18"/>
      <c r="Q2187" s="18"/>
      <c r="R2187" s="18"/>
    </row>
    <row r="2188" spans="1:18">
      <c r="A2188" s="12">
        <v>797</v>
      </c>
      <c r="B2188" s="13" t="s">
        <v>3344</v>
      </c>
      <c r="C2188" s="14"/>
      <c r="D2188" s="14" t="s">
        <v>3345</v>
      </c>
      <c r="E2188" s="14"/>
      <c r="F2188" s="15" t="s">
        <v>22</v>
      </c>
      <c r="G2188" s="21"/>
      <c r="H2188" s="58"/>
      <c r="I2188" s="33"/>
      <c r="J2188" s="33" t="s">
        <v>23</v>
      </c>
      <c r="K2188" s="14"/>
      <c r="L2188" s="14"/>
      <c r="M2188" s="14" t="s">
        <v>1819</v>
      </c>
      <c r="N2188" s="14" t="s">
        <v>25</v>
      </c>
      <c r="O2188" s="14"/>
      <c r="P2188" s="14"/>
      <c r="Q2188" s="14"/>
      <c r="R2188" s="14" t="s">
        <v>3316</v>
      </c>
    </row>
    <row r="2189" spans="1:18">
      <c r="A2189" s="12">
        <v>1586</v>
      </c>
      <c r="B2189" s="13" t="s">
        <v>3346</v>
      </c>
      <c r="C2189" s="14"/>
      <c r="D2189" s="14" t="s">
        <v>3345</v>
      </c>
      <c r="E2189" s="14" t="s">
        <v>172</v>
      </c>
      <c r="F2189" s="15" t="s">
        <v>22</v>
      </c>
      <c r="G2189" s="14"/>
      <c r="H2189" s="58"/>
      <c r="I2189" s="33"/>
      <c r="J2189" s="33" t="s">
        <v>23</v>
      </c>
      <c r="K2189" s="14"/>
      <c r="L2189" s="14"/>
      <c r="M2189" s="14" t="s">
        <v>650</v>
      </c>
      <c r="N2189" s="14" t="s">
        <v>25</v>
      </c>
      <c r="O2189" s="14"/>
      <c r="P2189" s="14"/>
      <c r="Q2189" s="14"/>
      <c r="R2189" s="14" t="s">
        <v>33</v>
      </c>
    </row>
    <row r="2190" spans="1:18">
      <c r="A2190" s="12">
        <v>2322</v>
      </c>
      <c r="B2190" s="13" t="s">
        <v>3347</v>
      </c>
      <c r="C2190" s="31"/>
      <c r="D2190" s="16">
        <v>731</v>
      </c>
      <c r="E2190" s="16"/>
      <c r="F2190" s="15" t="s">
        <v>22</v>
      </c>
      <c r="G2190" s="18"/>
      <c r="H2190" s="58"/>
      <c r="I2190" s="52"/>
      <c r="J2190" s="33" t="s">
        <v>23</v>
      </c>
      <c r="K2190" s="18"/>
      <c r="L2190" s="18"/>
      <c r="M2190" s="18"/>
      <c r="N2190" s="18"/>
      <c r="O2190" s="18"/>
      <c r="P2190" s="18"/>
      <c r="Q2190" s="18"/>
      <c r="R2190" s="18"/>
    </row>
    <row r="2191" spans="1:18">
      <c r="A2191" s="12">
        <v>670</v>
      </c>
      <c r="B2191" s="13" t="s">
        <v>3348</v>
      </c>
      <c r="C2191" s="22"/>
      <c r="D2191" s="22" t="s">
        <v>3349</v>
      </c>
      <c r="E2191" s="22" t="s">
        <v>2355</v>
      </c>
      <c r="F2191" s="15" t="s">
        <v>22</v>
      </c>
      <c r="G2191" s="26"/>
      <c r="H2191" s="58"/>
      <c r="I2191" s="54"/>
      <c r="J2191" s="33" t="s">
        <v>23</v>
      </c>
      <c r="K2191" s="22"/>
      <c r="L2191" s="22"/>
      <c r="M2191" s="22" t="s">
        <v>654</v>
      </c>
      <c r="N2191" s="14" t="s">
        <v>25</v>
      </c>
      <c r="O2191" s="22"/>
      <c r="P2191" s="14"/>
      <c r="Q2191" s="14"/>
      <c r="R2191" s="14" t="s">
        <v>1820</v>
      </c>
    </row>
    <row r="2192" spans="1:18">
      <c r="A2192" s="12">
        <v>1524</v>
      </c>
      <c r="B2192" s="13" t="s">
        <v>3350</v>
      </c>
      <c r="C2192" s="14"/>
      <c r="D2192" s="14" t="s">
        <v>3349</v>
      </c>
      <c r="E2192" s="14" t="s">
        <v>2355</v>
      </c>
      <c r="F2192" s="15" t="s">
        <v>22</v>
      </c>
      <c r="G2192" s="14"/>
      <c r="H2192" s="58"/>
      <c r="I2192" s="33"/>
      <c r="J2192" s="33" t="s">
        <v>23</v>
      </c>
      <c r="K2192" s="14"/>
      <c r="L2192" s="14"/>
      <c r="M2192" s="14" t="s">
        <v>2651</v>
      </c>
      <c r="N2192" s="14" t="s">
        <v>25</v>
      </c>
      <c r="O2192" s="14"/>
      <c r="P2192" s="14"/>
      <c r="Q2192" s="14"/>
      <c r="R2192" s="14" t="s">
        <v>1824</v>
      </c>
    </row>
    <row r="2193" spans="1:18">
      <c r="A2193" s="12">
        <v>2323</v>
      </c>
      <c r="B2193" s="13" t="s">
        <v>3351</v>
      </c>
      <c r="C2193" s="31"/>
      <c r="D2193" s="16">
        <v>732</v>
      </c>
      <c r="E2193" s="16" t="s">
        <v>2355</v>
      </c>
      <c r="F2193" s="15" t="s">
        <v>22</v>
      </c>
      <c r="G2193" s="18"/>
      <c r="H2193" s="58"/>
      <c r="I2193" s="52"/>
      <c r="J2193" s="33" t="s">
        <v>23</v>
      </c>
      <c r="K2193" s="18"/>
      <c r="L2193" s="18"/>
      <c r="M2193" s="18"/>
      <c r="N2193" s="18"/>
      <c r="O2193" s="18"/>
      <c r="P2193" s="18"/>
      <c r="Q2193" s="18"/>
      <c r="R2193" s="18"/>
    </row>
    <row r="2194" spans="1:18">
      <c r="A2194" s="12">
        <v>798</v>
      </c>
      <c r="B2194" s="13" t="s">
        <v>3352</v>
      </c>
      <c r="C2194" s="14"/>
      <c r="D2194" s="14" t="s">
        <v>3353</v>
      </c>
      <c r="E2194" s="14"/>
      <c r="F2194" s="15" t="s">
        <v>22</v>
      </c>
      <c r="G2194" s="21"/>
      <c r="H2194" s="58"/>
      <c r="I2194" s="33"/>
      <c r="J2194" s="33" t="s">
        <v>23</v>
      </c>
      <c r="K2194" s="14"/>
      <c r="L2194" s="14"/>
      <c r="M2194" s="14" t="s">
        <v>1819</v>
      </c>
      <c r="N2194" s="25" t="s">
        <v>37</v>
      </c>
      <c r="O2194" s="14" t="s">
        <v>52</v>
      </c>
      <c r="P2194" s="14"/>
      <c r="Q2194" s="14"/>
      <c r="R2194" s="14" t="s">
        <v>3316</v>
      </c>
    </row>
    <row r="2195" spans="1:18">
      <c r="A2195" s="12">
        <v>1587</v>
      </c>
      <c r="B2195" s="13" t="s">
        <v>3354</v>
      </c>
      <c r="C2195" s="14"/>
      <c r="D2195" s="14" t="s">
        <v>3353</v>
      </c>
      <c r="E2195" s="14" t="s">
        <v>172</v>
      </c>
      <c r="F2195" s="15" t="s">
        <v>22</v>
      </c>
      <c r="G2195" s="14"/>
      <c r="H2195" s="58">
        <v>3</v>
      </c>
      <c r="I2195" s="33"/>
      <c r="J2195" s="33" t="s">
        <v>23</v>
      </c>
      <c r="K2195" s="14"/>
      <c r="L2195" s="14"/>
      <c r="M2195" s="14" t="s">
        <v>650</v>
      </c>
      <c r="N2195" s="25" t="s">
        <v>37</v>
      </c>
      <c r="O2195" s="14" t="s">
        <v>1180</v>
      </c>
      <c r="P2195" s="14"/>
      <c r="Q2195" s="14"/>
      <c r="R2195" s="14" t="s">
        <v>33</v>
      </c>
    </row>
    <row r="2196" spans="1:18">
      <c r="A2196" s="12">
        <v>2324</v>
      </c>
      <c r="B2196" s="13" t="s">
        <v>3355</v>
      </c>
      <c r="C2196" s="31"/>
      <c r="D2196" s="16">
        <v>733</v>
      </c>
      <c r="E2196" s="16"/>
      <c r="F2196" s="15" t="s">
        <v>22</v>
      </c>
      <c r="G2196" s="18"/>
      <c r="H2196" s="58">
        <v>2</v>
      </c>
      <c r="I2196" s="52"/>
      <c r="J2196" s="33" t="s">
        <v>23</v>
      </c>
      <c r="K2196" s="18"/>
      <c r="L2196" s="18"/>
      <c r="M2196" s="18"/>
      <c r="N2196" s="18"/>
      <c r="O2196" s="18"/>
      <c r="P2196" s="18"/>
      <c r="Q2196" s="18"/>
      <c r="R2196" s="18"/>
    </row>
    <row r="2197" spans="1:18">
      <c r="A2197" s="12">
        <v>799</v>
      </c>
      <c r="B2197" s="13" t="s">
        <v>3356</v>
      </c>
      <c r="C2197" s="14"/>
      <c r="D2197" s="14" t="s">
        <v>3357</v>
      </c>
      <c r="E2197" s="14" t="s">
        <v>2991</v>
      </c>
      <c r="F2197" s="15" t="s">
        <v>22</v>
      </c>
      <c r="G2197" s="21"/>
      <c r="H2197" s="58"/>
      <c r="I2197" s="33"/>
      <c r="J2197" s="33" t="s">
        <v>23</v>
      </c>
      <c r="K2197" s="14"/>
      <c r="L2197" s="14"/>
      <c r="M2197" s="14" t="s">
        <v>1819</v>
      </c>
      <c r="N2197" s="25" t="s">
        <v>37</v>
      </c>
      <c r="O2197" s="14" t="s">
        <v>52</v>
      </c>
      <c r="P2197" s="14"/>
      <c r="Q2197" s="14"/>
      <c r="R2197" s="14" t="s">
        <v>3316</v>
      </c>
    </row>
    <row r="2198" spans="1:18">
      <c r="A2198" s="12">
        <v>1588</v>
      </c>
      <c r="B2198" s="13" t="s">
        <v>3358</v>
      </c>
      <c r="C2198" s="14"/>
      <c r="D2198" s="14" t="s">
        <v>3357</v>
      </c>
      <c r="E2198" s="14" t="s">
        <v>2991</v>
      </c>
      <c r="F2198" s="15" t="s">
        <v>22</v>
      </c>
      <c r="G2198" s="14"/>
      <c r="H2198" s="58">
        <v>3</v>
      </c>
      <c r="I2198" s="33"/>
      <c r="J2198" s="33" t="s">
        <v>23</v>
      </c>
      <c r="K2198" s="14"/>
      <c r="L2198" s="14"/>
      <c r="M2198" s="14" t="s">
        <v>650</v>
      </c>
      <c r="N2198" s="25" t="s">
        <v>37</v>
      </c>
      <c r="O2198" s="14" t="s">
        <v>3359</v>
      </c>
      <c r="P2198" s="14"/>
      <c r="Q2198" s="14"/>
      <c r="R2198" s="14" t="s">
        <v>33</v>
      </c>
    </row>
    <row r="2199" spans="1:18">
      <c r="A2199" s="12">
        <v>2325</v>
      </c>
      <c r="B2199" s="13" t="s">
        <v>3360</v>
      </c>
      <c r="C2199" s="31"/>
      <c r="D2199" s="16">
        <v>734</v>
      </c>
      <c r="E2199" s="16" t="s">
        <v>2991</v>
      </c>
      <c r="F2199" s="15" t="s">
        <v>22</v>
      </c>
      <c r="G2199" s="18"/>
      <c r="H2199" s="58">
        <v>3</v>
      </c>
      <c r="I2199" s="52"/>
      <c r="J2199" s="33" t="s">
        <v>23</v>
      </c>
      <c r="K2199" s="18"/>
      <c r="L2199" s="18"/>
      <c r="M2199" s="18"/>
      <c r="N2199" s="18"/>
      <c r="O2199" s="18"/>
      <c r="P2199" s="18"/>
      <c r="Q2199" s="18"/>
      <c r="R2199" s="18"/>
    </row>
    <row r="2200" spans="1:18">
      <c r="A2200" s="12">
        <v>800</v>
      </c>
      <c r="B2200" s="13" t="s">
        <v>3361</v>
      </c>
      <c r="C2200" s="14"/>
      <c r="D2200" s="14" t="s">
        <v>3362</v>
      </c>
      <c r="E2200" s="14" t="s">
        <v>2991</v>
      </c>
      <c r="F2200" s="15" t="s">
        <v>22</v>
      </c>
      <c r="G2200" s="21"/>
      <c r="H2200" s="58"/>
      <c r="I2200" s="33"/>
      <c r="J2200" s="33" t="s">
        <v>23</v>
      </c>
      <c r="K2200" s="14"/>
      <c r="L2200" s="14"/>
      <c r="M2200" s="14" t="s">
        <v>1819</v>
      </c>
      <c r="N2200" s="25" t="s">
        <v>37</v>
      </c>
      <c r="O2200" s="14" t="s">
        <v>38</v>
      </c>
      <c r="P2200" s="14"/>
      <c r="Q2200" s="14"/>
      <c r="R2200" s="14" t="s">
        <v>3316</v>
      </c>
    </row>
    <row r="2201" spans="1:18">
      <c r="A2201" s="12">
        <v>1589</v>
      </c>
      <c r="B2201" s="13" t="s">
        <v>3363</v>
      </c>
      <c r="C2201" s="14"/>
      <c r="D2201" s="14" t="s">
        <v>3362</v>
      </c>
      <c r="E2201" s="14" t="s">
        <v>2991</v>
      </c>
      <c r="F2201" s="15" t="s">
        <v>22</v>
      </c>
      <c r="G2201" s="14"/>
      <c r="H2201" s="58">
        <v>2</v>
      </c>
      <c r="I2201" s="33"/>
      <c r="J2201" s="33" t="s">
        <v>23</v>
      </c>
      <c r="K2201" s="14"/>
      <c r="L2201" s="14"/>
      <c r="M2201" s="14" t="s">
        <v>650</v>
      </c>
      <c r="N2201" s="25" t="s">
        <v>37</v>
      </c>
      <c r="O2201" s="14" t="s">
        <v>1613</v>
      </c>
      <c r="P2201" s="14"/>
      <c r="Q2201" s="14"/>
      <c r="R2201" s="14" t="s">
        <v>33</v>
      </c>
    </row>
    <row r="2202" spans="1:18">
      <c r="A2202" s="12">
        <v>2326</v>
      </c>
      <c r="B2202" s="13" t="s">
        <v>3364</v>
      </c>
      <c r="C2202" s="31"/>
      <c r="D2202" s="16">
        <v>735</v>
      </c>
      <c r="E2202" s="16" t="s">
        <v>2991</v>
      </c>
      <c r="F2202" s="15" t="s">
        <v>22</v>
      </c>
      <c r="G2202" s="18"/>
      <c r="H2202" s="58">
        <v>3</v>
      </c>
      <c r="I2202" s="52"/>
      <c r="J2202" s="33" t="s">
        <v>23</v>
      </c>
      <c r="K2202" s="18"/>
      <c r="L2202" s="18"/>
      <c r="M2202" s="18"/>
      <c r="N2202" s="18"/>
      <c r="O2202" s="18"/>
      <c r="P2202" s="18"/>
      <c r="Q2202" s="18"/>
      <c r="R2202" s="18"/>
    </row>
    <row r="2203" spans="1:18">
      <c r="A2203" s="12">
        <v>801</v>
      </c>
      <c r="B2203" s="13" t="s">
        <v>3365</v>
      </c>
      <c r="C2203" s="14"/>
      <c r="D2203" s="14" t="s">
        <v>3366</v>
      </c>
      <c r="E2203" s="14" t="s">
        <v>172</v>
      </c>
      <c r="F2203" s="15" t="s">
        <v>22</v>
      </c>
      <c r="G2203" s="21"/>
      <c r="H2203" s="58"/>
      <c r="I2203" s="33"/>
      <c r="J2203" s="33" t="s">
        <v>23</v>
      </c>
      <c r="K2203" s="14"/>
      <c r="L2203" s="14"/>
      <c r="M2203" s="14" t="s">
        <v>1819</v>
      </c>
      <c r="N2203" s="14" t="s">
        <v>25</v>
      </c>
      <c r="O2203" s="14"/>
      <c r="P2203" s="14"/>
      <c r="Q2203" s="14"/>
      <c r="R2203" s="14" t="s">
        <v>3316</v>
      </c>
    </row>
    <row r="2204" spans="1:18">
      <c r="A2204" s="12">
        <v>1590</v>
      </c>
      <c r="B2204" s="13" t="s">
        <v>3367</v>
      </c>
      <c r="C2204" s="14"/>
      <c r="D2204" s="14" t="s">
        <v>3366</v>
      </c>
      <c r="E2204" s="14" t="s">
        <v>172</v>
      </c>
      <c r="F2204" s="15" t="s">
        <v>22</v>
      </c>
      <c r="G2204" s="14"/>
      <c r="H2204" s="58">
        <v>1</v>
      </c>
      <c r="I2204" s="33"/>
      <c r="J2204" s="33" t="s">
        <v>23</v>
      </c>
      <c r="K2204" s="14"/>
      <c r="L2204" s="14"/>
      <c r="M2204" s="14" t="s">
        <v>650</v>
      </c>
      <c r="N2204" s="14" t="s">
        <v>25</v>
      </c>
      <c r="O2204" s="14"/>
      <c r="P2204" s="14"/>
      <c r="Q2204" s="14"/>
      <c r="R2204" s="14" t="s">
        <v>33</v>
      </c>
    </row>
    <row r="2205" spans="1:18">
      <c r="A2205" s="12">
        <v>2327</v>
      </c>
      <c r="B2205" s="13" t="s">
        <v>3368</v>
      </c>
      <c r="C2205" s="31"/>
      <c r="D2205" s="16">
        <v>736</v>
      </c>
      <c r="E2205" s="16" t="s">
        <v>172</v>
      </c>
      <c r="F2205" s="15" t="s">
        <v>22</v>
      </c>
      <c r="G2205" s="18"/>
      <c r="H2205" s="58"/>
      <c r="I2205" s="52"/>
      <c r="J2205" s="33" t="s">
        <v>23</v>
      </c>
      <c r="K2205" s="18"/>
      <c r="L2205" s="18"/>
      <c r="M2205" s="18"/>
      <c r="N2205" s="18"/>
      <c r="O2205" s="18"/>
      <c r="P2205" s="18"/>
      <c r="Q2205" s="18"/>
      <c r="R2205" s="18"/>
    </row>
    <row r="2206" spans="1:18">
      <c r="A2206" s="12">
        <v>802</v>
      </c>
      <c r="B2206" s="13" t="s">
        <v>3369</v>
      </c>
      <c r="C2206" s="14"/>
      <c r="D2206" s="14" t="s">
        <v>3370</v>
      </c>
      <c r="E2206" s="14" t="s">
        <v>3162</v>
      </c>
      <c r="F2206" s="15" t="s">
        <v>22</v>
      </c>
      <c r="G2206" s="21"/>
      <c r="H2206" s="58"/>
      <c r="I2206" s="33"/>
      <c r="J2206" s="33" t="s">
        <v>23</v>
      </c>
      <c r="K2206" s="14"/>
      <c r="L2206" s="14"/>
      <c r="M2206" s="14" t="s">
        <v>1819</v>
      </c>
      <c r="N2206" s="25" t="s">
        <v>37</v>
      </c>
      <c r="O2206" s="14" t="s">
        <v>179</v>
      </c>
      <c r="P2206" s="14"/>
      <c r="Q2206" s="14"/>
      <c r="R2206" s="14" t="s">
        <v>3316</v>
      </c>
    </row>
    <row r="2207" spans="1:18">
      <c r="A2207" s="12">
        <v>1591</v>
      </c>
      <c r="B2207" s="13" t="s">
        <v>3371</v>
      </c>
      <c r="C2207" s="14"/>
      <c r="D2207" s="14" t="s">
        <v>3370</v>
      </c>
      <c r="E2207" s="14" t="s">
        <v>3160</v>
      </c>
      <c r="F2207" s="15" t="s">
        <v>22</v>
      </c>
      <c r="G2207" s="14"/>
      <c r="H2207" s="58">
        <v>4</v>
      </c>
      <c r="I2207" s="33"/>
      <c r="J2207" s="33" t="s">
        <v>23</v>
      </c>
      <c r="K2207" s="14"/>
      <c r="L2207" s="14"/>
      <c r="M2207" s="14" t="s">
        <v>650</v>
      </c>
      <c r="N2207" s="25" t="s">
        <v>37</v>
      </c>
      <c r="O2207" s="14" t="s">
        <v>2051</v>
      </c>
      <c r="P2207" s="14"/>
      <c r="Q2207" s="14"/>
      <c r="R2207" s="14" t="s">
        <v>33</v>
      </c>
    </row>
    <row r="2208" spans="1:18">
      <c r="A2208" s="12">
        <v>2328</v>
      </c>
      <c r="B2208" s="13" t="s">
        <v>3372</v>
      </c>
      <c r="C2208" s="31"/>
      <c r="D2208" s="16">
        <v>737</v>
      </c>
      <c r="E2208" s="16" t="s">
        <v>3160</v>
      </c>
      <c r="F2208" s="15" t="s">
        <v>22</v>
      </c>
      <c r="G2208" s="18"/>
      <c r="H2208" s="58">
        <v>4</v>
      </c>
      <c r="I2208" s="52"/>
      <c r="J2208" s="33" t="s">
        <v>23</v>
      </c>
      <c r="K2208" s="18"/>
      <c r="L2208" s="18"/>
      <c r="M2208" s="18"/>
      <c r="N2208" s="18"/>
      <c r="O2208" s="18"/>
      <c r="P2208" s="18"/>
      <c r="Q2208" s="18"/>
      <c r="R2208" s="18"/>
    </row>
    <row r="2209" spans="1:18">
      <c r="A2209" s="12">
        <v>803</v>
      </c>
      <c r="B2209" s="13" t="s">
        <v>3373</v>
      </c>
      <c r="C2209" s="14"/>
      <c r="D2209" s="14" t="s">
        <v>3374</v>
      </c>
      <c r="E2209" s="14" t="s">
        <v>3162</v>
      </c>
      <c r="F2209" s="15" t="s">
        <v>22</v>
      </c>
      <c r="G2209" s="21"/>
      <c r="H2209" s="58"/>
      <c r="I2209" s="33"/>
      <c r="J2209" s="33" t="s">
        <v>23</v>
      </c>
      <c r="K2209" s="14"/>
      <c r="L2209" s="14"/>
      <c r="M2209" s="14" t="s">
        <v>1819</v>
      </c>
      <c r="N2209" s="25" t="s">
        <v>37</v>
      </c>
      <c r="O2209" s="14" t="s">
        <v>179</v>
      </c>
      <c r="P2209" s="14"/>
      <c r="Q2209" s="14"/>
      <c r="R2209" s="14" t="s">
        <v>3316</v>
      </c>
    </row>
    <row r="2210" spans="1:18">
      <c r="A2210" s="12">
        <v>1592</v>
      </c>
      <c r="B2210" s="13" t="s">
        <v>3375</v>
      </c>
      <c r="C2210" s="14"/>
      <c r="D2210" s="14" t="s">
        <v>3374</v>
      </c>
      <c r="E2210" s="14" t="s">
        <v>3160</v>
      </c>
      <c r="F2210" s="15" t="s">
        <v>22</v>
      </c>
      <c r="G2210" s="14"/>
      <c r="H2210" s="58">
        <v>1</v>
      </c>
      <c r="I2210" s="33"/>
      <c r="J2210" s="33" t="s">
        <v>23</v>
      </c>
      <c r="K2210" s="14"/>
      <c r="L2210" s="14"/>
      <c r="M2210" s="14" t="s">
        <v>650</v>
      </c>
      <c r="N2210" s="25" t="s">
        <v>37</v>
      </c>
      <c r="O2210" s="14" t="s">
        <v>3376</v>
      </c>
      <c r="P2210" s="14"/>
      <c r="Q2210" s="14"/>
      <c r="R2210" s="14" t="s">
        <v>33</v>
      </c>
    </row>
    <row r="2211" spans="1:18">
      <c r="A2211" s="12">
        <v>2329</v>
      </c>
      <c r="B2211" s="13" t="s">
        <v>3377</v>
      </c>
      <c r="C2211" s="31"/>
      <c r="D2211" s="16">
        <v>738</v>
      </c>
      <c r="E2211" s="16" t="s">
        <v>3160</v>
      </c>
      <c r="F2211" s="15" t="s">
        <v>22</v>
      </c>
      <c r="G2211" s="18"/>
      <c r="H2211" s="58">
        <v>3</v>
      </c>
      <c r="I2211" s="52"/>
      <c r="J2211" s="33" t="s">
        <v>23</v>
      </c>
      <c r="K2211" s="18"/>
      <c r="L2211" s="18"/>
      <c r="M2211" s="18"/>
      <c r="N2211" s="18"/>
      <c r="O2211" s="18"/>
      <c r="P2211" s="18"/>
      <c r="Q2211" s="18"/>
      <c r="R2211" s="18"/>
    </row>
    <row r="2212" spans="1:18">
      <c r="A2212" s="12">
        <v>804</v>
      </c>
      <c r="B2212" s="13" t="s">
        <v>3378</v>
      </c>
      <c r="C2212" s="14"/>
      <c r="D2212" s="14" t="s">
        <v>3379</v>
      </c>
      <c r="E2212" s="14" t="s">
        <v>2355</v>
      </c>
      <c r="F2212" s="15" t="s">
        <v>22</v>
      </c>
      <c r="G2212" s="21"/>
      <c r="H2212" s="58"/>
      <c r="I2212" s="33"/>
      <c r="J2212" s="33" t="s">
        <v>23</v>
      </c>
      <c r="K2212" s="14"/>
      <c r="L2212" s="14"/>
      <c r="M2212" s="14" t="s">
        <v>1819</v>
      </c>
      <c r="N2212" s="14" t="s">
        <v>25</v>
      </c>
      <c r="O2212" s="14"/>
      <c r="P2212" s="14"/>
      <c r="Q2212" s="14"/>
      <c r="R2212" s="14" t="s">
        <v>3316</v>
      </c>
    </row>
    <row r="2213" spans="1:18">
      <c r="A2213" s="12">
        <v>1593</v>
      </c>
      <c r="B2213" s="13" t="s">
        <v>3380</v>
      </c>
      <c r="C2213" s="14"/>
      <c r="D2213" s="14" t="s">
        <v>3379</v>
      </c>
      <c r="E2213" s="14" t="s">
        <v>2355</v>
      </c>
      <c r="F2213" s="15" t="s">
        <v>22</v>
      </c>
      <c r="G2213" s="14"/>
      <c r="H2213" s="58">
        <v>1</v>
      </c>
      <c r="I2213" s="33"/>
      <c r="J2213" s="33" t="s">
        <v>23</v>
      </c>
      <c r="K2213" s="14"/>
      <c r="L2213" s="14"/>
      <c r="M2213" s="14" t="s">
        <v>650</v>
      </c>
      <c r="N2213" s="25" t="s">
        <v>37</v>
      </c>
      <c r="O2213" s="14" t="s">
        <v>210</v>
      </c>
      <c r="P2213" s="14"/>
      <c r="Q2213" s="14"/>
      <c r="R2213" s="14" t="s">
        <v>33</v>
      </c>
    </row>
    <row r="2214" spans="1:18">
      <c r="A2214" s="12">
        <v>2330</v>
      </c>
      <c r="B2214" s="13" t="s">
        <v>3381</v>
      </c>
      <c r="C2214" s="31"/>
      <c r="D2214" s="16">
        <v>739</v>
      </c>
      <c r="E2214" s="16" t="s">
        <v>2355</v>
      </c>
      <c r="F2214" s="15" t="s">
        <v>22</v>
      </c>
      <c r="G2214" s="18"/>
      <c r="H2214" s="58">
        <v>1</v>
      </c>
      <c r="I2214" s="52"/>
      <c r="J2214" s="33" t="s">
        <v>23</v>
      </c>
      <c r="K2214" s="18"/>
      <c r="L2214" s="18"/>
      <c r="M2214" s="18"/>
      <c r="N2214" s="18"/>
      <c r="O2214" s="18"/>
      <c r="P2214" s="18"/>
      <c r="Q2214" s="18"/>
      <c r="R2214" s="18"/>
    </row>
    <row r="2215" spans="1:18">
      <c r="A2215" s="12">
        <v>805</v>
      </c>
      <c r="B2215" s="13" t="s">
        <v>3382</v>
      </c>
      <c r="C2215" s="14"/>
      <c r="D2215" s="14" t="s">
        <v>3383</v>
      </c>
      <c r="E2215" s="14" t="s">
        <v>3162</v>
      </c>
      <c r="F2215" s="15" t="s">
        <v>22</v>
      </c>
      <c r="G2215" s="21"/>
      <c r="H2215" s="58"/>
      <c r="I2215" s="33"/>
      <c r="J2215" s="33" t="s">
        <v>23</v>
      </c>
      <c r="K2215" s="14"/>
      <c r="L2215" s="14"/>
      <c r="M2215" s="14" t="s">
        <v>1819</v>
      </c>
      <c r="N2215" s="25" t="s">
        <v>37</v>
      </c>
      <c r="O2215" s="14" t="s">
        <v>189</v>
      </c>
      <c r="P2215" s="14"/>
      <c r="Q2215" s="14"/>
      <c r="R2215" s="14" t="s">
        <v>3316</v>
      </c>
    </row>
    <row r="2216" spans="1:18">
      <c r="A2216" s="12">
        <v>1594</v>
      </c>
      <c r="B2216" s="13" t="s">
        <v>3384</v>
      </c>
      <c r="C2216" s="14"/>
      <c r="D2216" s="14" t="s">
        <v>3383</v>
      </c>
      <c r="E2216" s="14" t="s">
        <v>3160</v>
      </c>
      <c r="F2216" s="15" t="s">
        <v>22</v>
      </c>
      <c r="G2216" s="14"/>
      <c r="H2216" s="58">
        <v>1</v>
      </c>
      <c r="I2216" s="33"/>
      <c r="J2216" s="33" t="s">
        <v>23</v>
      </c>
      <c r="K2216" s="14"/>
      <c r="L2216" s="14"/>
      <c r="M2216" s="14" t="s">
        <v>650</v>
      </c>
      <c r="N2216" s="25" t="s">
        <v>37</v>
      </c>
      <c r="O2216" s="14"/>
      <c r="P2216" s="14"/>
      <c r="Q2216" s="14"/>
      <c r="R2216" s="14" t="s">
        <v>33</v>
      </c>
    </row>
    <row r="2217" spans="1:18">
      <c r="A2217" s="12">
        <v>2331</v>
      </c>
      <c r="B2217" s="13" t="s">
        <v>3385</v>
      </c>
      <c r="C2217" s="31"/>
      <c r="D2217" s="16">
        <v>740</v>
      </c>
      <c r="E2217" s="16" t="s">
        <v>3160</v>
      </c>
      <c r="F2217" s="15" t="s">
        <v>22</v>
      </c>
      <c r="G2217" s="18"/>
      <c r="H2217" s="58">
        <v>3</v>
      </c>
      <c r="I2217" s="52"/>
      <c r="J2217" s="33" t="s">
        <v>23</v>
      </c>
      <c r="K2217" s="18"/>
      <c r="L2217" s="18"/>
      <c r="M2217" s="18"/>
      <c r="N2217" s="18"/>
      <c r="O2217" s="18"/>
      <c r="P2217" s="18"/>
      <c r="Q2217" s="18"/>
      <c r="R2217" s="18"/>
    </row>
    <row r="2218" spans="1:18">
      <c r="A2218" s="12">
        <v>806</v>
      </c>
      <c r="B2218" s="13" t="s">
        <v>3386</v>
      </c>
      <c r="C2218" s="14"/>
      <c r="D2218" s="14" t="s">
        <v>3387</v>
      </c>
      <c r="E2218" s="14"/>
      <c r="F2218" s="15" t="s">
        <v>22</v>
      </c>
      <c r="G2218" s="21"/>
      <c r="H2218" s="58"/>
      <c r="I2218" s="14"/>
      <c r="J2218" s="14" t="s">
        <v>23</v>
      </c>
      <c r="K2218" s="14"/>
      <c r="L2218" s="14"/>
      <c r="M2218" s="14" t="s">
        <v>1819</v>
      </c>
      <c r="N2218" s="25" t="s">
        <v>289</v>
      </c>
      <c r="O2218" s="14" t="s">
        <v>189</v>
      </c>
      <c r="P2218" s="14"/>
      <c r="Q2218" s="14"/>
      <c r="R2218" s="14" t="s">
        <v>3316</v>
      </c>
    </row>
    <row r="2219" spans="1:18">
      <c r="A2219" s="12">
        <v>1595</v>
      </c>
      <c r="B2219" s="13" t="s">
        <v>3388</v>
      </c>
      <c r="C2219" s="14"/>
      <c r="D2219" s="14" t="s">
        <v>3387</v>
      </c>
      <c r="E2219" s="14" t="s">
        <v>172</v>
      </c>
      <c r="F2219" s="15" t="s">
        <v>22</v>
      </c>
      <c r="G2219" s="14"/>
      <c r="H2219" s="58">
        <v>0</v>
      </c>
      <c r="I2219" s="14"/>
      <c r="J2219" s="14" t="s">
        <v>23</v>
      </c>
      <c r="K2219" s="14"/>
      <c r="L2219" s="14"/>
      <c r="M2219" s="14" t="s">
        <v>650</v>
      </c>
      <c r="N2219" s="14" t="s">
        <v>25</v>
      </c>
      <c r="O2219" s="14"/>
      <c r="P2219" s="14"/>
      <c r="Q2219" s="14"/>
      <c r="R2219" s="14" t="s">
        <v>33</v>
      </c>
    </row>
    <row r="2220" spans="1:18">
      <c r="A2220" s="12">
        <v>2332</v>
      </c>
      <c r="B2220" s="13" t="s">
        <v>3389</v>
      </c>
      <c r="C2220" s="31"/>
      <c r="D2220" s="16">
        <v>741</v>
      </c>
      <c r="E2220" s="16"/>
      <c r="F2220" s="15" t="s">
        <v>22</v>
      </c>
      <c r="G2220" s="18"/>
      <c r="H2220" s="58">
        <v>1</v>
      </c>
      <c r="I2220" s="16"/>
      <c r="J2220" s="14" t="s">
        <v>23</v>
      </c>
      <c r="K2220" s="18"/>
      <c r="L2220" s="18"/>
      <c r="M2220" s="18"/>
      <c r="N2220" s="18"/>
      <c r="O2220" s="18"/>
      <c r="P2220" s="18"/>
      <c r="Q2220" s="18"/>
      <c r="R2220" s="18"/>
    </row>
    <row r="2221" spans="1:18">
      <c r="A2221" s="12">
        <v>807</v>
      </c>
      <c r="B2221" s="13" t="s">
        <v>3390</v>
      </c>
      <c r="C2221" s="14"/>
      <c r="D2221" s="14" t="s">
        <v>3391</v>
      </c>
      <c r="E2221" s="14" t="s">
        <v>3392</v>
      </c>
      <c r="F2221" s="15" t="s">
        <v>22</v>
      </c>
      <c r="G2221" s="21"/>
      <c r="H2221" s="58"/>
      <c r="I2221" s="14"/>
      <c r="J2221" s="14" t="s">
        <v>23</v>
      </c>
      <c r="K2221" s="14"/>
      <c r="L2221" s="14"/>
      <c r="M2221" s="14" t="s">
        <v>1819</v>
      </c>
      <c r="N2221" s="14" t="s">
        <v>25</v>
      </c>
      <c r="O2221" s="14"/>
      <c r="P2221" s="14"/>
      <c r="Q2221" s="14"/>
      <c r="R2221" s="14" t="s">
        <v>3316</v>
      </c>
    </row>
    <row r="2222" spans="1:18">
      <c r="A2222" s="12">
        <v>1596</v>
      </c>
      <c r="B2222" s="13" t="s">
        <v>3393</v>
      </c>
      <c r="C2222" s="14"/>
      <c r="D2222" s="14" t="s">
        <v>3391</v>
      </c>
      <c r="E2222" s="14" t="s">
        <v>3392</v>
      </c>
      <c r="F2222" s="15" t="s">
        <v>22</v>
      </c>
      <c r="G2222" s="14"/>
      <c r="H2222" s="58">
        <v>1</v>
      </c>
      <c r="I2222" s="14"/>
      <c r="J2222" s="14" t="s">
        <v>23</v>
      </c>
      <c r="K2222" s="14"/>
      <c r="L2222" s="14"/>
      <c r="M2222" s="14" t="s">
        <v>650</v>
      </c>
      <c r="N2222" s="14" t="s">
        <v>25</v>
      </c>
      <c r="O2222" s="14"/>
      <c r="P2222" s="14"/>
      <c r="Q2222" s="14"/>
      <c r="R2222" s="14" t="s">
        <v>33</v>
      </c>
    </row>
    <row r="2223" spans="1:18">
      <c r="A2223" s="12">
        <v>2333</v>
      </c>
      <c r="B2223" s="13" t="s">
        <v>3394</v>
      </c>
      <c r="C2223" s="31"/>
      <c r="D2223" s="16">
        <v>742</v>
      </c>
      <c r="E2223" s="16" t="s">
        <v>3392</v>
      </c>
      <c r="F2223" s="15" t="s">
        <v>22</v>
      </c>
      <c r="G2223" s="18"/>
      <c r="H2223" s="58"/>
      <c r="I2223" s="16"/>
      <c r="J2223" s="14" t="s">
        <v>23</v>
      </c>
      <c r="K2223" s="18"/>
      <c r="L2223" s="18"/>
      <c r="M2223" s="18"/>
      <c r="N2223" s="18"/>
      <c r="O2223" s="18"/>
      <c r="P2223" s="18"/>
      <c r="Q2223" s="18"/>
      <c r="R2223" s="18"/>
    </row>
    <row r="2224" spans="1:18">
      <c r="A2224" s="12">
        <v>808</v>
      </c>
      <c r="B2224" s="13" t="s">
        <v>3395</v>
      </c>
      <c r="C2224" s="14"/>
      <c r="D2224" s="14" t="s">
        <v>3396</v>
      </c>
      <c r="E2224" s="14" t="s">
        <v>115</v>
      </c>
      <c r="F2224" s="15" t="s">
        <v>22</v>
      </c>
      <c r="G2224" s="21"/>
      <c r="H2224" s="58"/>
      <c r="I2224" s="14"/>
      <c r="J2224" s="14" t="s">
        <v>23</v>
      </c>
      <c r="K2224" s="14"/>
      <c r="L2224" s="14"/>
      <c r="M2224" s="14" t="s">
        <v>1819</v>
      </c>
      <c r="N2224" s="25" t="s">
        <v>37</v>
      </c>
      <c r="O2224" s="14" t="s">
        <v>45</v>
      </c>
      <c r="P2224" s="14"/>
      <c r="Q2224" s="14"/>
      <c r="R2224" s="14" t="s">
        <v>3316</v>
      </c>
    </row>
    <row r="2225" spans="1:18">
      <c r="A2225" s="12">
        <v>1597</v>
      </c>
      <c r="B2225" s="13" t="s">
        <v>3397</v>
      </c>
      <c r="C2225" s="14"/>
      <c r="D2225" s="14" t="s">
        <v>3396</v>
      </c>
      <c r="E2225" s="14" t="s">
        <v>115</v>
      </c>
      <c r="F2225" s="15" t="s">
        <v>22</v>
      </c>
      <c r="G2225" s="14"/>
      <c r="H2225" s="58">
        <v>1</v>
      </c>
      <c r="I2225" s="14"/>
      <c r="J2225" s="14" t="s">
        <v>23</v>
      </c>
      <c r="K2225" s="14"/>
      <c r="L2225" s="14"/>
      <c r="M2225" s="14" t="s">
        <v>650</v>
      </c>
      <c r="N2225" s="14" t="s">
        <v>25</v>
      </c>
      <c r="O2225" s="14"/>
      <c r="P2225" s="14"/>
      <c r="Q2225" s="14"/>
      <c r="R2225" s="14" t="s">
        <v>33</v>
      </c>
    </row>
    <row r="2226" spans="1:18">
      <c r="A2226" s="12">
        <v>809</v>
      </c>
      <c r="B2226" s="13" t="s">
        <v>3398</v>
      </c>
      <c r="C2226" s="14"/>
      <c r="D2226" s="14" t="s">
        <v>3399</v>
      </c>
      <c r="E2226" s="14" t="s">
        <v>115</v>
      </c>
      <c r="F2226" s="15" t="s">
        <v>22</v>
      </c>
      <c r="G2226" s="21"/>
      <c r="H2226" s="58"/>
      <c r="I2226" s="14"/>
      <c r="J2226" s="14" t="s">
        <v>23</v>
      </c>
      <c r="K2226" s="14"/>
      <c r="L2226" s="14"/>
      <c r="M2226" s="14" t="s">
        <v>1819</v>
      </c>
      <c r="N2226" s="14" t="s">
        <v>25</v>
      </c>
      <c r="O2226" s="14"/>
      <c r="P2226" s="14"/>
      <c r="Q2226" s="14"/>
      <c r="R2226" s="14" t="s">
        <v>3316</v>
      </c>
    </row>
    <row r="2227" spans="1:18">
      <c r="A2227" s="12">
        <v>1598</v>
      </c>
      <c r="B2227" s="13" t="s">
        <v>3400</v>
      </c>
      <c r="C2227" s="14"/>
      <c r="D2227" s="14" t="s">
        <v>3399</v>
      </c>
      <c r="E2227" s="14" t="s">
        <v>172</v>
      </c>
      <c r="F2227" s="15" t="s">
        <v>22</v>
      </c>
      <c r="G2227" s="14"/>
      <c r="H2227" s="58">
        <v>0</v>
      </c>
      <c r="I2227" s="14"/>
      <c r="J2227" s="14" t="s">
        <v>23</v>
      </c>
      <c r="K2227" s="14"/>
      <c r="L2227" s="14"/>
      <c r="M2227" s="14" t="s">
        <v>650</v>
      </c>
      <c r="N2227" s="14" t="s">
        <v>25</v>
      </c>
      <c r="O2227" s="14"/>
      <c r="P2227" s="14"/>
      <c r="Q2227" s="14"/>
      <c r="R2227" s="14" t="s">
        <v>33</v>
      </c>
    </row>
    <row r="2228" spans="1:18">
      <c r="A2228" s="12">
        <v>2334</v>
      </c>
      <c r="B2228" s="13" t="s">
        <v>3401</v>
      </c>
      <c r="C2228" s="31"/>
      <c r="D2228" s="16">
        <v>744</v>
      </c>
      <c r="E2228" s="16"/>
      <c r="F2228" s="15" t="s">
        <v>22</v>
      </c>
      <c r="G2228" s="18"/>
      <c r="H2228" s="58">
        <v>4</v>
      </c>
      <c r="I2228" s="16"/>
      <c r="J2228" s="14" t="s">
        <v>23</v>
      </c>
      <c r="K2228" s="18"/>
      <c r="L2228" s="18"/>
      <c r="M2228" s="18"/>
      <c r="N2228" s="18"/>
      <c r="O2228" s="18"/>
      <c r="P2228" s="18"/>
      <c r="Q2228" s="18"/>
      <c r="R2228" s="18"/>
    </row>
    <row r="2229" spans="1:18">
      <c r="A2229" s="12">
        <v>810</v>
      </c>
      <c r="B2229" s="13" t="s">
        <v>3402</v>
      </c>
      <c r="C2229" s="14"/>
      <c r="D2229" s="14" t="s">
        <v>3403</v>
      </c>
      <c r="E2229" s="14" t="s">
        <v>2626</v>
      </c>
      <c r="F2229" s="15" t="s">
        <v>22</v>
      </c>
      <c r="G2229" s="21"/>
      <c r="H2229" s="58"/>
      <c r="I2229" s="14"/>
      <c r="J2229" s="14" t="s">
        <v>23</v>
      </c>
      <c r="K2229" s="14"/>
      <c r="L2229" s="14"/>
      <c r="M2229" s="14" t="s">
        <v>1819</v>
      </c>
      <c r="N2229" s="14" t="s">
        <v>25</v>
      </c>
      <c r="O2229" s="14"/>
      <c r="P2229" s="14"/>
      <c r="Q2229" s="14"/>
      <c r="R2229" s="14" t="s">
        <v>3316</v>
      </c>
    </row>
    <row r="2230" spans="1:18">
      <c r="A2230" s="12">
        <v>1599</v>
      </c>
      <c r="B2230" s="13" t="s">
        <v>3404</v>
      </c>
      <c r="C2230" s="14"/>
      <c r="D2230" s="14" t="s">
        <v>3403</v>
      </c>
      <c r="E2230" s="14" t="s">
        <v>2626</v>
      </c>
      <c r="F2230" s="15" t="s">
        <v>22</v>
      </c>
      <c r="G2230" s="14"/>
      <c r="H2230" s="58">
        <v>0</v>
      </c>
      <c r="I2230" s="14"/>
      <c r="J2230" s="14" t="s">
        <v>23</v>
      </c>
      <c r="K2230" s="14"/>
      <c r="L2230" s="14"/>
      <c r="M2230" s="14" t="s">
        <v>650</v>
      </c>
      <c r="N2230" s="14" t="s">
        <v>25</v>
      </c>
      <c r="O2230" s="14"/>
      <c r="P2230" s="14"/>
      <c r="Q2230" s="14"/>
      <c r="R2230" s="14" t="s">
        <v>33</v>
      </c>
    </row>
    <row r="2231" spans="1:18">
      <c r="A2231" s="12">
        <v>2335</v>
      </c>
      <c r="B2231" s="13" t="s">
        <v>3405</v>
      </c>
      <c r="C2231" s="31"/>
      <c r="D2231" s="16">
        <v>745</v>
      </c>
      <c r="E2231" s="16" t="s">
        <v>2626</v>
      </c>
      <c r="F2231" s="15" t="s">
        <v>22</v>
      </c>
      <c r="G2231" s="18"/>
      <c r="H2231" s="58"/>
      <c r="I2231" s="16"/>
      <c r="J2231" s="14" t="s">
        <v>23</v>
      </c>
      <c r="K2231" s="18"/>
      <c r="L2231" s="18"/>
      <c r="M2231" s="18"/>
      <c r="N2231" s="18"/>
      <c r="O2231" s="18"/>
      <c r="P2231" s="18"/>
      <c r="Q2231" s="18"/>
      <c r="R2231" s="18"/>
    </row>
    <row r="2232" spans="1:18">
      <c r="A2232" s="12">
        <v>811</v>
      </c>
      <c r="B2232" s="13" t="s">
        <v>3406</v>
      </c>
      <c r="C2232" s="14"/>
      <c r="D2232" s="14" t="s">
        <v>3407</v>
      </c>
      <c r="E2232" s="14" t="s">
        <v>3160</v>
      </c>
      <c r="F2232" s="15" t="s">
        <v>22</v>
      </c>
      <c r="G2232" s="21"/>
      <c r="H2232" s="58"/>
      <c r="I2232" s="14"/>
      <c r="J2232" s="14" t="s">
        <v>23</v>
      </c>
      <c r="K2232" s="14"/>
      <c r="L2232" s="14"/>
      <c r="M2232" s="14" t="s">
        <v>1819</v>
      </c>
      <c r="N2232" s="14" t="s">
        <v>25</v>
      </c>
      <c r="O2232" s="14"/>
      <c r="P2232" s="14"/>
      <c r="Q2232" s="14"/>
      <c r="R2232" s="14" t="s">
        <v>3316</v>
      </c>
    </row>
    <row r="2233" spans="1:18">
      <c r="A2233" s="12">
        <v>1600</v>
      </c>
      <c r="B2233" s="13" t="s">
        <v>3408</v>
      </c>
      <c r="C2233" s="14"/>
      <c r="D2233" s="14" t="s">
        <v>3407</v>
      </c>
      <c r="E2233" s="14" t="s">
        <v>3160</v>
      </c>
      <c r="F2233" s="15" t="s">
        <v>22</v>
      </c>
      <c r="G2233" s="14"/>
      <c r="H2233" s="58">
        <v>0</v>
      </c>
      <c r="I2233" s="14"/>
      <c r="J2233" s="14" t="s">
        <v>23</v>
      </c>
      <c r="K2233" s="14"/>
      <c r="L2233" s="14"/>
      <c r="M2233" s="14" t="s">
        <v>650</v>
      </c>
      <c r="N2233" s="14" t="s">
        <v>25</v>
      </c>
      <c r="O2233" s="14"/>
      <c r="P2233" s="14"/>
      <c r="Q2233" s="14"/>
      <c r="R2233" s="14" t="s">
        <v>33</v>
      </c>
    </row>
    <row r="2234" spans="1:18">
      <c r="A2234" s="12">
        <v>2336</v>
      </c>
      <c r="B2234" s="13" t="s">
        <v>3409</v>
      </c>
      <c r="C2234" s="31"/>
      <c r="D2234" s="16">
        <v>746</v>
      </c>
      <c r="E2234" s="16" t="s">
        <v>3160</v>
      </c>
      <c r="F2234" s="15" t="s">
        <v>22</v>
      </c>
      <c r="G2234" s="18"/>
      <c r="H2234" s="58"/>
      <c r="I2234" s="16"/>
      <c r="J2234" s="14" t="s">
        <v>23</v>
      </c>
      <c r="K2234" s="18"/>
      <c r="L2234" s="18"/>
      <c r="M2234" s="18"/>
      <c r="N2234" s="18"/>
      <c r="O2234" s="18"/>
      <c r="P2234" s="18"/>
      <c r="Q2234" s="18"/>
      <c r="R2234" s="18"/>
    </row>
    <row r="2235" spans="1:18">
      <c r="A2235" s="12">
        <v>812</v>
      </c>
      <c r="B2235" s="13" t="s">
        <v>3410</v>
      </c>
      <c r="C2235" s="14"/>
      <c r="D2235" s="14" t="s">
        <v>3411</v>
      </c>
      <c r="E2235" s="14" t="s">
        <v>3160</v>
      </c>
      <c r="F2235" s="15" t="s">
        <v>22</v>
      </c>
      <c r="G2235" s="21"/>
      <c r="H2235" s="58"/>
      <c r="I2235" s="14"/>
      <c r="J2235" s="14" t="s">
        <v>23</v>
      </c>
      <c r="K2235" s="14"/>
      <c r="L2235" s="14"/>
      <c r="M2235" s="14" t="s">
        <v>1819</v>
      </c>
      <c r="N2235" s="25" t="s">
        <v>289</v>
      </c>
      <c r="O2235" s="14" t="s">
        <v>227</v>
      </c>
      <c r="P2235" s="14"/>
      <c r="Q2235" s="14"/>
      <c r="R2235" s="14" t="s">
        <v>3316</v>
      </c>
    </row>
    <row r="2236" spans="1:18">
      <c r="A2236" s="12">
        <v>1601</v>
      </c>
      <c r="B2236" s="13" t="s">
        <v>3412</v>
      </c>
      <c r="C2236" s="14"/>
      <c r="D2236" s="14" t="s">
        <v>3411</v>
      </c>
      <c r="E2236" s="14" t="s">
        <v>3160</v>
      </c>
      <c r="F2236" s="15" t="s">
        <v>22</v>
      </c>
      <c r="G2236" s="14"/>
      <c r="H2236" s="58">
        <v>3</v>
      </c>
      <c r="I2236" s="14"/>
      <c r="J2236" s="14" t="s">
        <v>23</v>
      </c>
      <c r="K2236" s="14"/>
      <c r="L2236" s="14"/>
      <c r="M2236" s="14" t="s">
        <v>650</v>
      </c>
      <c r="N2236" s="25" t="s">
        <v>37</v>
      </c>
      <c r="O2236" s="14" t="s">
        <v>3144</v>
      </c>
      <c r="P2236" s="14"/>
      <c r="Q2236" s="14"/>
      <c r="R2236" s="14" t="s">
        <v>33</v>
      </c>
    </row>
    <row r="2237" spans="1:18">
      <c r="A2237" s="12">
        <v>2337</v>
      </c>
      <c r="B2237" s="13" t="s">
        <v>3413</v>
      </c>
      <c r="C2237" s="31"/>
      <c r="D2237" s="16">
        <v>747</v>
      </c>
      <c r="E2237" s="16" t="s">
        <v>3160</v>
      </c>
      <c r="F2237" s="15" t="s">
        <v>22</v>
      </c>
      <c r="G2237" s="18"/>
      <c r="H2237" s="58">
        <v>3</v>
      </c>
      <c r="I2237" s="16"/>
      <c r="J2237" s="14" t="s">
        <v>23</v>
      </c>
      <c r="K2237" s="18"/>
      <c r="L2237" s="18"/>
      <c r="M2237" s="18"/>
      <c r="N2237" s="18"/>
      <c r="O2237" s="18"/>
      <c r="P2237" s="18"/>
      <c r="Q2237" s="18"/>
      <c r="R2237" s="18"/>
    </row>
    <row r="2238" spans="1:18">
      <c r="A2238" s="12">
        <v>813</v>
      </c>
      <c r="B2238" s="13" t="s">
        <v>3414</v>
      </c>
      <c r="C2238" s="14"/>
      <c r="D2238" s="14" t="s">
        <v>3415</v>
      </c>
      <c r="E2238" s="14" t="s">
        <v>2626</v>
      </c>
      <c r="F2238" s="15" t="s">
        <v>22</v>
      </c>
      <c r="G2238" s="21"/>
      <c r="H2238" s="58"/>
      <c r="I2238" s="14"/>
      <c r="J2238" s="14" t="s">
        <v>23</v>
      </c>
      <c r="K2238" s="14"/>
      <c r="L2238" s="14"/>
      <c r="M2238" s="14" t="s">
        <v>1819</v>
      </c>
      <c r="N2238" s="14" t="s">
        <v>25</v>
      </c>
      <c r="O2238" s="14"/>
      <c r="P2238" s="14"/>
      <c r="Q2238" s="14"/>
      <c r="R2238" s="14" t="s">
        <v>3316</v>
      </c>
    </row>
    <row r="2239" spans="1:18">
      <c r="A2239" s="12">
        <v>1602</v>
      </c>
      <c r="B2239" s="13" t="s">
        <v>3416</v>
      </c>
      <c r="C2239" s="14"/>
      <c r="D2239" s="14" t="s">
        <v>3415</v>
      </c>
      <c r="E2239" s="14" t="s">
        <v>2626</v>
      </c>
      <c r="F2239" s="15" t="s">
        <v>22</v>
      </c>
      <c r="G2239" s="14"/>
      <c r="H2239" s="58">
        <v>0</v>
      </c>
      <c r="I2239" s="14"/>
      <c r="J2239" s="14" t="s">
        <v>23</v>
      </c>
      <c r="K2239" s="14"/>
      <c r="L2239" s="14"/>
      <c r="M2239" s="14" t="s">
        <v>650</v>
      </c>
      <c r="N2239" s="14" t="s">
        <v>25</v>
      </c>
      <c r="O2239" s="14"/>
      <c r="P2239" s="14"/>
      <c r="Q2239" s="14"/>
      <c r="R2239" s="14" t="s">
        <v>33</v>
      </c>
    </row>
    <row r="2240" spans="1:18">
      <c r="A2240" s="12">
        <v>2338</v>
      </c>
      <c r="B2240" s="13" t="s">
        <v>3417</v>
      </c>
      <c r="C2240" s="31"/>
      <c r="D2240" s="16">
        <v>748</v>
      </c>
      <c r="E2240" s="14" t="s">
        <v>2626</v>
      </c>
      <c r="F2240" s="15" t="s">
        <v>22</v>
      </c>
      <c r="G2240" s="18"/>
      <c r="H2240" s="58"/>
      <c r="I2240" s="16"/>
      <c r="J2240" s="14" t="s">
        <v>23</v>
      </c>
      <c r="K2240" s="18"/>
      <c r="L2240" s="18"/>
      <c r="M2240" s="18"/>
      <c r="N2240" s="18"/>
      <c r="O2240" s="18"/>
      <c r="P2240" s="18"/>
      <c r="Q2240" s="18"/>
      <c r="R2240" s="18"/>
    </row>
    <row r="2241" spans="1:18">
      <c r="A2241" s="12">
        <v>814</v>
      </c>
      <c r="B2241" s="13" t="s">
        <v>3418</v>
      </c>
      <c r="C2241" s="14"/>
      <c r="D2241" s="14" t="s">
        <v>3419</v>
      </c>
      <c r="E2241" s="14" t="s">
        <v>3160</v>
      </c>
      <c r="F2241" s="15" t="s">
        <v>22</v>
      </c>
      <c r="G2241" s="21"/>
      <c r="H2241" s="58"/>
      <c r="I2241" s="14"/>
      <c r="J2241" s="14" t="s">
        <v>23</v>
      </c>
      <c r="K2241" s="14"/>
      <c r="L2241" s="14"/>
      <c r="M2241" s="14" t="s">
        <v>1819</v>
      </c>
      <c r="N2241" s="25" t="s">
        <v>37</v>
      </c>
      <c r="O2241" s="14" t="s">
        <v>189</v>
      </c>
      <c r="P2241" s="14"/>
      <c r="Q2241" s="14"/>
      <c r="R2241" s="14" t="s">
        <v>3316</v>
      </c>
    </row>
    <row r="2242" spans="1:18">
      <c r="A2242" s="12">
        <v>1603</v>
      </c>
      <c r="B2242" s="13" t="s">
        <v>3420</v>
      </c>
      <c r="C2242" s="14"/>
      <c r="D2242" s="14" t="s">
        <v>3419</v>
      </c>
      <c r="E2242" s="14" t="s">
        <v>3160</v>
      </c>
      <c r="F2242" s="15" t="s">
        <v>22</v>
      </c>
      <c r="G2242" s="14"/>
      <c r="H2242" s="58">
        <v>1</v>
      </c>
      <c r="I2242" s="14"/>
      <c r="J2242" s="14" t="s">
        <v>23</v>
      </c>
      <c r="K2242" s="14"/>
      <c r="L2242" s="14"/>
      <c r="M2242" s="14" t="s">
        <v>650</v>
      </c>
      <c r="N2242" s="25" t="s">
        <v>37</v>
      </c>
      <c r="O2242" s="14" t="s">
        <v>3421</v>
      </c>
      <c r="P2242" s="14"/>
      <c r="Q2242" s="14"/>
      <c r="R2242" s="14" t="s">
        <v>33</v>
      </c>
    </row>
    <row r="2243" spans="1:18">
      <c r="A2243" s="12">
        <v>2339</v>
      </c>
      <c r="B2243" s="13" t="s">
        <v>3422</v>
      </c>
      <c r="C2243" s="31"/>
      <c r="D2243" s="16">
        <v>749</v>
      </c>
      <c r="E2243" s="16" t="s">
        <v>3160</v>
      </c>
      <c r="F2243" s="15" t="s">
        <v>22</v>
      </c>
      <c r="G2243" s="18"/>
      <c r="H2243" s="58">
        <v>2</v>
      </c>
      <c r="I2243" s="16"/>
      <c r="J2243" s="14" t="s">
        <v>23</v>
      </c>
      <c r="K2243" s="18"/>
      <c r="L2243" s="18"/>
      <c r="M2243" s="18"/>
      <c r="N2243" s="18"/>
      <c r="O2243" s="18"/>
      <c r="P2243" s="18"/>
      <c r="Q2243" s="18"/>
      <c r="R2243" s="18"/>
    </row>
    <row r="2244" spans="1:18">
      <c r="A2244" s="12">
        <v>815</v>
      </c>
      <c r="B2244" s="13" t="s">
        <v>3423</v>
      </c>
      <c r="C2244" s="14"/>
      <c r="D2244" s="14" t="s">
        <v>3424</v>
      </c>
      <c r="E2244" s="14" t="s">
        <v>3160</v>
      </c>
      <c r="F2244" s="15" t="s">
        <v>22</v>
      </c>
      <c r="G2244" s="21"/>
      <c r="H2244" s="58"/>
      <c r="I2244" s="14"/>
      <c r="J2244" s="14" t="s">
        <v>23</v>
      </c>
      <c r="K2244" s="14"/>
      <c r="L2244" s="14"/>
      <c r="M2244" s="14" t="s">
        <v>1819</v>
      </c>
      <c r="N2244" s="25" t="s">
        <v>37</v>
      </c>
      <c r="O2244" s="14" t="s">
        <v>179</v>
      </c>
      <c r="P2244" s="14"/>
      <c r="Q2244" s="14"/>
      <c r="R2244" s="14" t="s">
        <v>3316</v>
      </c>
    </row>
    <row r="2245" spans="1:18">
      <c r="A2245" s="12">
        <v>1604</v>
      </c>
      <c r="B2245" s="13" t="s">
        <v>3425</v>
      </c>
      <c r="C2245" s="14"/>
      <c r="D2245" s="14" t="s">
        <v>3424</v>
      </c>
      <c r="E2245" s="14" t="s">
        <v>3160</v>
      </c>
      <c r="F2245" s="15" t="s">
        <v>22</v>
      </c>
      <c r="G2245" s="14"/>
      <c r="H2245" s="58">
        <v>3</v>
      </c>
      <c r="I2245" s="14"/>
      <c r="J2245" s="14" t="s">
        <v>23</v>
      </c>
      <c r="K2245" s="14"/>
      <c r="L2245" s="14"/>
      <c r="M2245" s="14" t="s">
        <v>650</v>
      </c>
      <c r="N2245" s="14" t="s">
        <v>25</v>
      </c>
      <c r="O2245" s="14"/>
      <c r="P2245" s="14"/>
      <c r="Q2245" s="14"/>
      <c r="R2245" s="14" t="s">
        <v>33</v>
      </c>
    </row>
    <row r="2246" spans="1:18">
      <c r="A2246" s="12">
        <v>2340</v>
      </c>
      <c r="B2246" s="13" t="s">
        <v>3426</v>
      </c>
      <c r="C2246" s="31"/>
      <c r="D2246" s="16">
        <v>750</v>
      </c>
      <c r="E2246" s="16" t="s">
        <v>3160</v>
      </c>
      <c r="F2246" s="15" t="s">
        <v>22</v>
      </c>
      <c r="G2246" s="18"/>
      <c r="H2246" s="58">
        <v>4</v>
      </c>
      <c r="I2246" s="16"/>
      <c r="J2246" s="14" t="s">
        <v>23</v>
      </c>
      <c r="K2246" s="18"/>
      <c r="L2246" s="18"/>
      <c r="M2246" s="18"/>
      <c r="N2246" s="18"/>
      <c r="O2246" s="18"/>
      <c r="P2246" s="18"/>
      <c r="Q2246" s="18"/>
      <c r="R2246" s="18"/>
    </row>
    <row r="2247" spans="1:18">
      <c r="A2247" s="12">
        <v>816</v>
      </c>
      <c r="B2247" s="13" t="s">
        <v>3427</v>
      </c>
      <c r="C2247" s="14"/>
      <c r="D2247" s="14" t="s">
        <v>3428</v>
      </c>
      <c r="E2247" s="14" t="s">
        <v>2626</v>
      </c>
      <c r="F2247" s="15" t="s">
        <v>22</v>
      </c>
      <c r="G2247" s="21"/>
      <c r="H2247" s="58"/>
      <c r="I2247" s="14"/>
      <c r="J2247" s="14" t="s">
        <v>23</v>
      </c>
      <c r="K2247" s="14"/>
      <c r="L2247" s="14"/>
      <c r="M2247" s="14" t="s">
        <v>1819</v>
      </c>
      <c r="N2247" s="14" t="s">
        <v>25</v>
      </c>
      <c r="O2247" s="14"/>
      <c r="P2247" s="14"/>
      <c r="Q2247" s="14"/>
      <c r="R2247" s="14" t="s">
        <v>3316</v>
      </c>
    </row>
    <row r="2248" spans="1:18">
      <c r="A2248" s="12">
        <v>1605</v>
      </c>
      <c r="B2248" s="13" t="s">
        <v>3429</v>
      </c>
      <c r="C2248" s="13"/>
      <c r="D2248" s="14" t="s">
        <v>3428</v>
      </c>
      <c r="E2248" s="14" t="s">
        <v>2626</v>
      </c>
      <c r="F2248" s="15" t="s">
        <v>22</v>
      </c>
      <c r="G2248" s="14"/>
      <c r="H2248" s="58">
        <v>0</v>
      </c>
      <c r="I2248" s="14"/>
      <c r="J2248" s="14" t="s">
        <v>23</v>
      </c>
      <c r="K2248" s="14"/>
      <c r="L2248" s="14"/>
      <c r="M2248" s="14" t="s">
        <v>650</v>
      </c>
      <c r="N2248" s="14" t="s">
        <v>25</v>
      </c>
      <c r="O2248" s="14"/>
      <c r="P2248" s="14"/>
      <c r="Q2248" s="14"/>
      <c r="R2248" s="14" t="s">
        <v>33</v>
      </c>
    </row>
    <row r="2249" spans="1:18">
      <c r="A2249" s="12">
        <v>2341</v>
      </c>
      <c r="B2249" s="13" t="s">
        <v>3430</v>
      </c>
      <c r="C2249" s="31"/>
      <c r="D2249" s="16">
        <v>751</v>
      </c>
      <c r="E2249" s="16" t="s">
        <v>2626</v>
      </c>
      <c r="F2249" s="15" t="s">
        <v>22</v>
      </c>
      <c r="G2249" s="18"/>
      <c r="H2249" s="58"/>
      <c r="I2249" s="18"/>
      <c r="J2249" s="14" t="s">
        <v>23</v>
      </c>
      <c r="K2249" s="18"/>
      <c r="L2249" s="18"/>
      <c r="M2249" s="18"/>
      <c r="N2249" s="18"/>
      <c r="O2249" s="18"/>
      <c r="P2249" s="18"/>
      <c r="Q2249" s="18"/>
      <c r="R2249" s="18"/>
    </row>
    <row r="2250" spans="1:18">
      <c r="A2250" s="12">
        <v>671</v>
      </c>
      <c r="B2250" s="13" t="s">
        <v>3431</v>
      </c>
      <c r="C2250" s="22"/>
      <c r="D2250" s="22" t="s">
        <v>3432</v>
      </c>
      <c r="E2250" s="22" t="s">
        <v>3160</v>
      </c>
      <c r="F2250" s="15" t="s">
        <v>22</v>
      </c>
      <c r="G2250" s="26"/>
      <c r="H2250" s="58"/>
      <c r="I2250" s="22"/>
      <c r="J2250" s="14" t="s">
        <v>23</v>
      </c>
      <c r="K2250" s="22"/>
      <c r="L2250" s="22"/>
      <c r="M2250" s="22" t="s">
        <v>654</v>
      </c>
      <c r="N2250" s="14" t="s">
        <v>25</v>
      </c>
      <c r="O2250" s="22"/>
      <c r="P2250" s="14"/>
      <c r="Q2250" s="14"/>
      <c r="R2250" s="14" t="s">
        <v>1820</v>
      </c>
    </row>
    <row r="2251" spans="1:18">
      <c r="A2251" s="12">
        <v>1525</v>
      </c>
      <c r="B2251" s="13" t="s">
        <v>3433</v>
      </c>
      <c r="C2251" s="14"/>
      <c r="D2251" s="14" t="s">
        <v>3432</v>
      </c>
      <c r="E2251" s="14" t="s">
        <v>3160</v>
      </c>
      <c r="F2251" s="15" t="s">
        <v>22</v>
      </c>
      <c r="G2251" s="14"/>
      <c r="H2251" s="58"/>
      <c r="I2251" s="14"/>
      <c r="J2251" s="14" t="s">
        <v>23</v>
      </c>
      <c r="K2251" s="14"/>
      <c r="L2251" s="14"/>
      <c r="M2251" s="14" t="s">
        <v>2651</v>
      </c>
      <c r="N2251" s="14" t="s">
        <v>25</v>
      </c>
      <c r="O2251" s="14"/>
      <c r="P2251" s="14"/>
      <c r="Q2251" s="14"/>
      <c r="R2251" s="14" t="s">
        <v>1824</v>
      </c>
    </row>
    <row r="2252" spans="1:18">
      <c r="A2252" s="12">
        <v>2342</v>
      </c>
      <c r="B2252" s="13" t="s">
        <v>3434</v>
      </c>
      <c r="C2252" s="31"/>
      <c r="D2252" s="16">
        <v>752</v>
      </c>
      <c r="E2252" s="16" t="s">
        <v>3160</v>
      </c>
      <c r="F2252" s="15" t="s">
        <v>22</v>
      </c>
      <c r="G2252" s="18"/>
      <c r="H2252" s="58"/>
      <c r="I2252" s="18"/>
      <c r="J2252" s="14" t="s">
        <v>23</v>
      </c>
      <c r="K2252" s="18"/>
      <c r="L2252" s="18"/>
      <c r="M2252" s="18"/>
      <c r="N2252" s="18"/>
      <c r="O2252" s="18"/>
      <c r="P2252" s="18"/>
      <c r="Q2252" s="18"/>
      <c r="R2252" s="18"/>
    </row>
    <row r="2253" spans="1:18">
      <c r="A2253" s="12">
        <v>817</v>
      </c>
      <c r="B2253" s="13" t="s">
        <v>3435</v>
      </c>
      <c r="C2253" s="14"/>
      <c r="D2253" s="14" t="s">
        <v>3436</v>
      </c>
      <c r="E2253" s="14" t="s">
        <v>3160</v>
      </c>
      <c r="F2253" s="15" t="s">
        <v>22</v>
      </c>
      <c r="G2253" s="21"/>
      <c r="H2253" s="58"/>
      <c r="I2253" s="14"/>
      <c r="J2253" s="14" t="s">
        <v>23</v>
      </c>
      <c r="K2253" s="14"/>
      <c r="L2253" s="14"/>
      <c r="M2253" s="14" t="s">
        <v>1819</v>
      </c>
      <c r="N2253" s="14" t="s">
        <v>25</v>
      </c>
      <c r="O2253" s="14"/>
      <c r="P2253" s="14"/>
      <c r="Q2253" s="14"/>
      <c r="R2253" s="14" t="s">
        <v>3316</v>
      </c>
    </row>
    <row r="2254" spans="1:18" ht="18.75" customHeight="1">
      <c r="A2254" s="12">
        <v>1526</v>
      </c>
      <c r="B2254" s="13" t="s">
        <v>3437</v>
      </c>
      <c r="C2254" s="14"/>
      <c r="D2254" s="14" t="s">
        <v>3436</v>
      </c>
      <c r="E2254" s="14" t="s">
        <v>3160</v>
      </c>
      <c r="F2254" s="15" t="s">
        <v>22</v>
      </c>
      <c r="G2254" s="14"/>
      <c r="H2254" s="58"/>
      <c r="I2254" s="14"/>
      <c r="J2254" s="14" t="s">
        <v>23</v>
      </c>
      <c r="K2254" s="14"/>
      <c r="L2254" s="14"/>
      <c r="M2254" s="14" t="s">
        <v>2651</v>
      </c>
      <c r="N2254" s="14" t="s">
        <v>25</v>
      </c>
      <c r="O2254" s="14"/>
      <c r="P2254" s="14"/>
      <c r="Q2254" s="14"/>
      <c r="R2254" s="14" t="s">
        <v>1824</v>
      </c>
    </row>
    <row r="2255" spans="1:18">
      <c r="A2255" s="12">
        <v>2343</v>
      </c>
      <c r="B2255" s="13" t="s">
        <v>3438</v>
      </c>
      <c r="C2255" s="31"/>
      <c r="D2255" s="16">
        <v>753</v>
      </c>
      <c r="E2255" s="16" t="s">
        <v>3162</v>
      </c>
      <c r="F2255" s="15" t="s">
        <v>22</v>
      </c>
      <c r="G2255" s="18"/>
      <c r="H2255" s="58"/>
      <c r="I2255" s="18"/>
      <c r="J2255" s="14" t="s">
        <v>23</v>
      </c>
      <c r="K2255" s="18"/>
      <c r="L2255" s="18"/>
      <c r="M2255" s="18"/>
      <c r="N2255" s="18"/>
      <c r="O2255" s="18"/>
      <c r="P2255" s="18"/>
      <c r="Q2255" s="18"/>
      <c r="R2255" s="18"/>
    </row>
    <row r="2256" spans="1:18">
      <c r="A2256" s="12">
        <v>672</v>
      </c>
      <c r="B2256" s="13" t="s">
        <v>3439</v>
      </c>
      <c r="C2256" s="22"/>
      <c r="D2256" s="22" t="s">
        <v>3440</v>
      </c>
      <c r="E2256" s="14" t="s">
        <v>21</v>
      </c>
      <c r="F2256" s="15" t="s">
        <v>22</v>
      </c>
      <c r="G2256" s="26"/>
      <c r="H2256" s="58"/>
      <c r="I2256" s="22"/>
      <c r="J2256" s="14" t="s">
        <v>23</v>
      </c>
      <c r="K2256" s="22"/>
      <c r="L2256" s="22"/>
      <c r="M2256" s="22" t="s">
        <v>654</v>
      </c>
      <c r="N2256" s="14" t="s">
        <v>25</v>
      </c>
      <c r="O2256" s="22"/>
      <c r="P2256" s="14"/>
      <c r="Q2256" s="14"/>
      <c r="R2256" s="14" t="s">
        <v>1820</v>
      </c>
    </row>
    <row r="2257" spans="1:18">
      <c r="A2257" s="12">
        <v>1527</v>
      </c>
      <c r="B2257" s="13" t="s">
        <v>3441</v>
      </c>
      <c r="C2257" s="14"/>
      <c r="D2257" s="14" t="s">
        <v>3440</v>
      </c>
      <c r="E2257" s="14" t="s">
        <v>21</v>
      </c>
      <c r="F2257" s="15" t="s">
        <v>22</v>
      </c>
      <c r="G2257" s="14"/>
      <c r="H2257" s="58"/>
      <c r="I2257" s="14"/>
      <c r="J2257" s="14" t="s">
        <v>23</v>
      </c>
      <c r="K2257" s="14"/>
      <c r="L2257" s="14"/>
      <c r="M2257" s="14" t="s">
        <v>2651</v>
      </c>
      <c r="N2257" s="14" t="s">
        <v>25</v>
      </c>
      <c r="O2257" s="14"/>
      <c r="P2257" s="14"/>
      <c r="Q2257" s="14"/>
      <c r="R2257" s="14" t="s">
        <v>1824</v>
      </c>
    </row>
    <row r="2258" spans="1:18">
      <c r="A2258" s="12">
        <v>2344</v>
      </c>
      <c r="B2258" s="13" t="s">
        <v>3442</v>
      </c>
      <c r="C2258" s="31"/>
      <c r="D2258" s="16">
        <v>754</v>
      </c>
      <c r="E2258" s="14" t="s">
        <v>21</v>
      </c>
      <c r="F2258" s="15" t="s">
        <v>22</v>
      </c>
      <c r="G2258" s="18"/>
      <c r="H2258" s="58"/>
      <c r="I2258" s="18"/>
      <c r="J2258" s="14" t="s">
        <v>23</v>
      </c>
      <c r="K2258" s="18"/>
      <c r="L2258" s="18"/>
      <c r="M2258" s="18"/>
      <c r="N2258" s="18"/>
      <c r="O2258" s="18"/>
      <c r="P2258" s="18"/>
      <c r="Q2258" s="18"/>
      <c r="R2258" s="18"/>
    </row>
    <row r="2259" spans="1:18">
      <c r="A2259" s="12">
        <v>673</v>
      </c>
      <c r="B2259" s="13" t="s">
        <v>3443</v>
      </c>
      <c r="C2259" s="22"/>
      <c r="D2259" s="22" t="s">
        <v>3444</v>
      </c>
      <c r="E2259" s="22"/>
      <c r="F2259" s="15" t="s">
        <v>22</v>
      </c>
      <c r="G2259" s="26"/>
      <c r="H2259" s="58"/>
      <c r="I2259" s="22"/>
      <c r="J2259" s="14" t="s">
        <v>23</v>
      </c>
      <c r="K2259" s="22"/>
      <c r="L2259" s="22"/>
      <c r="M2259" s="22" t="s">
        <v>654</v>
      </c>
      <c r="N2259" s="14" t="s">
        <v>25</v>
      </c>
      <c r="O2259" s="22"/>
      <c r="P2259" s="14"/>
      <c r="Q2259" s="14"/>
      <c r="R2259" s="14" t="s">
        <v>1820</v>
      </c>
    </row>
    <row r="2260" spans="1:18">
      <c r="A2260" s="12">
        <v>1528</v>
      </c>
      <c r="B2260" s="13" t="s">
        <v>3445</v>
      </c>
      <c r="C2260" s="14"/>
      <c r="D2260" s="14" t="s">
        <v>3444</v>
      </c>
      <c r="E2260" s="14" t="s">
        <v>172</v>
      </c>
      <c r="F2260" s="15" t="s">
        <v>22</v>
      </c>
      <c r="G2260" s="14"/>
      <c r="H2260" s="58"/>
      <c r="I2260" s="14"/>
      <c r="J2260" s="14" t="s">
        <v>23</v>
      </c>
      <c r="K2260" s="14"/>
      <c r="L2260" s="14"/>
      <c r="M2260" s="14" t="s">
        <v>2651</v>
      </c>
      <c r="N2260" s="14" t="s">
        <v>25</v>
      </c>
      <c r="O2260" s="14"/>
      <c r="P2260" s="14"/>
      <c r="Q2260" s="14"/>
      <c r="R2260" s="14" t="s">
        <v>1824</v>
      </c>
    </row>
    <row r="2261" spans="1:18">
      <c r="A2261" s="12">
        <v>2345</v>
      </c>
      <c r="B2261" s="13" t="s">
        <v>3446</v>
      </c>
      <c r="C2261" s="31"/>
      <c r="D2261" s="16">
        <v>755</v>
      </c>
      <c r="E2261" s="16"/>
      <c r="F2261" s="15" t="s">
        <v>22</v>
      </c>
      <c r="G2261" s="18"/>
      <c r="H2261" s="58"/>
      <c r="I2261" s="18"/>
      <c r="J2261" s="14" t="s">
        <v>23</v>
      </c>
      <c r="K2261" s="18"/>
      <c r="L2261" s="18"/>
      <c r="M2261" s="18"/>
      <c r="N2261" s="18"/>
      <c r="O2261" s="18"/>
      <c r="P2261" s="18"/>
      <c r="Q2261" s="18"/>
      <c r="R2261" s="18"/>
    </row>
    <row r="2262" spans="1:18">
      <c r="A2262" s="12">
        <v>674</v>
      </c>
      <c r="B2262" s="13" t="s">
        <v>3447</v>
      </c>
      <c r="C2262" s="22"/>
      <c r="D2262" s="22" t="s">
        <v>3448</v>
      </c>
      <c r="E2262" s="22" t="s">
        <v>2626</v>
      </c>
      <c r="F2262" s="15" t="s">
        <v>22</v>
      </c>
      <c r="G2262" s="26"/>
      <c r="H2262" s="58"/>
      <c r="I2262" s="22"/>
      <c r="J2262" s="14" t="s">
        <v>23</v>
      </c>
      <c r="K2262" s="22"/>
      <c r="L2262" s="22"/>
      <c r="M2262" s="22" t="s">
        <v>654</v>
      </c>
      <c r="N2262" s="14" t="s">
        <v>25</v>
      </c>
      <c r="O2262" s="22"/>
      <c r="P2262" s="14"/>
      <c r="Q2262" s="14"/>
      <c r="R2262" s="14" t="s">
        <v>1820</v>
      </c>
    </row>
    <row r="2263" spans="1:18">
      <c r="A2263" s="12">
        <v>1397</v>
      </c>
      <c r="B2263" s="13" t="s">
        <v>3449</v>
      </c>
      <c r="C2263" s="14"/>
      <c r="D2263" s="14" t="s">
        <v>3448</v>
      </c>
      <c r="E2263" s="14" t="s">
        <v>2626</v>
      </c>
      <c r="F2263" s="15" t="s">
        <v>22</v>
      </c>
      <c r="G2263" s="21"/>
      <c r="H2263" s="58">
        <v>1</v>
      </c>
      <c r="I2263" s="14"/>
      <c r="J2263" s="14" t="s">
        <v>23</v>
      </c>
      <c r="K2263" s="14"/>
      <c r="L2263" s="14"/>
      <c r="M2263" s="14" t="s">
        <v>1534</v>
      </c>
      <c r="N2263" s="25" t="s">
        <v>37</v>
      </c>
      <c r="O2263" s="14" t="s">
        <v>2149</v>
      </c>
      <c r="P2263" s="14"/>
      <c r="Q2263" s="14"/>
      <c r="R2263" s="14" t="s">
        <v>2652</v>
      </c>
    </row>
    <row r="2264" spans="1:18">
      <c r="A2264" s="12">
        <v>2346</v>
      </c>
      <c r="B2264" s="13" t="s">
        <v>3450</v>
      </c>
      <c r="C2264" s="31"/>
      <c r="D2264" s="16">
        <v>756</v>
      </c>
      <c r="E2264" s="16" t="s">
        <v>2626</v>
      </c>
      <c r="F2264" s="15" t="s">
        <v>22</v>
      </c>
      <c r="G2264" s="18"/>
      <c r="H2264" s="58"/>
      <c r="I2264" s="18"/>
      <c r="J2264" s="14" t="s">
        <v>23</v>
      </c>
      <c r="K2264" s="18"/>
      <c r="L2264" s="18"/>
      <c r="M2264" s="18"/>
      <c r="N2264" s="18"/>
      <c r="O2264" s="18"/>
      <c r="P2264" s="18"/>
      <c r="Q2264" s="18"/>
      <c r="R2264" s="18"/>
    </row>
    <row r="2265" spans="1:18" ht="16.5" customHeight="1">
      <c r="A2265" s="12">
        <v>675</v>
      </c>
      <c r="B2265" s="13" t="s">
        <v>3451</v>
      </c>
      <c r="C2265" s="22"/>
      <c r="D2265" s="22" t="s">
        <v>3452</v>
      </c>
      <c r="E2265" s="14" t="s">
        <v>137</v>
      </c>
      <c r="F2265" s="15" t="s">
        <v>22</v>
      </c>
      <c r="G2265" s="26"/>
      <c r="H2265" s="58"/>
      <c r="I2265" s="22"/>
      <c r="J2265" s="14" t="s">
        <v>23</v>
      </c>
      <c r="K2265" s="22"/>
      <c r="L2265" s="22"/>
      <c r="M2265" s="22" t="s">
        <v>654</v>
      </c>
      <c r="N2265" s="14" t="s">
        <v>25</v>
      </c>
      <c r="O2265" s="22"/>
      <c r="P2265" s="14"/>
      <c r="Q2265" s="14"/>
      <c r="R2265" s="14" t="s">
        <v>1820</v>
      </c>
    </row>
    <row r="2266" spans="1:18">
      <c r="A2266" s="12">
        <v>1398</v>
      </c>
      <c r="B2266" s="13" t="s">
        <v>3453</v>
      </c>
      <c r="C2266" s="14"/>
      <c r="D2266" s="14" t="s">
        <v>3452</v>
      </c>
      <c r="E2266" s="14" t="s">
        <v>137</v>
      </c>
      <c r="F2266" s="15" t="s">
        <v>22</v>
      </c>
      <c r="G2266" s="21"/>
      <c r="H2266" s="58">
        <v>2</v>
      </c>
      <c r="I2266" s="14"/>
      <c r="J2266" s="14" t="s">
        <v>23</v>
      </c>
      <c r="K2266" s="14"/>
      <c r="L2266" s="14"/>
      <c r="M2266" s="14" t="s">
        <v>1534</v>
      </c>
      <c r="N2266" s="14" t="s">
        <v>25</v>
      </c>
      <c r="O2266" s="14"/>
      <c r="P2266" s="14"/>
      <c r="Q2266" s="14"/>
      <c r="R2266" s="14" t="s">
        <v>2652</v>
      </c>
    </row>
    <row r="2267" spans="1:18">
      <c r="A2267" s="12">
        <v>2347</v>
      </c>
      <c r="B2267" s="13" t="s">
        <v>3454</v>
      </c>
      <c r="C2267" s="31"/>
      <c r="D2267" s="16">
        <v>757</v>
      </c>
      <c r="E2267" s="14" t="s">
        <v>137</v>
      </c>
      <c r="F2267" s="15" t="s">
        <v>22</v>
      </c>
      <c r="G2267" s="18"/>
      <c r="H2267" s="58"/>
      <c r="I2267" s="18"/>
      <c r="J2267" s="14" t="s">
        <v>23</v>
      </c>
      <c r="K2267" s="18"/>
      <c r="L2267" s="18"/>
      <c r="M2267" s="18"/>
      <c r="N2267" s="18"/>
      <c r="O2267" s="18"/>
      <c r="P2267" s="18"/>
      <c r="Q2267" s="18"/>
      <c r="R2267" s="18"/>
    </row>
    <row r="2268" spans="1:18">
      <c r="A2268" s="12">
        <v>676</v>
      </c>
      <c r="B2268" s="13" t="s">
        <v>3455</v>
      </c>
      <c r="C2268" s="22"/>
      <c r="D2268" s="22" t="s">
        <v>3456</v>
      </c>
      <c r="E2268" s="14" t="s">
        <v>137</v>
      </c>
      <c r="F2268" s="15" t="s">
        <v>22</v>
      </c>
      <c r="G2268" s="26"/>
      <c r="H2268" s="58"/>
      <c r="I2268" s="22"/>
      <c r="J2268" s="14" t="s">
        <v>23</v>
      </c>
      <c r="K2268" s="22"/>
      <c r="L2268" s="22"/>
      <c r="M2268" s="22" t="s">
        <v>654</v>
      </c>
      <c r="N2268" s="14" t="s">
        <v>25</v>
      </c>
      <c r="O2268" s="22"/>
      <c r="P2268" s="14"/>
      <c r="Q2268" s="14"/>
      <c r="R2268" s="14" t="s">
        <v>1820</v>
      </c>
    </row>
    <row r="2269" spans="1:18">
      <c r="A2269" s="12">
        <v>1399</v>
      </c>
      <c r="B2269" s="13" t="s">
        <v>3457</v>
      </c>
      <c r="C2269" s="14"/>
      <c r="D2269" s="14" t="s">
        <v>3456</v>
      </c>
      <c r="E2269" s="14" t="s">
        <v>137</v>
      </c>
      <c r="F2269" s="15" t="s">
        <v>22</v>
      </c>
      <c r="G2269" s="21"/>
      <c r="H2269" s="58"/>
      <c r="I2269" s="14"/>
      <c r="J2269" s="14" t="s">
        <v>23</v>
      </c>
      <c r="K2269" s="14"/>
      <c r="L2269" s="14"/>
      <c r="M2269" s="14" t="s">
        <v>1534</v>
      </c>
      <c r="N2269" s="14" t="s">
        <v>25</v>
      </c>
      <c r="O2269" s="14"/>
      <c r="P2269" s="14"/>
      <c r="Q2269" s="14"/>
      <c r="R2269" s="14" t="s">
        <v>2652</v>
      </c>
    </row>
    <row r="2270" spans="1:18">
      <c r="A2270" s="12">
        <v>2348</v>
      </c>
      <c r="B2270" s="13" t="s">
        <v>3458</v>
      </c>
      <c r="C2270" s="31"/>
      <c r="D2270" s="16">
        <v>758</v>
      </c>
      <c r="E2270" s="14" t="s">
        <v>137</v>
      </c>
      <c r="F2270" s="15" t="s">
        <v>22</v>
      </c>
      <c r="G2270" s="18"/>
      <c r="H2270" s="58"/>
      <c r="I2270" s="18"/>
      <c r="J2270" s="14" t="s">
        <v>23</v>
      </c>
      <c r="K2270" s="18"/>
      <c r="L2270" s="18"/>
      <c r="M2270" s="18"/>
      <c r="N2270" s="18"/>
      <c r="O2270" s="18"/>
      <c r="P2270" s="18"/>
      <c r="Q2270" s="18"/>
      <c r="R2270" s="18"/>
    </row>
    <row r="2271" spans="1:18">
      <c r="A2271" s="12">
        <v>677</v>
      </c>
      <c r="B2271" s="13" t="s">
        <v>3459</v>
      </c>
      <c r="C2271" s="14"/>
      <c r="D2271" s="22" t="s">
        <v>3460</v>
      </c>
      <c r="E2271" s="14" t="s">
        <v>137</v>
      </c>
      <c r="F2271" s="15" t="s">
        <v>22</v>
      </c>
      <c r="G2271" s="21"/>
      <c r="H2271" s="58"/>
      <c r="I2271" s="14"/>
      <c r="J2271" s="14" t="s">
        <v>23</v>
      </c>
      <c r="K2271" s="14"/>
      <c r="L2271" s="14"/>
      <c r="M2271" s="22" t="s">
        <v>654</v>
      </c>
      <c r="N2271" s="14" t="s">
        <v>25</v>
      </c>
      <c r="O2271" s="14"/>
      <c r="P2271" s="14"/>
      <c r="Q2271" s="14"/>
      <c r="R2271" s="14" t="s">
        <v>1820</v>
      </c>
    </row>
    <row r="2272" spans="1:18">
      <c r="A2272" s="12">
        <v>1400</v>
      </c>
      <c r="B2272" s="13" t="s">
        <v>3461</v>
      </c>
      <c r="C2272" s="14"/>
      <c r="D2272" s="14" t="s">
        <v>3460</v>
      </c>
      <c r="E2272" s="14" t="s">
        <v>137</v>
      </c>
      <c r="F2272" s="15" t="s">
        <v>22</v>
      </c>
      <c r="G2272" s="21"/>
      <c r="H2272" s="58"/>
      <c r="I2272" s="14"/>
      <c r="J2272" s="14" t="s">
        <v>23</v>
      </c>
      <c r="K2272" s="14"/>
      <c r="L2272" s="14"/>
      <c r="M2272" s="14" t="s">
        <v>1534</v>
      </c>
      <c r="N2272" s="14" t="s">
        <v>25</v>
      </c>
      <c r="O2272" s="14"/>
      <c r="P2272" s="14"/>
      <c r="Q2272" s="14"/>
      <c r="R2272" s="14" t="s">
        <v>2652</v>
      </c>
    </row>
    <row r="2273" spans="1:18">
      <c r="A2273" s="12">
        <v>2349</v>
      </c>
      <c r="B2273" s="13" t="s">
        <v>3462</v>
      </c>
      <c r="C2273" s="31"/>
      <c r="D2273" s="16">
        <v>759</v>
      </c>
      <c r="E2273" s="14" t="s">
        <v>137</v>
      </c>
      <c r="F2273" s="15" t="s">
        <v>22</v>
      </c>
      <c r="G2273" s="18"/>
      <c r="H2273" s="58"/>
      <c r="I2273" s="18"/>
      <c r="J2273" s="14" t="s">
        <v>23</v>
      </c>
      <c r="K2273" s="18"/>
      <c r="L2273" s="18"/>
      <c r="M2273" s="18"/>
      <c r="N2273" s="18"/>
      <c r="O2273" s="18"/>
      <c r="P2273" s="18"/>
      <c r="Q2273" s="18"/>
      <c r="R2273" s="18"/>
    </row>
    <row r="2274" spans="1:18">
      <c r="A2274" s="12">
        <v>678</v>
      </c>
      <c r="B2274" s="13" t="s">
        <v>3463</v>
      </c>
      <c r="C2274" s="14"/>
      <c r="D2274" s="22" t="s">
        <v>3464</v>
      </c>
      <c r="E2274" s="14" t="s">
        <v>215</v>
      </c>
      <c r="F2274" s="15" t="s">
        <v>22</v>
      </c>
      <c r="G2274" s="21"/>
      <c r="H2274" s="58"/>
      <c r="I2274" s="14"/>
      <c r="J2274" s="14" t="s">
        <v>23</v>
      </c>
      <c r="K2274" s="14"/>
      <c r="L2274" s="14"/>
      <c r="M2274" s="22" t="s">
        <v>654</v>
      </c>
      <c r="N2274" s="25" t="s">
        <v>37</v>
      </c>
      <c r="O2274" s="14" t="s">
        <v>185</v>
      </c>
      <c r="P2274" s="14"/>
      <c r="Q2274" s="14"/>
      <c r="R2274" s="14" t="s">
        <v>1820</v>
      </c>
    </row>
    <row r="2275" spans="1:18">
      <c r="A2275" s="12">
        <v>1529</v>
      </c>
      <c r="B2275" s="13" t="s">
        <v>3465</v>
      </c>
      <c r="C2275" s="14"/>
      <c r="D2275" s="14" t="s">
        <v>3464</v>
      </c>
      <c r="E2275" s="14" t="s">
        <v>215</v>
      </c>
      <c r="F2275" s="15" t="s">
        <v>22</v>
      </c>
      <c r="G2275" s="14"/>
      <c r="H2275" s="58">
        <v>3</v>
      </c>
      <c r="I2275" s="14"/>
      <c r="J2275" s="14" t="s">
        <v>23</v>
      </c>
      <c r="K2275" s="14"/>
      <c r="L2275" s="14"/>
      <c r="M2275" s="14" t="s">
        <v>2651</v>
      </c>
      <c r="N2275" s="25" t="s">
        <v>37</v>
      </c>
      <c r="O2275" s="14" t="s">
        <v>2374</v>
      </c>
      <c r="P2275" s="14"/>
      <c r="Q2275" s="14"/>
      <c r="R2275" s="14" t="s">
        <v>1824</v>
      </c>
    </row>
    <row r="2276" spans="1:18">
      <c r="A2276" s="12">
        <v>2350</v>
      </c>
      <c r="B2276" s="13" t="s">
        <v>3466</v>
      </c>
      <c r="C2276" s="31"/>
      <c r="D2276" s="16">
        <v>760</v>
      </c>
      <c r="E2276" s="14" t="s">
        <v>215</v>
      </c>
      <c r="F2276" s="15" t="s">
        <v>22</v>
      </c>
      <c r="G2276" s="18"/>
      <c r="H2276" s="58">
        <v>3</v>
      </c>
      <c r="I2276" s="16"/>
      <c r="J2276" s="14" t="s">
        <v>23</v>
      </c>
      <c r="K2276" s="18"/>
      <c r="L2276" s="18"/>
      <c r="M2276" s="18"/>
      <c r="N2276" s="18"/>
      <c r="O2276" s="18"/>
      <c r="P2276" s="18"/>
      <c r="Q2276" s="18"/>
      <c r="R2276" s="18"/>
    </row>
    <row r="2277" spans="1:18">
      <c r="A2277" s="12">
        <v>679</v>
      </c>
      <c r="B2277" s="13" t="s">
        <v>3467</v>
      </c>
      <c r="C2277" s="14"/>
      <c r="D2277" s="22" t="s">
        <v>3468</v>
      </c>
      <c r="E2277" s="22" t="s">
        <v>2991</v>
      </c>
      <c r="F2277" s="15" t="s">
        <v>22</v>
      </c>
      <c r="G2277" s="21"/>
      <c r="H2277" s="58"/>
      <c r="I2277" s="14"/>
      <c r="J2277" s="14" t="s">
        <v>23</v>
      </c>
      <c r="K2277" s="14"/>
      <c r="L2277" s="14"/>
      <c r="M2277" s="22" t="s">
        <v>654</v>
      </c>
      <c r="N2277" s="14" t="s">
        <v>25</v>
      </c>
      <c r="O2277" s="14"/>
      <c r="P2277" s="14"/>
      <c r="Q2277" s="14"/>
      <c r="R2277" s="14" t="s">
        <v>1820</v>
      </c>
    </row>
    <row r="2278" spans="1:18">
      <c r="A2278" s="12">
        <v>1401</v>
      </c>
      <c r="B2278" s="13" t="s">
        <v>3469</v>
      </c>
      <c r="C2278" s="14"/>
      <c r="D2278" s="14" t="s">
        <v>3468</v>
      </c>
      <c r="E2278" s="14" t="s">
        <v>2991</v>
      </c>
      <c r="F2278" s="15" t="s">
        <v>22</v>
      </c>
      <c r="G2278" s="21"/>
      <c r="H2278" s="58">
        <v>2</v>
      </c>
      <c r="I2278" s="14"/>
      <c r="J2278" s="14" t="s">
        <v>23</v>
      </c>
      <c r="K2278" s="14"/>
      <c r="L2278" s="14"/>
      <c r="M2278" s="14" t="s">
        <v>1534</v>
      </c>
      <c r="N2278" s="14" t="s">
        <v>25</v>
      </c>
      <c r="O2278" s="14"/>
      <c r="P2278" s="14"/>
      <c r="Q2278" s="14"/>
      <c r="R2278" s="14" t="s">
        <v>2652</v>
      </c>
    </row>
    <row r="2279" spans="1:18">
      <c r="A2279" s="12">
        <v>2351</v>
      </c>
      <c r="B2279" s="13" t="s">
        <v>3470</v>
      </c>
      <c r="C2279" s="31"/>
      <c r="D2279" s="16">
        <v>761</v>
      </c>
      <c r="E2279" s="16" t="s">
        <v>2991</v>
      </c>
      <c r="F2279" s="15" t="s">
        <v>22</v>
      </c>
      <c r="G2279" s="18"/>
      <c r="H2279" s="58">
        <v>1</v>
      </c>
      <c r="I2279" s="16"/>
      <c r="J2279" s="14" t="s">
        <v>23</v>
      </c>
      <c r="K2279" s="18"/>
      <c r="L2279" s="18"/>
      <c r="M2279" s="18"/>
      <c r="N2279" s="18"/>
      <c r="O2279" s="18"/>
      <c r="P2279" s="18"/>
      <c r="Q2279" s="18"/>
      <c r="R2279" s="18"/>
    </row>
    <row r="2280" spans="1:18">
      <c r="A2280" s="12">
        <v>680</v>
      </c>
      <c r="B2280" s="13" t="s">
        <v>3471</v>
      </c>
      <c r="C2280" s="14"/>
      <c r="D2280" s="22" t="s">
        <v>3472</v>
      </c>
      <c r="E2280" s="14" t="s">
        <v>215</v>
      </c>
      <c r="F2280" s="15" t="s">
        <v>22</v>
      </c>
      <c r="G2280" s="21"/>
      <c r="H2280" s="58"/>
      <c r="I2280" s="14"/>
      <c r="J2280" s="14" t="s">
        <v>23</v>
      </c>
      <c r="K2280" s="14"/>
      <c r="L2280" s="14"/>
      <c r="M2280" s="22" t="s">
        <v>654</v>
      </c>
      <c r="N2280" s="14" t="s">
        <v>25</v>
      </c>
      <c r="O2280" s="14"/>
      <c r="P2280" s="14"/>
      <c r="Q2280" s="14"/>
      <c r="R2280" s="14" t="s">
        <v>1820</v>
      </c>
    </row>
    <row r="2281" spans="1:18">
      <c r="A2281" s="12">
        <v>1530</v>
      </c>
      <c r="B2281" s="13" t="s">
        <v>3473</v>
      </c>
      <c r="C2281" s="14"/>
      <c r="D2281" s="14" t="s">
        <v>3472</v>
      </c>
      <c r="E2281" s="14" t="s">
        <v>215</v>
      </c>
      <c r="F2281" s="15" t="s">
        <v>22</v>
      </c>
      <c r="G2281" s="14"/>
      <c r="H2281" s="58">
        <v>3</v>
      </c>
      <c r="I2281" s="14"/>
      <c r="J2281" s="14" t="s">
        <v>23</v>
      </c>
      <c r="K2281" s="14"/>
      <c r="L2281" s="14"/>
      <c r="M2281" s="14" t="s">
        <v>2651</v>
      </c>
      <c r="N2281" s="25" t="s">
        <v>37</v>
      </c>
      <c r="O2281" s="14" t="s">
        <v>3474</v>
      </c>
      <c r="P2281" s="14"/>
      <c r="Q2281" s="14"/>
      <c r="R2281" s="14" t="s">
        <v>1824</v>
      </c>
    </row>
    <row r="2282" spans="1:18">
      <c r="A2282" s="12">
        <v>2352</v>
      </c>
      <c r="B2282" s="13" t="s">
        <v>3475</v>
      </c>
      <c r="C2282" s="31"/>
      <c r="D2282" s="16">
        <v>762</v>
      </c>
      <c r="E2282" s="14" t="s">
        <v>215</v>
      </c>
      <c r="F2282" s="15" t="s">
        <v>22</v>
      </c>
      <c r="G2282" s="18"/>
      <c r="H2282" s="58">
        <v>3</v>
      </c>
      <c r="I2282" s="16"/>
      <c r="J2282" s="14" t="s">
        <v>23</v>
      </c>
      <c r="K2282" s="18"/>
      <c r="L2282" s="18"/>
      <c r="M2282" s="18"/>
      <c r="N2282" s="18"/>
      <c r="O2282" s="18"/>
      <c r="P2282" s="18"/>
      <c r="Q2282" s="18"/>
      <c r="R2282" s="18"/>
    </row>
    <row r="2283" spans="1:18">
      <c r="A2283" s="12">
        <v>681</v>
      </c>
      <c r="B2283" s="13" t="s">
        <v>3476</v>
      </c>
      <c r="C2283" s="14"/>
      <c r="D2283" s="22" t="s">
        <v>3477</v>
      </c>
      <c r="E2283" s="22" t="s">
        <v>2430</v>
      </c>
      <c r="F2283" s="15" t="s">
        <v>22</v>
      </c>
      <c r="G2283" s="21"/>
      <c r="H2283" s="58"/>
      <c r="I2283" s="14"/>
      <c r="J2283" s="14" t="s">
        <v>23</v>
      </c>
      <c r="K2283" s="14"/>
      <c r="L2283" s="14"/>
      <c r="M2283" s="22" t="s">
        <v>654</v>
      </c>
      <c r="N2283" s="14" t="s">
        <v>25</v>
      </c>
      <c r="O2283" s="14"/>
      <c r="P2283" s="14"/>
      <c r="Q2283" s="14"/>
      <c r="R2283" s="14" t="s">
        <v>1820</v>
      </c>
    </row>
    <row r="2284" spans="1:18">
      <c r="A2284" s="12">
        <v>2353</v>
      </c>
      <c r="B2284" s="13" t="s">
        <v>3478</v>
      </c>
      <c r="C2284" s="31"/>
      <c r="D2284" s="16">
        <v>763</v>
      </c>
      <c r="E2284" s="22" t="s">
        <v>2430</v>
      </c>
      <c r="F2284" s="15" t="s">
        <v>22</v>
      </c>
      <c r="G2284" s="18"/>
      <c r="H2284" s="58">
        <v>1</v>
      </c>
      <c r="I2284" s="16"/>
      <c r="J2284" s="14" t="s">
        <v>23</v>
      </c>
      <c r="K2284" s="18"/>
      <c r="L2284" s="18"/>
      <c r="M2284" s="18"/>
      <c r="N2284" s="18"/>
      <c r="O2284" s="18"/>
      <c r="P2284" s="18"/>
      <c r="Q2284" s="18"/>
      <c r="R2284" s="18"/>
    </row>
    <row r="2285" spans="1:18">
      <c r="A2285" s="12">
        <v>682</v>
      </c>
      <c r="B2285" s="13" t="s">
        <v>3479</v>
      </c>
      <c r="C2285" s="14"/>
      <c r="D2285" s="22" t="s">
        <v>3480</v>
      </c>
      <c r="E2285" s="22" t="s">
        <v>2626</v>
      </c>
      <c r="F2285" s="15" t="s">
        <v>22</v>
      </c>
      <c r="G2285" s="21"/>
      <c r="H2285" s="58"/>
      <c r="I2285" s="14"/>
      <c r="J2285" s="14" t="s">
        <v>23</v>
      </c>
      <c r="K2285" s="14"/>
      <c r="L2285" s="14"/>
      <c r="M2285" s="22" t="s">
        <v>654</v>
      </c>
      <c r="N2285" s="14" t="s">
        <v>25</v>
      </c>
      <c r="O2285" s="14"/>
      <c r="P2285" s="14"/>
      <c r="Q2285" s="14"/>
      <c r="R2285" s="14" t="s">
        <v>1820</v>
      </c>
    </row>
    <row r="2286" spans="1:18">
      <c r="A2286" s="12">
        <v>1531</v>
      </c>
      <c r="B2286" s="13" t="s">
        <v>3481</v>
      </c>
      <c r="C2286" s="14"/>
      <c r="D2286" s="14" t="s">
        <v>3480</v>
      </c>
      <c r="E2286" s="22" t="s">
        <v>2626</v>
      </c>
      <c r="F2286" s="15" t="s">
        <v>22</v>
      </c>
      <c r="G2286" s="14"/>
      <c r="H2286" s="58"/>
      <c r="I2286" s="14"/>
      <c r="J2286" s="14" t="s">
        <v>23</v>
      </c>
      <c r="K2286" s="14"/>
      <c r="L2286" s="14"/>
      <c r="M2286" s="14" t="s">
        <v>2651</v>
      </c>
      <c r="N2286" s="14" t="s">
        <v>25</v>
      </c>
      <c r="O2286" s="14"/>
      <c r="P2286" s="14"/>
      <c r="Q2286" s="14"/>
      <c r="R2286" s="14" t="s">
        <v>1824</v>
      </c>
    </row>
    <row r="2287" spans="1:18">
      <c r="A2287" s="12">
        <v>2354</v>
      </c>
      <c r="B2287" s="13" t="s">
        <v>3482</v>
      </c>
      <c r="C2287" s="31"/>
      <c r="D2287" s="16">
        <v>764</v>
      </c>
      <c r="E2287" s="22" t="s">
        <v>2626</v>
      </c>
      <c r="F2287" s="15" t="s">
        <v>22</v>
      </c>
      <c r="G2287" s="18"/>
      <c r="H2287" s="58">
        <v>2</v>
      </c>
      <c r="I2287" s="16"/>
      <c r="J2287" s="14" t="s">
        <v>23</v>
      </c>
      <c r="K2287" s="18"/>
      <c r="L2287" s="18"/>
      <c r="M2287" s="18"/>
      <c r="N2287" s="18"/>
      <c r="O2287" s="18"/>
      <c r="P2287" s="18"/>
      <c r="Q2287" s="18"/>
      <c r="R2287" s="18"/>
    </row>
    <row r="2288" spans="1:18">
      <c r="A2288" s="12">
        <v>683</v>
      </c>
      <c r="B2288" s="13" t="s">
        <v>3483</v>
      </c>
      <c r="C2288" s="14"/>
      <c r="D2288" s="22" t="s">
        <v>3484</v>
      </c>
      <c r="E2288" s="22" t="s">
        <v>172</v>
      </c>
      <c r="F2288" s="15" t="s">
        <v>22</v>
      </c>
      <c r="G2288" s="21"/>
      <c r="H2288" s="58"/>
      <c r="I2288" s="14"/>
      <c r="J2288" s="14" t="s">
        <v>23</v>
      </c>
      <c r="K2288" s="14"/>
      <c r="L2288" s="14"/>
      <c r="M2288" s="22" t="s">
        <v>654</v>
      </c>
      <c r="N2288" s="14" t="s">
        <v>25</v>
      </c>
      <c r="O2288" s="14"/>
      <c r="P2288" s="14"/>
      <c r="Q2288" s="14"/>
      <c r="R2288" s="14" t="s">
        <v>1820</v>
      </c>
    </row>
    <row r="2289" spans="1:18">
      <c r="A2289" s="12">
        <v>1532</v>
      </c>
      <c r="B2289" s="13" t="s">
        <v>3485</v>
      </c>
      <c r="C2289" s="14"/>
      <c r="D2289" s="14" t="s">
        <v>3484</v>
      </c>
      <c r="E2289" s="14" t="s">
        <v>172</v>
      </c>
      <c r="F2289" s="15" t="s">
        <v>22</v>
      </c>
      <c r="G2289" s="14"/>
      <c r="H2289" s="58">
        <v>1</v>
      </c>
      <c r="I2289" s="14"/>
      <c r="J2289" s="14" t="s">
        <v>23</v>
      </c>
      <c r="K2289" s="14"/>
      <c r="L2289" s="14"/>
      <c r="M2289" s="14" t="s">
        <v>2651</v>
      </c>
      <c r="N2289" s="14" t="s">
        <v>25</v>
      </c>
      <c r="O2289" s="14"/>
      <c r="P2289" s="14"/>
      <c r="Q2289" s="14"/>
      <c r="R2289" s="14" t="s">
        <v>1824</v>
      </c>
    </row>
    <row r="2290" spans="1:18">
      <c r="A2290" s="12">
        <v>2355</v>
      </c>
      <c r="B2290" s="13" t="s">
        <v>3486</v>
      </c>
      <c r="C2290" s="31"/>
      <c r="D2290" s="16">
        <v>765</v>
      </c>
      <c r="E2290" s="16" t="s">
        <v>172</v>
      </c>
      <c r="F2290" s="15" t="s">
        <v>22</v>
      </c>
      <c r="G2290" s="18"/>
      <c r="H2290" s="58">
        <v>1</v>
      </c>
      <c r="I2290" s="16"/>
      <c r="J2290" s="14" t="s">
        <v>23</v>
      </c>
      <c r="K2290" s="18"/>
      <c r="L2290" s="18"/>
      <c r="M2290" s="18"/>
      <c r="N2290" s="18"/>
      <c r="O2290" s="18"/>
      <c r="P2290" s="18"/>
      <c r="Q2290" s="18"/>
      <c r="R2290" s="18"/>
    </row>
    <row r="2291" spans="1:18">
      <c r="A2291" s="12">
        <v>684</v>
      </c>
      <c r="B2291" s="13" t="s">
        <v>3487</v>
      </c>
      <c r="C2291" s="14"/>
      <c r="D2291" s="22" t="s">
        <v>3488</v>
      </c>
      <c r="E2291" s="22" t="s">
        <v>2626</v>
      </c>
      <c r="F2291" s="15" t="s">
        <v>22</v>
      </c>
      <c r="G2291" s="21"/>
      <c r="H2291" s="58"/>
      <c r="I2291" s="14"/>
      <c r="J2291" s="14" t="s">
        <v>23</v>
      </c>
      <c r="K2291" s="14"/>
      <c r="L2291" s="14"/>
      <c r="M2291" s="22" t="s">
        <v>654</v>
      </c>
      <c r="N2291" s="14" t="s">
        <v>25</v>
      </c>
      <c r="O2291" s="14"/>
      <c r="P2291" s="14"/>
      <c r="Q2291" s="14"/>
      <c r="R2291" s="14" t="s">
        <v>1820</v>
      </c>
    </row>
    <row r="2292" spans="1:18">
      <c r="A2292" s="12">
        <v>1402</v>
      </c>
      <c r="B2292" s="13" t="s">
        <v>3489</v>
      </c>
      <c r="C2292" s="14"/>
      <c r="D2292" s="14" t="s">
        <v>3488</v>
      </c>
      <c r="E2292" s="22" t="s">
        <v>2626</v>
      </c>
      <c r="F2292" s="15" t="s">
        <v>22</v>
      </c>
      <c r="G2292" s="21"/>
      <c r="H2292" s="58">
        <v>1</v>
      </c>
      <c r="I2292" s="14"/>
      <c r="J2292" s="14" t="s">
        <v>23</v>
      </c>
      <c r="K2292" s="14"/>
      <c r="L2292" s="14"/>
      <c r="M2292" s="14" t="s">
        <v>1534</v>
      </c>
      <c r="N2292" s="14" t="s">
        <v>25</v>
      </c>
      <c r="O2292" s="14"/>
      <c r="P2292" s="14"/>
      <c r="Q2292" s="14"/>
      <c r="R2292" s="14" t="s">
        <v>2652</v>
      </c>
    </row>
    <row r="2293" spans="1:18">
      <c r="A2293" s="12">
        <v>1533</v>
      </c>
      <c r="B2293" s="13" t="s">
        <v>3490</v>
      </c>
      <c r="C2293" s="14"/>
      <c r="D2293" s="14" t="s">
        <v>3488</v>
      </c>
      <c r="E2293" s="22" t="s">
        <v>2626</v>
      </c>
      <c r="F2293" s="15" t="s">
        <v>22</v>
      </c>
      <c r="G2293" s="14"/>
      <c r="H2293" s="58">
        <v>1</v>
      </c>
      <c r="I2293" s="14"/>
      <c r="J2293" s="14" t="s">
        <v>23</v>
      </c>
      <c r="K2293" s="14"/>
      <c r="L2293" s="14"/>
      <c r="M2293" s="14" t="s">
        <v>2651</v>
      </c>
      <c r="N2293" s="14" t="s">
        <v>25</v>
      </c>
      <c r="O2293" s="14"/>
      <c r="P2293" s="14"/>
      <c r="Q2293" s="14"/>
      <c r="R2293" s="14" t="s">
        <v>1824</v>
      </c>
    </row>
    <row r="2294" spans="1:18">
      <c r="A2294" s="12">
        <v>2356</v>
      </c>
      <c r="B2294" s="13" t="s">
        <v>3491</v>
      </c>
      <c r="C2294" s="31"/>
      <c r="D2294" s="16">
        <v>766</v>
      </c>
      <c r="E2294" s="22" t="s">
        <v>2626</v>
      </c>
      <c r="F2294" s="15" t="s">
        <v>22</v>
      </c>
      <c r="G2294" s="18"/>
      <c r="H2294" s="58"/>
      <c r="I2294" s="18"/>
      <c r="J2294" s="14" t="s">
        <v>23</v>
      </c>
      <c r="K2294" s="18"/>
      <c r="L2294" s="18"/>
      <c r="M2294" s="18"/>
      <c r="N2294" s="18"/>
      <c r="O2294" s="18"/>
      <c r="P2294" s="18"/>
      <c r="Q2294" s="18"/>
      <c r="R2294" s="18"/>
    </row>
    <row r="2295" spans="1:18">
      <c r="A2295" s="12">
        <v>685</v>
      </c>
      <c r="B2295" s="13" t="s">
        <v>3492</v>
      </c>
      <c r="C2295" s="14"/>
      <c r="D2295" s="22" t="s">
        <v>3493</v>
      </c>
      <c r="E2295" s="22" t="s">
        <v>2626</v>
      </c>
      <c r="F2295" s="15" t="s">
        <v>22</v>
      </c>
      <c r="G2295" s="21"/>
      <c r="H2295" s="58"/>
      <c r="I2295" s="14"/>
      <c r="J2295" s="14" t="s">
        <v>23</v>
      </c>
      <c r="K2295" s="14"/>
      <c r="L2295" s="14"/>
      <c r="M2295" s="22" t="s">
        <v>654</v>
      </c>
      <c r="N2295" s="14" t="s">
        <v>25</v>
      </c>
      <c r="O2295" s="14"/>
      <c r="P2295" s="14"/>
      <c r="Q2295" s="14"/>
      <c r="R2295" s="14" t="s">
        <v>1820</v>
      </c>
    </row>
    <row r="2296" spans="1:18">
      <c r="A2296" s="12">
        <v>1403</v>
      </c>
      <c r="B2296" s="13" t="s">
        <v>3494</v>
      </c>
      <c r="C2296" s="14"/>
      <c r="D2296" s="14" t="s">
        <v>3493</v>
      </c>
      <c r="E2296" s="22" t="s">
        <v>2626</v>
      </c>
      <c r="F2296" s="15" t="s">
        <v>22</v>
      </c>
      <c r="G2296" s="21"/>
      <c r="H2296" s="58">
        <v>1</v>
      </c>
      <c r="I2296" s="14"/>
      <c r="J2296" s="14" t="s">
        <v>23</v>
      </c>
      <c r="K2296" s="14"/>
      <c r="L2296" s="14"/>
      <c r="M2296" s="14" t="s">
        <v>1534</v>
      </c>
      <c r="N2296" s="14" t="s">
        <v>25</v>
      </c>
      <c r="O2296" s="14"/>
      <c r="P2296" s="14"/>
      <c r="Q2296" s="14"/>
      <c r="R2296" s="14" t="s">
        <v>2652</v>
      </c>
    </row>
    <row r="2297" spans="1:18">
      <c r="A2297" s="12">
        <v>2357</v>
      </c>
      <c r="B2297" s="13" t="s">
        <v>3495</v>
      </c>
      <c r="C2297" s="31"/>
      <c r="D2297" s="16">
        <v>767</v>
      </c>
      <c r="E2297" s="22" t="s">
        <v>2626</v>
      </c>
      <c r="F2297" s="15" t="s">
        <v>22</v>
      </c>
      <c r="G2297" s="18"/>
      <c r="H2297" s="58"/>
      <c r="I2297" s="18"/>
      <c r="J2297" s="14" t="s">
        <v>23</v>
      </c>
      <c r="K2297" s="18"/>
      <c r="L2297" s="18"/>
      <c r="M2297" s="18"/>
      <c r="N2297" s="18"/>
      <c r="O2297" s="18"/>
      <c r="P2297" s="18"/>
      <c r="Q2297" s="18"/>
      <c r="R2297" s="18"/>
    </row>
    <row r="2298" spans="1:18">
      <c r="A2298" s="12">
        <v>686</v>
      </c>
      <c r="B2298" s="13" t="s">
        <v>3496</v>
      </c>
      <c r="C2298" s="14"/>
      <c r="D2298" s="22" t="s">
        <v>3497</v>
      </c>
      <c r="E2298" s="14" t="s">
        <v>137</v>
      </c>
      <c r="F2298" s="15" t="s">
        <v>22</v>
      </c>
      <c r="G2298" s="21"/>
      <c r="H2298" s="58"/>
      <c r="I2298" s="14"/>
      <c r="J2298" s="14" t="s">
        <v>23</v>
      </c>
      <c r="K2298" s="14"/>
      <c r="L2298" s="14"/>
      <c r="M2298" s="22" t="s">
        <v>654</v>
      </c>
      <c r="N2298" s="14" t="s">
        <v>25</v>
      </c>
      <c r="O2298" s="14"/>
      <c r="P2298" s="14"/>
      <c r="Q2298" s="14"/>
      <c r="R2298" s="14" t="s">
        <v>1820</v>
      </c>
    </row>
    <row r="2299" spans="1:18">
      <c r="A2299" s="12">
        <v>1404</v>
      </c>
      <c r="B2299" s="13" t="s">
        <v>3498</v>
      </c>
      <c r="C2299" s="14"/>
      <c r="D2299" s="14" t="s">
        <v>3497</v>
      </c>
      <c r="E2299" s="14" t="s">
        <v>137</v>
      </c>
      <c r="F2299" s="15" t="s">
        <v>22</v>
      </c>
      <c r="G2299" s="21"/>
      <c r="H2299" s="58"/>
      <c r="I2299" s="14"/>
      <c r="J2299" s="14" t="s">
        <v>23</v>
      </c>
      <c r="K2299" s="14"/>
      <c r="L2299" s="14"/>
      <c r="M2299" s="14" t="s">
        <v>1534</v>
      </c>
      <c r="N2299" s="14" t="s">
        <v>25</v>
      </c>
      <c r="O2299" s="14"/>
      <c r="P2299" s="14"/>
      <c r="Q2299" s="14"/>
      <c r="R2299" s="14" t="s">
        <v>2652</v>
      </c>
    </row>
    <row r="2300" spans="1:18">
      <c r="A2300" s="12">
        <v>2358</v>
      </c>
      <c r="B2300" s="13" t="s">
        <v>3499</v>
      </c>
      <c r="C2300" s="31"/>
      <c r="D2300" s="16">
        <v>768</v>
      </c>
      <c r="E2300" s="14" t="s">
        <v>137</v>
      </c>
      <c r="F2300" s="15" t="s">
        <v>22</v>
      </c>
      <c r="G2300" s="18"/>
      <c r="H2300" s="58"/>
      <c r="I2300" s="18"/>
      <c r="J2300" s="14" t="s">
        <v>23</v>
      </c>
      <c r="K2300" s="18"/>
      <c r="L2300" s="18"/>
      <c r="M2300" s="18"/>
      <c r="N2300" s="18"/>
      <c r="O2300" s="18"/>
      <c r="P2300" s="18"/>
      <c r="Q2300" s="18"/>
      <c r="R2300" s="18"/>
    </row>
    <row r="2301" spans="1:18">
      <c r="A2301" s="12">
        <v>687</v>
      </c>
      <c r="B2301" s="13" t="s">
        <v>3500</v>
      </c>
      <c r="C2301" s="14"/>
      <c r="D2301" s="22" t="s">
        <v>3501</v>
      </c>
      <c r="E2301" s="22" t="s">
        <v>2626</v>
      </c>
      <c r="F2301" s="15" t="s">
        <v>22</v>
      </c>
      <c r="G2301" s="21"/>
      <c r="H2301" s="58"/>
      <c r="I2301" s="14"/>
      <c r="J2301" s="14" t="s">
        <v>23</v>
      </c>
      <c r="K2301" s="14"/>
      <c r="L2301" s="14"/>
      <c r="M2301" s="22" t="s">
        <v>654</v>
      </c>
      <c r="N2301" s="14" t="s">
        <v>25</v>
      </c>
      <c r="O2301" s="14"/>
      <c r="P2301" s="14"/>
      <c r="Q2301" s="14"/>
      <c r="R2301" s="14" t="s">
        <v>1820</v>
      </c>
    </row>
    <row r="2302" spans="1:18">
      <c r="A2302" s="12">
        <v>1405</v>
      </c>
      <c r="B2302" s="13" t="s">
        <v>3502</v>
      </c>
      <c r="C2302" s="14"/>
      <c r="D2302" s="14" t="s">
        <v>3501</v>
      </c>
      <c r="E2302" s="22" t="s">
        <v>2626</v>
      </c>
      <c r="F2302" s="15" t="s">
        <v>22</v>
      </c>
      <c r="G2302" s="21"/>
      <c r="H2302" s="58"/>
      <c r="I2302" s="14"/>
      <c r="J2302" s="14" t="s">
        <v>23</v>
      </c>
      <c r="K2302" s="14"/>
      <c r="L2302" s="14"/>
      <c r="M2302" s="14" t="s">
        <v>1534</v>
      </c>
      <c r="N2302" s="14" t="s">
        <v>25</v>
      </c>
      <c r="O2302" s="14"/>
      <c r="P2302" s="14"/>
      <c r="Q2302" s="14"/>
      <c r="R2302" s="14" t="s">
        <v>2652</v>
      </c>
    </row>
    <row r="2303" spans="1:18">
      <c r="A2303" s="12">
        <v>2359</v>
      </c>
      <c r="B2303" s="13" t="s">
        <v>3503</v>
      </c>
      <c r="C2303" s="31"/>
      <c r="D2303" s="16">
        <v>769</v>
      </c>
      <c r="E2303" s="22" t="s">
        <v>2626</v>
      </c>
      <c r="F2303" s="15" t="s">
        <v>22</v>
      </c>
      <c r="G2303" s="18"/>
      <c r="H2303" s="58"/>
      <c r="I2303" s="18"/>
      <c r="J2303" s="14" t="s">
        <v>23</v>
      </c>
      <c r="K2303" s="18"/>
      <c r="L2303" s="18"/>
      <c r="M2303" s="18"/>
      <c r="N2303" s="18"/>
      <c r="O2303" s="18"/>
      <c r="P2303" s="18"/>
      <c r="Q2303" s="18"/>
      <c r="R2303" s="18"/>
    </row>
    <row r="2304" spans="1:18">
      <c r="A2304" s="12">
        <v>688</v>
      </c>
      <c r="B2304" s="13" t="s">
        <v>3504</v>
      </c>
      <c r="C2304" s="14"/>
      <c r="D2304" s="22" t="s">
        <v>3505</v>
      </c>
      <c r="E2304" s="22" t="s">
        <v>3203</v>
      </c>
      <c r="F2304" s="15" t="s">
        <v>22</v>
      </c>
      <c r="G2304" s="21"/>
      <c r="H2304" s="58"/>
      <c r="I2304" s="14"/>
      <c r="J2304" s="14" t="s">
        <v>23</v>
      </c>
      <c r="K2304" s="14"/>
      <c r="L2304" s="14"/>
      <c r="M2304" s="22" t="s">
        <v>654</v>
      </c>
      <c r="N2304" s="14" t="s">
        <v>25</v>
      </c>
      <c r="O2304" s="14"/>
      <c r="P2304" s="14"/>
      <c r="Q2304" s="14"/>
      <c r="R2304" s="14" t="s">
        <v>1820</v>
      </c>
    </row>
    <row r="2305" spans="1:18">
      <c r="A2305" s="12">
        <v>1406</v>
      </c>
      <c r="B2305" s="13" t="s">
        <v>3506</v>
      </c>
      <c r="C2305" s="14"/>
      <c r="D2305" s="14" t="s">
        <v>3505</v>
      </c>
      <c r="E2305" s="22" t="s">
        <v>3203</v>
      </c>
      <c r="F2305" s="15" t="s">
        <v>22</v>
      </c>
      <c r="G2305" s="21"/>
      <c r="H2305" s="58"/>
      <c r="I2305" s="14"/>
      <c r="J2305" s="14" t="s">
        <v>23</v>
      </c>
      <c r="K2305" s="14"/>
      <c r="L2305" s="14"/>
      <c r="M2305" s="14" t="s">
        <v>1534</v>
      </c>
      <c r="N2305" s="14" t="s">
        <v>25</v>
      </c>
      <c r="O2305" s="14"/>
      <c r="P2305" s="14"/>
      <c r="Q2305" s="14"/>
      <c r="R2305" s="14" t="s">
        <v>2652</v>
      </c>
    </row>
    <row r="2306" spans="1:18">
      <c r="A2306" s="12">
        <v>2360</v>
      </c>
      <c r="B2306" s="13" t="s">
        <v>3507</v>
      </c>
      <c r="C2306" s="31"/>
      <c r="D2306" s="16">
        <v>770</v>
      </c>
      <c r="E2306" s="22" t="s">
        <v>3203</v>
      </c>
      <c r="F2306" s="15" t="s">
        <v>22</v>
      </c>
      <c r="G2306" s="18"/>
      <c r="H2306" s="58"/>
      <c r="I2306" s="18"/>
      <c r="J2306" s="14" t="s">
        <v>23</v>
      </c>
      <c r="K2306" s="18"/>
      <c r="L2306" s="18"/>
      <c r="M2306" s="18"/>
      <c r="N2306" s="18"/>
      <c r="O2306" s="18"/>
      <c r="P2306" s="18"/>
      <c r="Q2306" s="18"/>
      <c r="R2306" s="18"/>
    </row>
    <row r="2307" spans="1:18">
      <c r="A2307" s="12">
        <v>689</v>
      </c>
      <c r="B2307" s="13" t="s">
        <v>3508</v>
      </c>
      <c r="C2307" s="14"/>
      <c r="D2307" s="22" t="s">
        <v>3509</v>
      </c>
      <c r="E2307" s="14" t="s">
        <v>137</v>
      </c>
      <c r="F2307" s="15" t="s">
        <v>22</v>
      </c>
      <c r="G2307" s="21"/>
      <c r="H2307" s="58"/>
      <c r="I2307" s="14"/>
      <c r="J2307" s="14" t="s">
        <v>23</v>
      </c>
      <c r="K2307" s="14"/>
      <c r="L2307" s="14"/>
      <c r="M2307" s="22" t="s">
        <v>654</v>
      </c>
      <c r="N2307" s="14" t="s">
        <v>25</v>
      </c>
      <c r="O2307" s="14"/>
      <c r="P2307" s="14"/>
      <c r="Q2307" s="14"/>
      <c r="R2307" s="14" t="s">
        <v>1820</v>
      </c>
    </row>
    <row r="2308" spans="1:18">
      <c r="A2308" s="12">
        <v>1407</v>
      </c>
      <c r="B2308" s="13" t="s">
        <v>3510</v>
      </c>
      <c r="C2308" s="14"/>
      <c r="D2308" s="14" t="s">
        <v>3509</v>
      </c>
      <c r="E2308" s="14" t="s">
        <v>137</v>
      </c>
      <c r="F2308" s="15" t="s">
        <v>22</v>
      </c>
      <c r="G2308" s="21"/>
      <c r="H2308" s="58">
        <v>1</v>
      </c>
      <c r="I2308" s="14"/>
      <c r="J2308" s="14" t="s">
        <v>23</v>
      </c>
      <c r="K2308" s="14"/>
      <c r="L2308" s="14"/>
      <c r="M2308" s="14" t="s">
        <v>1534</v>
      </c>
      <c r="N2308" s="25" t="s">
        <v>37</v>
      </c>
      <c r="O2308" s="14" t="s">
        <v>3222</v>
      </c>
      <c r="P2308" s="14"/>
      <c r="Q2308" s="14"/>
      <c r="R2308" s="14" t="s">
        <v>2652</v>
      </c>
    </row>
    <row r="2309" spans="1:18">
      <c r="A2309" s="12">
        <v>2361</v>
      </c>
      <c r="B2309" s="13" t="s">
        <v>3511</v>
      </c>
      <c r="C2309" s="31"/>
      <c r="D2309" s="16">
        <v>771</v>
      </c>
      <c r="E2309" s="14" t="s">
        <v>137</v>
      </c>
      <c r="F2309" s="15" t="s">
        <v>22</v>
      </c>
      <c r="G2309" s="18"/>
      <c r="H2309" s="58"/>
      <c r="I2309" s="18"/>
      <c r="J2309" s="14" t="s">
        <v>23</v>
      </c>
      <c r="K2309" s="18"/>
      <c r="L2309" s="18"/>
      <c r="M2309" s="18"/>
      <c r="N2309" s="18"/>
      <c r="O2309" s="18"/>
      <c r="P2309" s="18"/>
      <c r="Q2309" s="18"/>
      <c r="R2309" s="18"/>
    </row>
    <row r="2310" spans="1:18">
      <c r="A2310" s="12">
        <v>690</v>
      </c>
      <c r="B2310" s="13" t="s">
        <v>3512</v>
      </c>
      <c r="C2310" s="14"/>
      <c r="D2310" s="22" t="s">
        <v>3513</v>
      </c>
      <c r="E2310" s="22" t="s">
        <v>172</v>
      </c>
      <c r="F2310" s="15" t="s">
        <v>22</v>
      </c>
      <c r="G2310" s="21"/>
      <c r="H2310" s="58"/>
      <c r="I2310" s="14"/>
      <c r="J2310" s="14" t="s">
        <v>23</v>
      </c>
      <c r="K2310" s="14"/>
      <c r="L2310" s="14"/>
      <c r="M2310" s="22" t="s">
        <v>654</v>
      </c>
      <c r="N2310" s="14" t="s">
        <v>25</v>
      </c>
      <c r="O2310" s="14"/>
      <c r="P2310" s="14"/>
      <c r="Q2310" s="14"/>
      <c r="R2310" s="14" t="s">
        <v>1820</v>
      </c>
    </row>
    <row r="2311" spans="1:18">
      <c r="A2311" s="12">
        <v>1408</v>
      </c>
      <c r="B2311" s="13" t="s">
        <v>3514</v>
      </c>
      <c r="C2311" s="14"/>
      <c r="D2311" s="14" t="s">
        <v>3513</v>
      </c>
      <c r="E2311" s="14" t="s">
        <v>172</v>
      </c>
      <c r="F2311" s="15" t="s">
        <v>22</v>
      </c>
      <c r="G2311" s="21"/>
      <c r="H2311" s="58">
        <v>1</v>
      </c>
      <c r="I2311" s="14"/>
      <c r="J2311" s="14" t="s">
        <v>23</v>
      </c>
      <c r="K2311" s="14"/>
      <c r="L2311" s="14"/>
      <c r="M2311" s="14" t="s">
        <v>1534</v>
      </c>
      <c r="N2311" s="14" t="s">
        <v>25</v>
      </c>
      <c r="O2311" s="14"/>
      <c r="P2311" s="14"/>
      <c r="Q2311" s="14"/>
      <c r="R2311" s="14" t="s">
        <v>2652</v>
      </c>
    </row>
    <row r="2312" spans="1:18">
      <c r="A2312" s="12">
        <v>2362</v>
      </c>
      <c r="B2312" s="13" t="s">
        <v>3515</v>
      </c>
      <c r="C2312" s="31"/>
      <c r="D2312" s="16">
        <v>772</v>
      </c>
      <c r="E2312" s="16" t="s">
        <v>172</v>
      </c>
      <c r="F2312" s="15" t="s">
        <v>22</v>
      </c>
      <c r="G2312" s="18"/>
      <c r="H2312" s="58"/>
      <c r="I2312" s="18"/>
      <c r="J2312" s="14" t="s">
        <v>23</v>
      </c>
      <c r="K2312" s="18"/>
      <c r="L2312" s="18"/>
      <c r="M2312" s="18"/>
      <c r="N2312" s="18"/>
      <c r="O2312" s="18"/>
      <c r="P2312" s="18"/>
      <c r="Q2312" s="18"/>
      <c r="R2312" s="18"/>
    </row>
    <row r="2313" spans="1:18">
      <c r="A2313" s="12">
        <v>691</v>
      </c>
      <c r="B2313" s="13" t="s">
        <v>3516</v>
      </c>
      <c r="C2313" s="14"/>
      <c r="D2313" s="22" t="s">
        <v>3517</v>
      </c>
      <c r="E2313" s="22" t="s">
        <v>2991</v>
      </c>
      <c r="F2313" s="15" t="s">
        <v>22</v>
      </c>
      <c r="G2313" s="21"/>
      <c r="H2313" s="58"/>
      <c r="I2313" s="14"/>
      <c r="J2313" s="14" t="s">
        <v>23</v>
      </c>
      <c r="K2313" s="14"/>
      <c r="L2313" s="14"/>
      <c r="M2313" s="22" t="s">
        <v>654</v>
      </c>
      <c r="N2313" s="25" t="s">
        <v>37</v>
      </c>
      <c r="O2313" s="14" t="s">
        <v>179</v>
      </c>
      <c r="P2313" s="14"/>
      <c r="Q2313" s="14"/>
      <c r="R2313" s="14" t="s">
        <v>1820</v>
      </c>
    </row>
    <row r="2314" spans="1:18">
      <c r="A2314" s="12">
        <v>1409</v>
      </c>
      <c r="B2314" s="13" t="s">
        <v>3518</v>
      </c>
      <c r="C2314" s="14"/>
      <c r="D2314" s="14" t="s">
        <v>3517</v>
      </c>
      <c r="E2314" s="14" t="s">
        <v>2991</v>
      </c>
      <c r="F2314" s="15" t="s">
        <v>22</v>
      </c>
      <c r="G2314" s="21"/>
      <c r="H2314" s="58">
        <v>1</v>
      </c>
      <c r="I2314" s="14"/>
      <c r="J2314" s="14" t="s">
        <v>23</v>
      </c>
      <c r="K2314" s="14"/>
      <c r="L2314" s="14"/>
      <c r="M2314" s="14" t="s">
        <v>1534</v>
      </c>
      <c r="N2314" s="14" t="s">
        <v>25</v>
      </c>
      <c r="O2314" s="14"/>
      <c r="P2314" s="14"/>
      <c r="Q2314" s="14"/>
      <c r="R2314" s="14" t="s">
        <v>2652</v>
      </c>
    </row>
    <row r="2315" spans="1:18">
      <c r="A2315" s="12">
        <v>2363</v>
      </c>
      <c r="B2315" s="13" t="s">
        <v>3519</v>
      </c>
      <c r="C2315" s="31"/>
      <c r="D2315" s="16">
        <v>773</v>
      </c>
      <c r="E2315" s="16" t="s">
        <v>2991</v>
      </c>
      <c r="F2315" s="15" t="s">
        <v>22</v>
      </c>
      <c r="G2315" s="18"/>
      <c r="H2315" s="58">
        <v>3</v>
      </c>
      <c r="I2315" s="16"/>
      <c r="J2315" s="14" t="s">
        <v>23</v>
      </c>
      <c r="K2315" s="18"/>
      <c r="L2315" s="18"/>
      <c r="M2315" s="18"/>
      <c r="N2315" s="18"/>
      <c r="O2315" s="18"/>
      <c r="P2315" s="18"/>
      <c r="Q2315" s="18"/>
      <c r="R2315" s="18"/>
    </row>
    <row r="2316" spans="1:18">
      <c r="A2316" s="12">
        <v>692</v>
      </c>
      <c r="B2316" s="13" t="s">
        <v>3520</v>
      </c>
      <c r="C2316" s="14"/>
      <c r="D2316" s="22" t="s">
        <v>3521</v>
      </c>
      <c r="E2316" s="14" t="s">
        <v>21</v>
      </c>
      <c r="F2316" s="15" t="s">
        <v>22</v>
      </c>
      <c r="G2316" s="21"/>
      <c r="H2316" s="58"/>
      <c r="I2316" s="14"/>
      <c r="J2316" s="14" t="s">
        <v>23</v>
      </c>
      <c r="K2316" s="14"/>
      <c r="L2316" s="14"/>
      <c r="M2316" s="22" t="s">
        <v>654</v>
      </c>
      <c r="N2316" s="14" t="s">
        <v>25</v>
      </c>
      <c r="O2316" s="14"/>
      <c r="P2316" s="14"/>
      <c r="Q2316" s="14"/>
      <c r="R2316" s="14" t="s">
        <v>1820</v>
      </c>
    </row>
    <row r="2317" spans="1:18">
      <c r="A2317" s="12">
        <v>1410</v>
      </c>
      <c r="B2317" s="13" t="s">
        <v>3522</v>
      </c>
      <c r="C2317" s="14"/>
      <c r="D2317" s="14" t="s">
        <v>3521</v>
      </c>
      <c r="E2317" s="14" t="s">
        <v>21</v>
      </c>
      <c r="F2317" s="15" t="s">
        <v>22</v>
      </c>
      <c r="G2317" s="21"/>
      <c r="H2317" s="58">
        <v>0</v>
      </c>
      <c r="I2317" s="14"/>
      <c r="J2317" s="14" t="s">
        <v>23</v>
      </c>
      <c r="K2317" s="14"/>
      <c r="L2317" s="14"/>
      <c r="M2317" s="14" t="s">
        <v>1534</v>
      </c>
      <c r="N2317" s="14" t="s">
        <v>25</v>
      </c>
      <c r="O2317" s="14"/>
      <c r="P2317" s="14"/>
      <c r="Q2317" s="14"/>
      <c r="R2317" s="14" t="s">
        <v>2652</v>
      </c>
    </row>
    <row r="2318" spans="1:18">
      <c r="A2318" s="12">
        <v>693</v>
      </c>
      <c r="B2318" s="13" t="s">
        <v>3523</v>
      </c>
      <c r="C2318" s="14"/>
      <c r="D2318" s="22" t="s">
        <v>3524</v>
      </c>
      <c r="E2318" s="22" t="s">
        <v>3162</v>
      </c>
      <c r="F2318" s="15" t="s">
        <v>22</v>
      </c>
      <c r="G2318" s="21"/>
      <c r="H2318" s="58"/>
      <c r="I2318" s="14"/>
      <c r="J2318" s="14" t="s">
        <v>23</v>
      </c>
      <c r="K2318" s="14"/>
      <c r="L2318" s="14"/>
      <c r="M2318" s="22" t="s">
        <v>654</v>
      </c>
      <c r="N2318" s="14" t="s">
        <v>25</v>
      </c>
      <c r="O2318" s="14"/>
      <c r="P2318" s="14"/>
      <c r="Q2318" s="14"/>
      <c r="R2318" s="14" t="s">
        <v>1820</v>
      </c>
    </row>
    <row r="2319" spans="1:18">
      <c r="A2319" s="12">
        <v>1411</v>
      </c>
      <c r="B2319" s="13" t="s">
        <v>3525</v>
      </c>
      <c r="C2319" s="14"/>
      <c r="D2319" s="14" t="s">
        <v>3524</v>
      </c>
      <c r="E2319" s="14" t="s">
        <v>3162</v>
      </c>
      <c r="F2319" s="15" t="s">
        <v>22</v>
      </c>
      <c r="G2319" s="21"/>
      <c r="H2319" s="58">
        <v>1</v>
      </c>
      <c r="I2319" s="14"/>
      <c r="J2319" s="14" t="s">
        <v>23</v>
      </c>
      <c r="K2319" s="14"/>
      <c r="L2319" s="14"/>
      <c r="M2319" s="14" t="s">
        <v>1534</v>
      </c>
      <c r="N2319" s="14" t="s">
        <v>25</v>
      </c>
      <c r="O2319" s="14"/>
      <c r="P2319" s="14"/>
      <c r="Q2319" s="14"/>
      <c r="R2319" s="14" t="s">
        <v>2652</v>
      </c>
    </row>
    <row r="2320" spans="1:18">
      <c r="A2320" s="12">
        <v>694</v>
      </c>
      <c r="B2320" s="13" t="s">
        <v>3526</v>
      </c>
      <c r="C2320" s="14"/>
      <c r="D2320" s="22" t="s">
        <v>3527</v>
      </c>
      <c r="E2320" s="22" t="s">
        <v>2991</v>
      </c>
      <c r="F2320" s="15" t="s">
        <v>22</v>
      </c>
      <c r="G2320" s="21"/>
      <c r="H2320" s="58"/>
      <c r="I2320" s="14"/>
      <c r="J2320" s="14" t="s">
        <v>23</v>
      </c>
      <c r="K2320" s="14"/>
      <c r="L2320" s="14"/>
      <c r="M2320" s="22" t="s">
        <v>654</v>
      </c>
      <c r="N2320" s="25" t="s">
        <v>37</v>
      </c>
      <c r="O2320" s="14" t="s">
        <v>38</v>
      </c>
      <c r="P2320" s="14"/>
      <c r="Q2320" s="14"/>
      <c r="R2320" s="14" t="s">
        <v>1820</v>
      </c>
    </row>
    <row r="2321" spans="1:18">
      <c r="A2321" s="12">
        <v>1412</v>
      </c>
      <c r="B2321" s="13" t="s">
        <v>3528</v>
      </c>
      <c r="C2321" s="14"/>
      <c r="D2321" s="14" t="s">
        <v>3527</v>
      </c>
      <c r="E2321" s="14" t="s">
        <v>2991</v>
      </c>
      <c r="F2321" s="15" t="s">
        <v>22</v>
      </c>
      <c r="G2321" s="21"/>
      <c r="H2321" s="58"/>
      <c r="I2321" s="14"/>
      <c r="J2321" s="14" t="s">
        <v>23</v>
      </c>
      <c r="K2321" s="14"/>
      <c r="L2321" s="14"/>
      <c r="M2321" s="14" t="s">
        <v>1534</v>
      </c>
      <c r="N2321" s="14" t="s">
        <v>25</v>
      </c>
      <c r="O2321" s="14"/>
      <c r="P2321" s="14"/>
      <c r="Q2321" s="14"/>
      <c r="R2321" s="14" t="s">
        <v>2652</v>
      </c>
    </row>
    <row r="2322" spans="1:18">
      <c r="A2322" s="12">
        <v>2364</v>
      </c>
      <c r="B2322" s="13" t="s">
        <v>3529</v>
      </c>
      <c r="C2322" s="31"/>
      <c r="D2322" s="16">
        <v>776</v>
      </c>
      <c r="E2322" s="16" t="s">
        <v>2991</v>
      </c>
      <c r="F2322" s="15" t="s">
        <v>22</v>
      </c>
      <c r="G2322" s="18"/>
      <c r="H2322" s="58"/>
      <c r="I2322" s="18"/>
      <c r="J2322" s="14" t="s">
        <v>23</v>
      </c>
      <c r="K2322" s="18"/>
      <c r="L2322" s="18"/>
      <c r="M2322" s="18"/>
      <c r="N2322" s="18"/>
      <c r="O2322" s="18"/>
      <c r="P2322" s="18"/>
      <c r="Q2322" s="18"/>
      <c r="R2322" s="18"/>
    </row>
    <row r="2323" spans="1:18">
      <c r="A2323" s="12">
        <v>695</v>
      </c>
      <c r="B2323" s="13" t="s">
        <v>3530</v>
      </c>
      <c r="C2323" s="14"/>
      <c r="D2323" s="22" t="s">
        <v>3531</v>
      </c>
      <c r="E2323" s="14" t="s">
        <v>137</v>
      </c>
      <c r="F2323" s="15" t="s">
        <v>22</v>
      </c>
      <c r="G2323" s="21"/>
      <c r="H2323" s="58"/>
      <c r="I2323" s="14"/>
      <c r="J2323" s="14" t="s">
        <v>23</v>
      </c>
      <c r="K2323" s="14"/>
      <c r="L2323" s="14"/>
      <c r="M2323" s="22" t="s">
        <v>654</v>
      </c>
      <c r="N2323" s="14" t="s">
        <v>25</v>
      </c>
      <c r="O2323" s="14"/>
      <c r="P2323" s="14"/>
      <c r="Q2323" s="14"/>
      <c r="R2323" s="14" t="s">
        <v>1820</v>
      </c>
    </row>
    <row r="2324" spans="1:18">
      <c r="A2324" s="12">
        <v>1413</v>
      </c>
      <c r="B2324" s="13" t="s">
        <v>3532</v>
      </c>
      <c r="C2324" s="14"/>
      <c r="D2324" s="14" t="s">
        <v>3531</v>
      </c>
      <c r="E2324" s="14" t="s">
        <v>137</v>
      </c>
      <c r="F2324" s="15" t="s">
        <v>22</v>
      </c>
      <c r="G2324" s="21"/>
      <c r="H2324" s="58"/>
      <c r="I2324" s="14"/>
      <c r="J2324" s="14" t="s">
        <v>23</v>
      </c>
      <c r="K2324" s="14"/>
      <c r="L2324" s="14"/>
      <c r="M2324" s="14" t="s">
        <v>1534</v>
      </c>
      <c r="N2324" s="25" t="s">
        <v>37</v>
      </c>
      <c r="O2324" s="14" t="s">
        <v>3533</v>
      </c>
      <c r="P2324" s="14"/>
      <c r="Q2324" s="14"/>
      <c r="R2324" s="14" t="s">
        <v>2652</v>
      </c>
    </row>
    <row r="2325" spans="1:18">
      <c r="A2325" s="12">
        <v>696</v>
      </c>
      <c r="B2325" s="13" t="s">
        <v>3534</v>
      </c>
      <c r="C2325" s="14"/>
      <c r="D2325" s="22" t="s">
        <v>3535</v>
      </c>
      <c r="E2325" s="22" t="s">
        <v>2355</v>
      </c>
      <c r="F2325" s="15" t="s">
        <v>22</v>
      </c>
      <c r="G2325" s="21"/>
      <c r="H2325" s="58"/>
      <c r="I2325" s="14"/>
      <c r="J2325" s="14" t="s">
        <v>23</v>
      </c>
      <c r="K2325" s="14"/>
      <c r="L2325" s="14"/>
      <c r="M2325" s="22" t="s">
        <v>654</v>
      </c>
      <c r="N2325" s="14" t="s">
        <v>25</v>
      </c>
      <c r="O2325" s="14"/>
      <c r="P2325" s="14"/>
      <c r="Q2325" s="14"/>
      <c r="R2325" s="14" t="s">
        <v>1820</v>
      </c>
    </row>
    <row r="2326" spans="1:18">
      <c r="A2326" s="12">
        <v>1414</v>
      </c>
      <c r="B2326" s="13" t="s">
        <v>3536</v>
      </c>
      <c r="C2326" s="14"/>
      <c r="D2326" s="14" t="s">
        <v>3535</v>
      </c>
      <c r="E2326" s="14" t="s">
        <v>2355</v>
      </c>
      <c r="F2326" s="15" t="s">
        <v>22</v>
      </c>
      <c r="G2326" s="21"/>
      <c r="H2326" s="58"/>
      <c r="I2326" s="14"/>
      <c r="J2326" s="14" t="s">
        <v>23</v>
      </c>
      <c r="K2326" s="14"/>
      <c r="L2326" s="14"/>
      <c r="M2326" s="14" t="s">
        <v>1534</v>
      </c>
      <c r="N2326" s="14" t="s">
        <v>25</v>
      </c>
      <c r="O2326" s="14"/>
      <c r="P2326" s="14"/>
      <c r="Q2326" s="14"/>
      <c r="R2326" s="14" t="s">
        <v>2652</v>
      </c>
    </row>
    <row r="2327" spans="1:18">
      <c r="A2327" s="12">
        <v>2365</v>
      </c>
      <c r="B2327" s="13" t="s">
        <v>3537</v>
      </c>
      <c r="C2327" s="31"/>
      <c r="D2327" s="16">
        <v>778</v>
      </c>
      <c r="E2327" s="14" t="s">
        <v>2355</v>
      </c>
      <c r="F2327" s="15" t="s">
        <v>22</v>
      </c>
      <c r="G2327" s="18"/>
      <c r="H2327" s="58"/>
      <c r="I2327" s="18"/>
      <c r="J2327" s="14" t="s">
        <v>23</v>
      </c>
      <c r="K2327" s="18"/>
      <c r="L2327" s="18"/>
      <c r="M2327" s="18"/>
      <c r="N2327" s="18"/>
      <c r="O2327" s="18"/>
      <c r="P2327" s="18"/>
      <c r="Q2327" s="18"/>
      <c r="R2327" s="18"/>
    </row>
    <row r="2328" spans="1:18">
      <c r="A2328" s="12">
        <v>697</v>
      </c>
      <c r="B2328" s="13" t="s">
        <v>3538</v>
      </c>
      <c r="C2328" s="14"/>
      <c r="D2328" s="22" t="s">
        <v>3539</v>
      </c>
      <c r="E2328" s="14" t="s">
        <v>137</v>
      </c>
      <c r="F2328" s="15" t="s">
        <v>22</v>
      </c>
      <c r="G2328" s="21"/>
      <c r="H2328" s="58"/>
      <c r="I2328" s="14"/>
      <c r="J2328" s="14" t="s">
        <v>23</v>
      </c>
      <c r="K2328" s="14"/>
      <c r="L2328" s="14"/>
      <c r="M2328" s="22" t="s">
        <v>654</v>
      </c>
      <c r="N2328" s="14" t="s">
        <v>25</v>
      </c>
      <c r="O2328" s="14"/>
      <c r="P2328" s="14"/>
      <c r="Q2328" s="14"/>
      <c r="R2328" s="14" t="s">
        <v>1820</v>
      </c>
    </row>
    <row r="2329" spans="1:18">
      <c r="A2329" s="12">
        <v>1415</v>
      </c>
      <c r="B2329" s="13" t="s">
        <v>3540</v>
      </c>
      <c r="C2329" s="14"/>
      <c r="D2329" s="14" t="s">
        <v>3539</v>
      </c>
      <c r="E2329" s="14" t="s">
        <v>137</v>
      </c>
      <c r="F2329" s="15" t="s">
        <v>22</v>
      </c>
      <c r="G2329" s="21"/>
      <c r="H2329" s="58"/>
      <c r="I2329" s="14"/>
      <c r="J2329" s="14" t="s">
        <v>23</v>
      </c>
      <c r="K2329" s="14"/>
      <c r="L2329" s="14"/>
      <c r="M2329" s="14" t="s">
        <v>1534</v>
      </c>
      <c r="N2329" s="14" t="s">
        <v>25</v>
      </c>
      <c r="O2329" s="14"/>
      <c r="P2329" s="14"/>
      <c r="Q2329" s="14"/>
      <c r="R2329" s="14" t="s">
        <v>2652</v>
      </c>
    </row>
    <row r="2330" spans="1:18">
      <c r="A2330" s="12">
        <v>2366</v>
      </c>
      <c r="B2330" s="13" t="s">
        <v>3541</v>
      </c>
      <c r="C2330" s="31"/>
      <c r="D2330" s="16">
        <v>779</v>
      </c>
      <c r="E2330" s="14" t="s">
        <v>137</v>
      </c>
      <c r="F2330" s="15" t="s">
        <v>22</v>
      </c>
      <c r="G2330" s="18"/>
      <c r="H2330" s="58"/>
      <c r="I2330" s="18"/>
      <c r="J2330" s="14" t="s">
        <v>23</v>
      </c>
      <c r="K2330" s="18"/>
      <c r="L2330" s="18"/>
      <c r="M2330" s="18"/>
      <c r="N2330" s="18"/>
      <c r="O2330" s="18"/>
      <c r="P2330" s="18"/>
      <c r="Q2330" s="18"/>
      <c r="R2330" s="18"/>
    </row>
    <row r="2331" spans="1:18">
      <c r="A2331" s="12">
        <v>698</v>
      </c>
      <c r="B2331" s="13" t="s">
        <v>3542</v>
      </c>
      <c r="C2331" s="14"/>
      <c r="D2331" s="22" t="s">
        <v>3543</v>
      </c>
      <c r="E2331" s="14" t="s">
        <v>137</v>
      </c>
      <c r="F2331" s="15" t="s">
        <v>22</v>
      </c>
      <c r="G2331" s="21"/>
      <c r="H2331" s="58"/>
      <c r="I2331" s="14"/>
      <c r="J2331" s="14" t="s">
        <v>23</v>
      </c>
      <c r="K2331" s="14"/>
      <c r="L2331" s="14"/>
      <c r="M2331" s="22" t="s">
        <v>654</v>
      </c>
      <c r="N2331" s="14" t="s">
        <v>25</v>
      </c>
      <c r="O2331" s="14"/>
      <c r="P2331" s="14"/>
      <c r="Q2331" s="14"/>
      <c r="R2331" s="14" t="s">
        <v>1820</v>
      </c>
    </row>
    <row r="2332" spans="1:18">
      <c r="A2332" s="12">
        <v>1416</v>
      </c>
      <c r="B2332" s="13" t="s">
        <v>3544</v>
      </c>
      <c r="C2332" s="14"/>
      <c r="D2332" s="14" t="s">
        <v>3543</v>
      </c>
      <c r="E2332" s="14" t="s">
        <v>137</v>
      </c>
      <c r="F2332" s="15" t="s">
        <v>22</v>
      </c>
      <c r="G2332" s="21"/>
      <c r="H2332" s="58"/>
      <c r="I2332" s="14"/>
      <c r="J2332" s="14" t="s">
        <v>23</v>
      </c>
      <c r="K2332" s="14"/>
      <c r="L2332" s="14"/>
      <c r="M2332" s="14" t="s">
        <v>1534</v>
      </c>
      <c r="N2332" s="14" t="s">
        <v>25</v>
      </c>
      <c r="O2332" s="14"/>
      <c r="P2332" s="14"/>
      <c r="Q2332" s="14"/>
      <c r="R2332" s="14" t="s">
        <v>2652</v>
      </c>
    </row>
    <row r="2333" spans="1:18">
      <c r="A2333" s="12">
        <v>2367</v>
      </c>
      <c r="B2333" s="13" t="s">
        <v>3545</v>
      </c>
      <c r="C2333" s="31"/>
      <c r="D2333" s="16">
        <v>780</v>
      </c>
      <c r="E2333" s="14" t="s">
        <v>137</v>
      </c>
      <c r="F2333" s="15" t="s">
        <v>22</v>
      </c>
      <c r="G2333" s="18"/>
      <c r="H2333" s="58"/>
      <c r="I2333" s="18"/>
      <c r="J2333" s="14" t="s">
        <v>23</v>
      </c>
      <c r="K2333" s="18"/>
      <c r="L2333" s="18"/>
      <c r="M2333" s="18"/>
      <c r="N2333" s="18"/>
      <c r="O2333" s="18"/>
      <c r="P2333" s="18"/>
      <c r="Q2333" s="18"/>
      <c r="R2333" s="18"/>
    </row>
    <row r="2334" spans="1:18">
      <c r="A2334" s="12">
        <v>699</v>
      </c>
      <c r="B2334" s="13" t="s">
        <v>3546</v>
      </c>
      <c r="C2334" s="14"/>
      <c r="D2334" s="22" t="s">
        <v>3547</v>
      </c>
      <c r="E2334" s="22" t="s">
        <v>321</v>
      </c>
      <c r="F2334" s="15" t="s">
        <v>22</v>
      </c>
      <c r="G2334" s="21"/>
      <c r="H2334" s="58"/>
      <c r="I2334" s="14"/>
      <c r="J2334" s="14" t="s">
        <v>23</v>
      </c>
      <c r="K2334" s="14"/>
      <c r="L2334" s="14"/>
      <c r="M2334" s="22" t="s">
        <v>654</v>
      </c>
      <c r="N2334" s="14" t="s">
        <v>25</v>
      </c>
      <c r="O2334" s="14"/>
      <c r="P2334" s="14"/>
      <c r="Q2334" s="14"/>
      <c r="R2334" s="14" t="s">
        <v>1820</v>
      </c>
    </row>
    <row r="2335" spans="1:18">
      <c r="A2335" s="12">
        <v>1417</v>
      </c>
      <c r="B2335" s="13" t="s">
        <v>3548</v>
      </c>
      <c r="C2335" s="14"/>
      <c r="D2335" s="14" t="s">
        <v>3547</v>
      </c>
      <c r="E2335" s="14" t="s">
        <v>321</v>
      </c>
      <c r="F2335" s="15" t="s">
        <v>22</v>
      </c>
      <c r="G2335" s="21"/>
      <c r="H2335" s="58"/>
      <c r="I2335" s="14"/>
      <c r="J2335" s="14" t="s">
        <v>23</v>
      </c>
      <c r="K2335" s="14"/>
      <c r="L2335" s="14"/>
      <c r="M2335" s="14" t="s">
        <v>1534</v>
      </c>
      <c r="N2335" s="14" t="s">
        <v>25</v>
      </c>
      <c r="O2335" s="14"/>
      <c r="P2335" s="14"/>
      <c r="Q2335" s="14"/>
      <c r="R2335" s="14" t="s">
        <v>2652</v>
      </c>
    </row>
    <row r="2336" spans="1:18">
      <c r="A2336" s="12">
        <v>2368</v>
      </c>
      <c r="B2336" s="13" t="s">
        <v>3549</v>
      </c>
      <c r="C2336" s="31"/>
      <c r="D2336" s="16">
        <v>781</v>
      </c>
      <c r="E2336" s="16" t="s">
        <v>321</v>
      </c>
      <c r="F2336" s="15" t="s">
        <v>22</v>
      </c>
      <c r="G2336" s="18"/>
      <c r="H2336" s="58"/>
      <c r="I2336" s="18"/>
      <c r="J2336" s="14" t="s">
        <v>23</v>
      </c>
      <c r="K2336" s="18"/>
      <c r="L2336" s="18"/>
      <c r="M2336" s="18"/>
      <c r="N2336" s="18"/>
      <c r="O2336" s="18"/>
      <c r="P2336" s="18"/>
      <c r="Q2336" s="18"/>
      <c r="R2336" s="18"/>
    </row>
    <row r="2337" spans="1:18">
      <c r="A2337" s="12">
        <v>700</v>
      </c>
      <c r="B2337" s="13" t="s">
        <v>3550</v>
      </c>
      <c r="C2337" s="14"/>
      <c r="D2337" s="22" t="s">
        <v>3551</v>
      </c>
      <c r="E2337" s="14" t="s">
        <v>137</v>
      </c>
      <c r="F2337" s="15" t="s">
        <v>22</v>
      </c>
      <c r="G2337" s="21"/>
      <c r="H2337" s="58"/>
      <c r="I2337" s="14"/>
      <c r="J2337" s="14" t="s">
        <v>23</v>
      </c>
      <c r="K2337" s="14"/>
      <c r="L2337" s="14"/>
      <c r="M2337" s="22" t="s">
        <v>654</v>
      </c>
      <c r="N2337" s="25" t="s">
        <v>289</v>
      </c>
      <c r="O2337" s="14" t="s">
        <v>138</v>
      </c>
      <c r="P2337" s="14"/>
      <c r="Q2337" s="14"/>
      <c r="R2337" s="14" t="s">
        <v>1820</v>
      </c>
    </row>
    <row r="2338" spans="1:18">
      <c r="A2338" s="12">
        <v>1418</v>
      </c>
      <c r="B2338" s="13" t="s">
        <v>3552</v>
      </c>
      <c r="C2338" s="14"/>
      <c r="D2338" s="14" t="s">
        <v>3551</v>
      </c>
      <c r="E2338" s="14" t="s">
        <v>137</v>
      </c>
      <c r="F2338" s="15" t="s">
        <v>22</v>
      </c>
      <c r="G2338" s="21"/>
      <c r="H2338" s="58"/>
      <c r="I2338" s="14"/>
      <c r="J2338" s="14" t="s">
        <v>23</v>
      </c>
      <c r="K2338" s="14"/>
      <c r="L2338" s="14"/>
      <c r="M2338" s="14" t="s">
        <v>1534</v>
      </c>
      <c r="N2338" s="25" t="s">
        <v>37</v>
      </c>
      <c r="O2338" s="14" t="s">
        <v>3553</v>
      </c>
      <c r="P2338" s="14"/>
      <c r="Q2338" s="14"/>
      <c r="R2338" s="14" t="s">
        <v>2652</v>
      </c>
    </row>
    <row r="2339" spans="1:18">
      <c r="A2339" s="12">
        <v>2369</v>
      </c>
      <c r="B2339" s="13" t="s">
        <v>3554</v>
      </c>
      <c r="C2339" s="31"/>
      <c r="D2339" s="16">
        <v>782</v>
      </c>
      <c r="E2339" s="14" t="s">
        <v>137</v>
      </c>
      <c r="F2339" s="15" t="s">
        <v>22</v>
      </c>
      <c r="G2339" s="18"/>
      <c r="H2339" s="58"/>
      <c r="I2339" s="18"/>
      <c r="J2339" s="14" t="s">
        <v>23</v>
      </c>
      <c r="K2339" s="18"/>
      <c r="L2339" s="18"/>
      <c r="M2339" s="18"/>
      <c r="N2339" s="18"/>
      <c r="O2339" s="18"/>
      <c r="P2339" s="18"/>
      <c r="Q2339" s="18"/>
      <c r="R2339" s="18"/>
    </row>
    <row r="2340" spans="1:18">
      <c r="A2340" s="12">
        <v>701</v>
      </c>
      <c r="B2340" s="13" t="s">
        <v>3555</v>
      </c>
      <c r="C2340" s="14"/>
      <c r="D2340" s="22" t="s">
        <v>3556</v>
      </c>
      <c r="E2340" s="14" t="s">
        <v>137</v>
      </c>
      <c r="F2340" s="15" t="s">
        <v>22</v>
      </c>
      <c r="G2340" s="21"/>
      <c r="H2340" s="58"/>
      <c r="I2340" s="14"/>
      <c r="J2340" s="14" t="s">
        <v>23</v>
      </c>
      <c r="K2340" s="14"/>
      <c r="L2340" s="14"/>
      <c r="M2340" s="22" t="s">
        <v>654</v>
      </c>
      <c r="N2340" s="14" t="s">
        <v>25</v>
      </c>
      <c r="O2340" s="14"/>
      <c r="P2340" s="14"/>
      <c r="Q2340" s="14"/>
      <c r="R2340" s="14" t="s">
        <v>1820</v>
      </c>
    </row>
    <row r="2341" spans="1:18">
      <c r="A2341" s="12">
        <v>1419</v>
      </c>
      <c r="B2341" s="13" t="s">
        <v>3557</v>
      </c>
      <c r="C2341" s="14"/>
      <c r="D2341" s="14" t="s">
        <v>3556</v>
      </c>
      <c r="E2341" s="14" t="s">
        <v>137</v>
      </c>
      <c r="F2341" s="15" t="s">
        <v>22</v>
      </c>
      <c r="G2341" s="21"/>
      <c r="H2341" s="58">
        <v>1</v>
      </c>
      <c r="I2341" s="14"/>
      <c r="J2341" s="14" t="s">
        <v>23</v>
      </c>
      <c r="K2341" s="14"/>
      <c r="L2341" s="14"/>
      <c r="M2341" s="14" t="s">
        <v>1534</v>
      </c>
      <c r="N2341" s="14" t="s">
        <v>25</v>
      </c>
      <c r="O2341" s="14"/>
      <c r="P2341" s="14"/>
      <c r="Q2341" s="14"/>
      <c r="R2341" s="14" t="s">
        <v>2652</v>
      </c>
    </row>
    <row r="2342" spans="1:18">
      <c r="A2342" s="12">
        <v>2370</v>
      </c>
      <c r="B2342" s="13" t="s">
        <v>3558</v>
      </c>
      <c r="C2342" s="31"/>
      <c r="D2342" s="16">
        <v>783</v>
      </c>
      <c r="E2342" s="14" t="s">
        <v>137</v>
      </c>
      <c r="F2342" s="15" t="s">
        <v>22</v>
      </c>
      <c r="G2342" s="18"/>
      <c r="H2342" s="58"/>
      <c r="I2342" s="18"/>
      <c r="J2342" s="14" t="s">
        <v>23</v>
      </c>
      <c r="K2342" s="18"/>
      <c r="L2342" s="18"/>
      <c r="M2342" s="18"/>
      <c r="N2342" s="18"/>
      <c r="O2342" s="18"/>
      <c r="P2342" s="18"/>
      <c r="Q2342" s="18"/>
      <c r="R2342" s="18"/>
    </row>
    <row r="2343" spans="1:18">
      <c r="A2343" s="12">
        <v>702</v>
      </c>
      <c r="B2343" s="13" t="s">
        <v>3559</v>
      </c>
      <c r="C2343" s="14"/>
      <c r="D2343" s="22" t="s">
        <v>3560</v>
      </c>
      <c r="E2343" s="22" t="s">
        <v>2991</v>
      </c>
      <c r="F2343" s="15" t="s">
        <v>22</v>
      </c>
      <c r="G2343" s="21"/>
      <c r="H2343" s="58"/>
      <c r="I2343" s="14"/>
      <c r="J2343" s="14" t="s">
        <v>23</v>
      </c>
      <c r="K2343" s="14"/>
      <c r="L2343" s="14"/>
      <c r="M2343" s="22" t="s">
        <v>654</v>
      </c>
      <c r="N2343" s="14" t="s">
        <v>25</v>
      </c>
      <c r="O2343" s="14"/>
      <c r="P2343" s="14"/>
      <c r="Q2343" s="14"/>
      <c r="R2343" s="14" t="s">
        <v>1820</v>
      </c>
    </row>
    <row r="2344" spans="1:18">
      <c r="A2344" s="12">
        <v>1420</v>
      </c>
      <c r="B2344" s="13" t="s">
        <v>3561</v>
      </c>
      <c r="C2344" s="14"/>
      <c r="D2344" s="14" t="s">
        <v>3560</v>
      </c>
      <c r="E2344" s="14" t="s">
        <v>2991</v>
      </c>
      <c r="F2344" s="15" t="s">
        <v>22</v>
      </c>
      <c r="G2344" s="21"/>
      <c r="H2344" s="58">
        <v>1</v>
      </c>
      <c r="I2344" s="14"/>
      <c r="J2344" s="14" t="s">
        <v>23</v>
      </c>
      <c r="K2344" s="14"/>
      <c r="L2344" s="14"/>
      <c r="M2344" s="14" t="s">
        <v>1534</v>
      </c>
      <c r="N2344" s="14" t="s">
        <v>25</v>
      </c>
      <c r="O2344" s="14"/>
      <c r="P2344" s="14"/>
      <c r="Q2344" s="14"/>
      <c r="R2344" s="14" t="s">
        <v>2652</v>
      </c>
    </row>
    <row r="2345" spans="1:18">
      <c r="A2345" s="12">
        <v>2371</v>
      </c>
      <c r="B2345" s="13" t="s">
        <v>3562</v>
      </c>
      <c r="C2345" s="31"/>
      <c r="D2345" s="16">
        <v>784</v>
      </c>
      <c r="E2345" s="16" t="s">
        <v>2991</v>
      </c>
      <c r="F2345" s="15" t="s">
        <v>22</v>
      </c>
      <c r="G2345" s="18"/>
      <c r="H2345" s="58"/>
      <c r="I2345" s="18"/>
      <c r="J2345" s="14" t="s">
        <v>23</v>
      </c>
      <c r="K2345" s="18"/>
      <c r="L2345" s="18"/>
      <c r="M2345" s="18"/>
      <c r="N2345" s="18"/>
      <c r="O2345" s="18"/>
      <c r="P2345" s="18"/>
      <c r="Q2345" s="18"/>
      <c r="R2345" s="18"/>
    </row>
    <row r="2346" spans="1:18">
      <c r="A2346" s="12">
        <v>703</v>
      </c>
      <c r="B2346" s="13" t="s">
        <v>3563</v>
      </c>
      <c r="C2346" s="14"/>
      <c r="D2346" s="22" t="s">
        <v>3564</v>
      </c>
      <c r="E2346" s="22" t="s">
        <v>172</v>
      </c>
      <c r="F2346" s="15" t="s">
        <v>22</v>
      </c>
      <c r="G2346" s="21"/>
      <c r="H2346" s="58"/>
      <c r="I2346" s="14"/>
      <c r="J2346" s="14" t="s">
        <v>23</v>
      </c>
      <c r="K2346" s="14"/>
      <c r="L2346" s="14"/>
      <c r="M2346" s="22" t="s">
        <v>654</v>
      </c>
      <c r="N2346" s="14" t="s">
        <v>25</v>
      </c>
      <c r="O2346" s="14"/>
      <c r="P2346" s="14"/>
      <c r="Q2346" s="14"/>
      <c r="R2346" s="14" t="s">
        <v>1820</v>
      </c>
    </row>
    <row r="2347" spans="1:18">
      <c r="A2347" s="12">
        <v>1421</v>
      </c>
      <c r="B2347" s="13" t="s">
        <v>3565</v>
      </c>
      <c r="C2347" s="14"/>
      <c r="D2347" s="14" t="s">
        <v>3564</v>
      </c>
      <c r="E2347" s="14" t="s">
        <v>172</v>
      </c>
      <c r="F2347" s="15" t="s">
        <v>22</v>
      </c>
      <c r="G2347" s="21"/>
      <c r="H2347" s="58"/>
      <c r="I2347" s="14"/>
      <c r="J2347" s="14" t="s">
        <v>23</v>
      </c>
      <c r="K2347" s="14"/>
      <c r="L2347" s="14"/>
      <c r="M2347" s="14" t="s">
        <v>1534</v>
      </c>
      <c r="N2347" s="14" t="s">
        <v>25</v>
      </c>
      <c r="O2347" s="14"/>
      <c r="P2347" s="14"/>
      <c r="Q2347" s="14"/>
      <c r="R2347" s="14" t="s">
        <v>2652</v>
      </c>
    </row>
    <row r="2348" spans="1:18">
      <c r="A2348" s="12">
        <v>2372</v>
      </c>
      <c r="B2348" s="13" t="s">
        <v>3566</v>
      </c>
      <c r="C2348" s="31"/>
      <c r="D2348" s="16">
        <v>785</v>
      </c>
      <c r="E2348" s="16" t="s">
        <v>172</v>
      </c>
      <c r="F2348" s="15" t="s">
        <v>22</v>
      </c>
      <c r="G2348" s="18"/>
      <c r="H2348" s="58"/>
      <c r="I2348" s="18"/>
      <c r="J2348" s="14" t="s">
        <v>23</v>
      </c>
      <c r="K2348" s="18"/>
      <c r="L2348" s="18"/>
      <c r="M2348" s="18"/>
      <c r="N2348" s="18"/>
      <c r="O2348" s="18"/>
      <c r="P2348" s="18"/>
      <c r="Q2348" s="18"/>
      <c r="R2348" s="18"/>
    </row>
    <row r="2349" spans="1:18">
      <c r="A2349" s="12">
        <v>704</v>
      </c>
      <c r="B2349" s="13" t="s">
        <v>3567</v>
      </c>
      <c r="C2349" s="14"/>
      <c r="D2349" s="22" t="s">
        <v>3568</v>
      </c>
      <c r="E2349" s="22" t="s">
        <v>2991</v>
      </c>
      <c r="F2349" s="15" t="s">
        <v>22</v>
      </c>
      <c r="G2349" s="21"/>
      <c r="H2349" s="58"/>
      <c r="I2349" s="14"/>
      <c r="J2349" s="14" t="s">
        <v>23</v>
      </c>
      <c r="K2349" s="14"/>
      <c r="L2349" s="14"/>
      <c r="M2349" s="22" t="s">
        <v>654</v>
      </c>
      <c r="N2349" s="14" t="s">
        <v>25</v>
      </c>
      <c r="O2349" s="14"/>
      <c r="P2349" s="14"/>
      <c r="Q2349" s="14"/>
      <c r="R2349" s="14" t="s">
        <v>1820</v>
      </c>
    </row>
    <row r="2350" spans="1:18">
      <c r="A2350" s="12">
        <v>1422</v>
      </c>
      <c r="B2350" s="13" t="s">
        <v>3569</v>
      </c>
      <c r="C2350" s="14"/>
      <c r="D2350" s="14" t="s">
        <v>3568</v>
      </c>
      <c r="E2350" s="14" t="s">
        <v>2991</v>
      </c>
      <c r="F2350" s="15" t="s">
        <v>22</v>
      </c>
      <c r="G2350" s="21"/>
      <c r="H2350" s="58">
        <v>1</v>
      </c>
      <c r="I2350" s="14"/>
      <c r="J2350" s="14" t="s">
        <v>23</v>
      </c>
      <c r="K2350" s="14"/>
      <c r="L2350" s="14"/>
      <c r="M2350" s="14" t="s">
        <v>1534</v>
      </c>
      <c r="N2350" s="14" t="s">
        <v>25</v>
      </c>
      <c r="O2350" s="14"/>
      <c r="P2350" s="14"/>
      <c r="Q2350" s="14"/>
      <c r="R2350" s="14" t="s">
        <v>2652</v>
      </c>
    </row>
    <row r="2351" spans="1:18">
      <c r="A2351" s="12">
        <v>2373</v>
      </c>
      <c r="B2351" s="13" t="s">
        <v>3570</v>
      </c>
      <c r="C2351" s="31"/>
      <c r="D2351" s="16">
        <v>786</v>
      </c>
      <c r="E2351" s="16" t="s">
        <v>2991</v>
      </c>
      <c r="F2351" s="15" t="s">
        <v>22</v>
      </c>
      <c r="G2351" s="18"/>
      <c r="H2351" s="58"/>
      <c r="I2351" s="18"/>
      <c r="J2351" s="14" t="s">
        <v>23</v>
      </c>
      <c r="K2351" s="18"/>
      <c r="L2351" s="18"/>
      <c r="M2351" s="18"/>
      <c r="N2351" s="18"/>
      <c r="O2351" s="18"/>
      <c r="P2351" s="18"/>
      <c r="Q2351" s="18"/>
      <c r="R2351" s="18"/>
    </row>
    <row r="2352" spans="1:18">
      <c r="A2352" s="12">
        <v>705</v>
      </c>
      <c r="B2352" s="13" t="s">
        <v>3571</v>
      </c>
      <c r="C2352" s="14"/>
      <c r="D2352" s="22" t="s">
        <v>3572</v>
      </c>
      <c r="E2352" s="22" t="s">
        <v>768</v>
      </c>
      <c r="F2352" s="15" t="s">
        <v>22</v>
      </c>
      <c r="G2352" s="21"/>
      <c r="H2352" s="58"/>
      <c r="I2352" s="14"/>
      <c r="J2352" s="14" t="s">
        <v>23</v>
      </c>
      <c r="K2352" s="14"/>
      <c r="L2352" s="14"/>
      <c r="M2352" s="22" t="s">
        <v>654</v>
      </c>
      <c r="N2352" s="14" t="s">
        <v>25</v>
      </c>
      <c r="O2352" s="14"/>
      <c r="P2352" s="14"/>
      <c r="Q2352" s="14"/>
      <c r="R2352" s="14" t="s">
        <v>1820</v>
      </c>
    </row>
    <row r="2353" spans="1:18">
      <c r="A2353" s="12">
        <v>1423</v>
      </c>
      <c r="B2353" s="13" t="s">
        <v>3573</v>
      </c>
      <c r="C2353" s="14"/>
      <c r="D2353" s="14" t="s">
        <v>3572</v>
      </c>
      <c r="E2353" s="22" t="s">
        <v>768</v>
      </c>
      <c r="F2353" s="15" t="s">
        <v>22</v>
      </c>
      <c r="G2353" s="21"/>
      <c r="H2353" s="58">
        <v>1</v>
      </c>
      <c r="I2353" s="14"/>
      <c r="J2353" s="14" t="s">
        <v>23</v>
      </c>
      <c r="K2353" s="14"/>
      <c r="L2353" s="14"/>
      <c r="M2353" s="14" t="s">
        <v>1534</v>
      </c>
      <c r="N2353" s="14" t="s">
        <v>25</v>
      </c>
      <c r="O2353" s="14"/>
      <c r="P2353" s="14"/>
      <c r="Q2353" s="14"/>
      <c r="R2353" s="14" t="s">
        <v>2652</v>
      </c>
    </row>
    <row r="2354" spans="1:18">
      <c r="A2354" s="12">
        <v>2374</v>
      </c>
      <c r="B2354" s="13" t="s">
        <v>3574</v>
      </c>
      <c r="C2354" s="31"/>
      <c r="D2354" s="16">
        <v>787</v>
      </c>
      <c r="E2354" s="22" t="s">
        <v>768</v>
      </c>
      <c r="F2354" s="15" t="s">
        <v>22</v>
      </c>
      <c r="G2354" s="18"/>
      <c r="H2354" s="58"/>
      <c r="I2354" s="18"/>
      <c r="J2354" s="14" t="s">
        <v>23</v>
      </c>
      <c r="K2354" s="18"/>
      <c r="L2354" s="18"/>
      <c r="M2354" s="18"/>
      <c r="N2354" s="18"/>
      <c r="O2354" s="18"/>
      <c r="P2354" s="18"/>
      <c r="Q2354" s="18"/>
      <c r="R2354" s="18"/>
    </row>
    <row r="2355" spans="1:18">
      <c r="A2355" s="12">
        <v>706</v>
      </c>
      <c r="B2355" s="13" t="s">
        <v>3575</v>
      </c>
      <c r="C2355" s="14"/>
      <c r="D2355" s="22" t="s">
        <v>3576</v>
      </c>
      <c r="E2355" s="22" t="s">
        <v>2991</v>
      </c>
      <c r="F2355" s="15" t="s">
        <v>22</v>
      </c>
      <c r="G2355" s="21"/>
      <c r="H2355" s="58"/>
      <c r="I2355" s="14"/>
      <c r="J2355" s="14" t="s">
        <v>23</v>
      </c>
      <c r="K2355" s="14"/>
      <c r="L2355" s="14"/>
      <c r="M2355" s="22" t="s">
        <v>654</v>
      </c>
      <c r="N2355" s="14" t="s">
        <v>25</v>
      </c>
      <c r="O2355" s="14"/>
      <c r="P2355" s="14"/>
      <c r="Q2355" s="14"/>
      <c r="R2355" s="14" t="s">
        <v>1820</v>
      </c>
    </row>
    <row r="2356" spans="1:18">
      <c r="A2356" s="12">
        <v>1424</v>
      </c>
      <c r="B2356" s="13" t="s">
        <v>3577</v>
      </c>
      <c r="C2356" s="14"/>
      <c r="D2356" s="14" t="s">
        <v>3576</v>
      </c>
      <c r="E2356" s="22" t="s">
        <v>2991</v>
      </c>
      <c r="F2356" s="15" t="s">
        <v>22</v>
      </c>
      <c r="G2356" s="21"/>
      <c r="H2356" s="58">
        <v>1</v>
      </c>
      <c r="I2356" s="14"/>
      <c r="J2356" s="14" t="s">
        <v>23</v>
      </c>
      <c r="K2356" s="14"/>
      <c r="L2356" s="14"/>
      <c r="M2356" s="14" t="s">
        <v>1534</v>
      </c>
      <c r="N2356" s="14" t="s">
        <v>25</v>
      </c>
      <c r="O2356" s="14"/>
      <c r="P2356" s="14"/>
      <c r="Q2356" s="14"/>
      <c r="R2356" s="14" t="s">
        <v>2652</v>
      </c>
    </row>
    <row r="2357" spans="1:18">
      <c r="A2357" s="12">
        <v>2375</v>
      </c>
      <c r="B2357" s="13" t="s">
        <v>3578</v>
      </c>
      <c r="C2357" s="31"/>
      <c r="D2357" s="16">
        <v>788</v>
      </c>
      <c r="E2357" s="22" t="s">
        <v>2991</v>
      </c>
      <c r="F2357" s="15" t="s">
        <v>22</v>
      </c>
      <c r="G2357" s="18"/>
      <c r="H2357" s="58"/>
      <c r="I2357" s="18"/>
      <c r="J2357" s="14" t="s">
        <v>23</v>
      </c>
      <c r="K2357" s="18"/>
      <c r="L2357" s="18"/>
      <c r="M2357" s="18"/>
      <c r="N2357" s="18"/>
      <c r="O2357" s="18"/>
      <c r="P2357" s="18"/>
      <c r="Q2357" s="18"/>
      <c r="R2357" s="18"/>
    </row>
    <row r="2358" spans="1:18">
      <c r="A2358" s="12">
        <v>707</v>
      </c>
      <c r="B2358" s="13" t="s">
        <v>3579</v>
      </c>
      <c r="C2358" s="14"/>
      <c r="D2358" s="22" t="s">
        <v>3580</v>
      </c>
      <c r="E2358" s="22" t="s">
        <v>2991</v>
      </c>
      <c r="F2358" s="15" t="s">
        <v>22</v>
      </c>
      <c r="G2358" s="21"/>
      <c r="H2358" s="58"/>
      <c r="I2358" s="14"/>
      <c r="J2358" s="14" t="s">
        <v>23</v>
      </c>
      <c r="K2358" s="14"/>
      <c r="L2358" s="14"/>
      <c r="M2358" s="22" t="s">
        <v>654</v>
      </c>
      <c r="N2358" s="25" t="s">
        <v>289</v>
      </c>
      <c r="O2358" s="14" t="s">
        <v>189</v>
      </c>
      <c r="P2358" s="14"/>
      <c r="Q2358" s="14"/>
      <c r="R2358" s="14" t="s">
        <v>1820</v>
      </c>
    </row>
    <row r="2359" spans="1:18">
      <c r="A2359" s="12">
        <v>1425</v>
      </c>
      <c r="B2359" s="13" t="s">
        <v>3581</v>
      </c>
      <c r="C2359" s="14"/>
      <c r="D2359" s="14" t="s">
        <v>3580</v>
      </c>
      <c r="E2359" s="22" t="s">
        <v>2991</v>
      </c>
      <c r="F2359" s="15" t="s">
        <v>22</v>
      </c>
      <c r="G2359" s="21"/>
      <c r="H2359" s="58">
        <v>1</v>
      </c>
      <c r="I2359" s="14"/>
      <c r="J2359" s="14" t="s">
        <v>23</v>
      </c>
      <c r="K2359" s="14"/>
      <c r="L2359" s="14"/>
      <c r="M2359" s="14" t="s">
        <v>1534</v>
      </c>
      <c r="N2359" s="25" t="s">
        <v>37</v>
      </c>
      <c r="O2359" s="14" t="s">
        <v>1860</v>
      </c>
      <c r="P2359" s="14"/>
      <c r="Q2359" s="14"/>
      <c r="R2359" s="14" t="s">
        <v>2652</v>
      </c>
    </row>
    <row r="2360" spans="1:18">
      <c r="A2360" s="12">
        <v>2376</v>
      </c>
      <c r="B2360" s="13" t="s">
        <v>3582</v>
      </c>
      <c r="C2360" s="31"/>
      <c r="D2360" s="16">
        <v>789</v>
      </c>
      <c r="E2360" s="22" t="s">
        <v>2991</v>
      </c>
      <c r="F2360" s="15" t="s">
        <v>22</v>
      </c>
      <c r="G2360" s="18"/>
      <c r="H2360" s="58"/>
      <c r="I2360" s="18"/>
      <c r="J2360" s="14" t="s">
        <v>23</v>
      </c>
      <c r="K2360" s="18"/>
      <c r="L2360" s="18"/>
      <c r="M2360" s="18"/>
      <c r="N2360" s="18"/>
      <c r="O2360" s="18"/>
      <c r="P2360" s="18"/>
      <c r="Q2360" s="18"/>
      <c r="R2360" s="18"/>
    </row>
    <row r="2361" spans="1:18">
      <c r="A2361" s="12">
        <v>708</v>
      </c>
      <c r="B2361" s="13" t="s">
        <v>3583</v>
      </c>
      <c r="C2361" s="14"/>
      <c r="D2361" s="22" t="s">
        <v>3584</v>
      </c>
      <c r="E2361" s="22" t="s">
        <v>3203</v>
      </c>
      <c r="F2361" s="15" t="s">
        <v>22</v>
      </c>
      <c r="G2361" s="21"/>
      <c r="H2361" s="58"/>
      <c r="I2361" s="14"/>
      <c r="J2361" s="14" t="s">
        <v>23</v>
      </c>
      <c r="K2361" s="14"/>
      <c r="L2361" s="14"/>
      <c r="M2361" s="22" t="s">
        <v>654</v>
      </c>
      <c r="N2361" s="14" t="s">
        <v>25</v>
      </c>
      <c r="O2361" s="14"/>
      <c r="P2361" s="14"/>
      <c r="Q2361" s="14"/>
      <c r="R2361" s="14" t="s">
        <v>1820</v>
      </c>
    </row>
    <row r="2362" spans="1:18">
      <c r="A2362" s="12">
        <v>1426</v>
      </c>
      <c r="B2362" s="13" t="s">
        <v>3585</v>
      </c>
      <c r="C2362" s="14"/>
      <c r="D2362" s="14" t="s">
        <v>3584</v>
      </c>
      <c r="E2362" s="22" t="s">
        <v>3203</v>
      </c>
      <c r="F2362" s="15" t="s">
        <v>22</v>
      </c>
      <c r="G2362" s="21"/>
      <c r="H2362" s="58"/>
      <c r="I2362" s="14"/>
      <c r="J2362" s="14" t="s">
        <v>23</v>
      </c>
      <c r="K2362" s="14"/>
      <c r="L2362" s="14"/>
      <c r="M2362" s="14" t="s">
        <v>1534</v>
      </c>
      <c r="N2362" s="14" t="s">
        <v>25</v>
      </c>
      <c r="O2362" s="14"/>
      <c r="P2362" s="14"/>
      <c r="Q2362" s="14"/>
      <c r="R2362" s="14" t="s">
        <v>2652</v>
      </c>
    </row>
    <row r="2363" spans="1:18">
      <c r="A2363" s="12">
        <v>2377</v>
      </c>
      <c r="B2363" s="13" t="s">
        <v>3586</v>
      </c>
      <c r="C2363" s="31"/>
      <c r="D2363" s="16">
        <v>790</v>
      </c>
      <c r="E2363" s="22" t="s">
        <v>3203</v>
      </c>
      <c r="F2363" s="15" t="s">
        <v>22</v>
      </c>
      <c r="G2363" s="18"/>
      <c r="H2363" s="58"/>
      <c r="I2363" s="18"/>
      <c r="J2363" s="14" t="s">
        <v>23</v>
      </c>
      <c r="K2363" s="18"/>
      <c r="L2363" s="18"/>
      <c r="M2363" s="18"/>
      <c r="N2363" s="18"/>
      <c r="O2363" s="18"/>
      <c r="P2363" s="18"/>
      <c r="Q2363" s="18"/>
      <c r="R2363" s="18"/>
    </row>
    <row r="2364" spans="1:18">
      <c r="A2364" s="12">
        <v>1427</v>
      </c>
      <c r="B2364" s="13" t="s">
        <v>3587</v>
      </c>
      <c r="C2364" s="14"/>
      <c r="D2364" s="14" t="s">
        <v>3588</v>
      </c>
      <c r="E2364" s="14" t="s">
        <v>2991</v>
      </c>
      <c r="F2364" s="15" t="s">
        <v>22</v>
      </c>
      <c r="G2364" s="21"/>
      <c r="H2364" s="58">
        <v>1</v>
      </c>
      <c r="I2364" s="14"/>
      <c r="J2364" s="14" t="s">
        <v>23</v>
      </c>
      <c r="K2364" s="14"/>
      <c r="L2364" s="14"/>
      <c r="M2364" s="14" t="s">
        <v>1534</v>
      </c>
      <c r="N2364" s="14" t="s">
        <v>25</v>
      </c>
      <c r="O2364" s="14"/>
      <c r="P2364" s="14"/>
      <c r="Q2364" s="14"/>
      <c r="R2364" s="14" t="s">
        <v>2652</v>
      </c>
    </row>
    <row r="2365" spans="1:18">
      <c r="A2365" s="12">
        <v>2378</v>
      </c>
      <c r="B2365" s="13" t="s">
        <v>3589</v>
      </c>
      <c r="C2365" s="31"/>
      <c r="D2365" s="16">
        <v>791</v>
      </c>
      <c r="E2365" s="16" t="s">
        <v>2991</v>
      </c>
      <c r="F2365" s="15" t="s">
        <v>22</v>
      </c>
      <c r="G2365" s="18"/>
      <c r="H2365" s="58"/>
      <c r="I2365" s="18"/>
      <c r="J2365" s="14" t="s">
        <v>23</v>
      </c>
      <c r="K2365" s="18"/>
      <c r="L2365" s="18"/>
      <c r="M2365" s="18"/>
      <c r="N2365" s="18"/>
      <c r="O2365" s="18"/>
      <c r="P2365" s="18"/>
      <c r="Q2365" s="18"/>
      <c r="R2365" s="18"/>
    </row>
    <row r="2366" spans="1:18">
      <c r="A2366" s="12">
        <v>709</v>
      </c>
      <c r="B2366" s="13" t="s">
        <v>3590</v>
      </c>
      <c r="C2366" s="14"/>
      <c r="D2366" s="14" t="s">
        <v>3591</v>
      </c>
      <c r="E2366" s="14" t="s">
        <v>2626</v>
      </c>
      <c r="F2366" s="15" t="s">
        <v>22</v>
      </c>
      <c r="G2366" s="21"/>
      <c r="H2366" s="58"/>
      <c r="I2366" s="14"/>
      <c r="J2366" s="14" t="s">
        <v>23</v>
      </c>
      <c r="K2366" s="14"/>
      <c r="L2366" s="14"/>
      <c r="M2366" s="22" t="s">
        <v>654</v>
      </c>
      <c r="N2366" s="14" t="s">
        <v>25</v>
      </c>
      <c r="O2366" s="14"/>
      <c r="P2366" s="14"/>
      <c r="Q2366" s="14"/>
      <c r="R2366" s="14" t="s">
        <v>1820</v>
      </c>
    </row>
    <row r="2367" spans="1:18">
      <c r="A2367" s="12">
        <v>1428</v>
      </c>
      <c r="B2367" s="13" t="s">
        <v>3592</v>
      </c>
      <c r="C2367" s="14"/>
      <c r="D2367" s="14" t="s">
        <v>3591</v>
      </c>
      <c r="E2367" s="14" t="s">
        <v>2626</v>
      </c>
      <c r="F2367" s="15" t="s">
        <v>22</v>
      </c>
      <c r="G2367" s="21"/>
      <c r="H2367" s="58">
        <v>1</v>
      </c>
      <c r="I2367" s="14"/>
      <c r="J2367" s="14" t="s">
        <v>23</v>
      </c>
      <c r="K2367" s="14"/>
      <c r="L2367" s="14"/>
      <c r="M2367" s="14" t="s">
        <v>1534</v>
      </c>
      <c r="N2367" s="14" t="s">
        <v>25</v>
      </c>
      <c r="O2367" s="14"/>
      <c r="P2367" s="14"/>
      <c r="Q2367" s="14"/>
      <c r="R2367" s="14" t="s">
        <v>2652</v>
      </c>
    </row>
    <row r="2368" spans="1:18">
      <c r="A2368" s="12">
        <v>2379</v>
      </c>
      <c r="B2368" s="13" t="s">
        <v>3593</v>
      </c>
      <c r="C2368" s="31"/>
      <c r="D2368" s="16">
        <v>792</v>
      </c>
      <c r="E2368" s="16" t="s">
        <v>2626</v>
      </c>
      <c r="F2368" s="15" t="s">
        <v>22</v>
      </c>
      <c r="G2368" s="18"/>
      <c r="H2368" s="58"/>
      <c r="I2368" s="18"/>
      <c r="J2368" s="14" t="s">
        <v>23</v>
      </c>
      <c r="K2368" s="18"/>
      <c r="L2368" s="18"/>
      <c r="M2368" s="18"/>
      <c r="N2368" s="18"/>
      <c r="O2368" s="18"/>
      <c r="P2368" s="18"/>
      <c r="Q2368" s="18"/>
      <c r="R2368" s="18"/>
    </row>
    <row r="2369" spans="1:18">
      <c r="A2369" s="12">
        <v>710</v>
      </c>
      <c r="B2369" s="13" t="s">
        <v>3594</v>
      </c>
      <c r="C2369" s="14"/>
      <c r="D2369" s="14" t="s">
        <v>3595</v>
      </c>
      <c r="E2369" s="14" t="s">
        <v>2991</v>
      </c>
      <c r="F2369" s="15" t="s">
        <v>22</v>
      </c>
      <c r="G2369" s="21"/>
      <c r="H2369" s="58"/>
      <c r="I2369" s="14"/>
      <c r="J2369" s="14" t="s">
        <v>23</v>
      </c>
      <c r="K2369" s="14"/>
      <c r="L2369" s="14"/>
      <c r="M2369" s="22" t="s">
        <v>654</v>
      </c>
      <c r="N2369" s="14" t="s">
        <v>25</v>
      </c>
      <c r="O2369" s="14"/>
      <c r="P2369" s="14"/>
      <c r="Q2369" s="14"/>
      <c r="R2369" s="14" t="s">
        <v>1820</v>
      </c>
    </row>
    <row r="2370" spans="1:18">
      <c r="A2370" s="12">
        <v>1429</v>
      </c>
      <c r="B2370" s="13" t="s">
        <v>3596</v>
      </c>
      <c r="C2370" s="14"/>
      <c r="D2370" s="14" t="s">
        <v>3595</v>
      </c>
      <c r="E2370" s="14" t="s">
        <v>2991</v>
      </c>
      <c r="F2370" s="15" t="s">
        <v>22</v>
      </c>
      <c r="G2370" s="21"/>
      <c r="H2370" s="58">
        <v>1</v>
      </c>
      <c r="I2370" s="14"/>
      <c r="J2370" s="14" t="s">
        <v>23</v>
      </c>
      <c r="K2370" s="14"/>
      <c r="L2370" s="14"/>
      <c r="M2370" s="14" t="s">
        <v>1534</v>
      </c>
      <c r="N2370" s="14" t="s">
        <v>25</v>
      </c>
      <c r="O2370" s="14"/>
      <c r="P2370" s="14"/>
      <c r="Q2370" s="14"/>
      <c r="R2370" s="14" t="s">
        <v>2652</v>
      </c>
    </row>
    <row r="2371" spans="1:18">
      <c r="A2371" s="12">
        <v>2380</v>
      </c>
      <c r="B2371" s="13" t="s">
        <v>3597</v>
      </c>
      <c r="C2371" s="31"/>
      <c r="D2371" s="16">
        <v>793</v>
      </c>
      <c r="E2371" s="16" t="s">
        <v>2991</v>
      </c>
      <c r="F2371" s="15" t="s">
        <v>22</v>
      </c>
      <c r="G2371" s="18"/>
      <c r="H2371" s="58"/>
      <c r="I2371" s="18"/>
      <c r="J2371" s="14" t="s">
        <v>23</v>
      </c>
      <c r="K2371" s="18"/>
      <c r="L2371" s="18"/>
      <c r="M2371" s="18"/>
      <c r="N2371" s="18"/>
      <c r="O2371" s="18"/>
      <c r="P2371" s="18"/>
      <c r="Q2371" s="18"/>
      <c r="R2371" s="18"/>
    </row>
    <row r="2372" spans="1:18">
      <c r="A2372" s="12">
        <v>711</v>
      </c>
      <c r="B2372" s="13" t="s">
        <v>3598</v>
      </c>
      <c r="C2372" s="14"/>
      <c r="D2372" s="14" t="s">
        <v>3599</v>
      </c>
      <c r="E2372" s="14" t="s">
        <v>2991</v>
      </c>
      <c r="F2372" s="15" t="s">
        <v>22</v>
      </c>
      <c r="G2372" s="21"/>
      <c r="H2372" s="58"/>
      <c r="I2372" s="14"/>
      <c r="J2372" s="14" t="s">
        <v>23</v>
      </c>
      <c r="K2372" s="14"/>
      <c r="L2372" s="14"/>
      <c r="M2372" s="22" t="s">
        <v>654</v>
      </c>
      <c r="N2372" s="14" t="s">
        <v>25</v>
      </c>
      <c r="O2372" s="14"/>
      <c r="P2372" s="14"/>
      <c r="Q2372" s="14"/>
      <c r="R2372" s="14" t="s">
        <v>1820</v>
      </c>
    </row>
    <row r="2373" spans="1:18">
      <c r="A2373" s="12">
        <v>1430</v>
      </c>
      <c r="B2373" s="13" t="s">
        <v>3600</v>
      </c>
      <c r="C2373" s="14"/>
      <c r="D2373" s="14" t="s">
        <v>3599</v>
      </c>
      <c r="E2373" s="14" t="s">
        <v>2991</v>
      </c>
      <c r="F2373" s="15" t="s">
        <v>22</v>
      </c>
      <c r="G2373" s="21"/>
      <c r="H2373" s="58">
        <v>1</v>
      </c>
      <c r="I2373" s="14"/>
      <c r="J2373" s="14" t="s">
        <v>23</v>
      </c>
      <c r="K2373" s="14"/>
      <c r="L2373" s="14"/>
      <c r="M2373" s="14" t="s">
        <v>1534</v>
      </c>
      <c r="N2373" s="14" t="s">
        <v>25</v>
      </c>
      <c r="O2373" s="14"/>
      <c r="P2373" s="14"/>
      <c r="Q2373" s="14"/>
      <c r="R2373" s="14" t="s">
        <v>2652</v>
      </c>
    </row>
    <row r="2374" spans="1:18">
      <c r="A2374" s="12">
        <v>2381</v>
      </c>
      <c r="B2374" s="13" t="s">
        <v>3601</v>
      </c>
      <c r="C2374" s="31"/>
      <c r="D2374" s="16">
        <v>794</v>
      </c>
      <c r="E2374" s="16" t="s">
        <v>2991</v>
      </c>
      <c r="F2374" s="15" t="s">
        <v>22</v>
      </c>
      <c r="G2374" s="18"/>
      <c r="H2374" s="58"/>
      <c r="I2374" s="18"/>
      <c r="J2374" s="14" t="s">
        <v>23</v>
      </c>
      <c r="K2374" s="18"/>
      <c r="L2374" s="18"/>
      <c r="M2374" s="18"/>
      <c r="N2374" s="18"/>
      <c r="O2374" s="18"/>
      <c r="P2374" s="18"/>
      <c r="Q2374" s="18"/>
      <c r="R2374" s="18"/>
    </row>
    <row r="2375" spans="1:18">
      <c r="A2375" s="12">
        <v>1431</v>
      </c>
      <c r="B2375" s="13" t="s">
        <v>3602</v>
      </c>
      <c r="C2375" s="14"/>
      <c r="D2375" s="14" t="s">
        <v>3603</v>
      </c>
      <c r="E2375" s="14" t="s">
        <v>3203</v>
      </c>
      <c r="F2375" s="15" t="s">
        <v>22</v>
      </c>
      <c r="G2375" s="21"/>
      <c r="H2375" s="58"/>
      <c r="I2375" s="14"/>
      <c r="J2375" s="14" t="s">
        <v>23</v>
      </c>
      <c r="K2375" s="14"/>
      <c r="L2375" s="14"/>
      <c r="M2375" s="14" t="s">
        <v>1534</v>
      </c>
      <c r="N2375" s="14" t="s">
        <v>25</v>
      </c>
      <c r="O2375" s="14"/>
      <c r="P2375" s="14"/>
      <c r="Q2375" s="14"/>
      <c r="R2375" s="14" t="s">
        <v>2652</v>
      </c>
    </row>
    <row r="2376" spans="1:18">
      <c r="A2376" s="12">
        <v>2382</v>
      </c>
      <c r="B2376" s="13" t="s">
        <v>3604</v>
      </c>
      <c r="C2376" s="31"/>
      <c r="D2376" s="16">
        <v>795</v>
      </c>
      <c r="E2376" s="16" t="s">
        <v>3203</v>
      </c>
      <c r="F2376" s="15" t="s">
        <v>22</v>
      </c>
      <c r="G2376" s="18"/>
      <c r="H2376" s="58"/>
      <c r="I2376" s="18"/>
      <c r="J2376" s="14" t="s">
        <v>23</v>
      </c>
      <c r="K2376" s="18"/>
      <c r="L2376" s="18"/>
      <c r="M2376" s="18"/>
      <c r="N2376" s="18"/>
      <c r="O2376" s="18"/>
      <c r="P2376" s="18"/>
      <c r="Q2376" s="18"/>
      <c r="R2376" s="18"/>
    </row>
    <row r="2377" spans="1:18">
      <c r="A2377" s="12">
        <v>712</v>
      </c>
      <c r="B2377" s="13" t="s">
        <v>3605</v>
      </c>
      <c r="C2377" s="14"/>
      <c r="D2377" s="14" t="s">
        <v>3606</v>
      </c>
      <c r="E2377" s="14" t="s">
        <v>2626</v>
      </c>
      <c r="F2377" s="15" t="s">
        <v>22</v>
      </c>
      <c r="G2377" s="21"/>
      <c r="H2377" s="58"/>
      <c r="I2377" s="14"/>
      <c r="J2377" s="14" t="s">
        <v>23</v>
      </c>
      <c r="K2377" s="14"/>
      <c r="L2377" s="14"/>
      <c r="M2377" s="22" t="s">
        <v>654</v>
      </c>
      <c r="N2377" s="25" t="s">
        <v>289</v>
      </c>
      <c r="O2377" s="14" t="s">
        <v>138</v>
      </c>
      <c r="P2377" s="14"/>
      <c r="Q2377" s="14"/>
      <c r="R2377" s="14" t="s">
        <v>1820</v>
      </c>
    </row>
    <row r="2378" spans="1:18">
      <c r="A2378" s="12">
        <v>1432</v>
      </c>
      <c r="B2378" s="13" t="s">
        <v>3607</v>
      </c>
      <c r="C2378" s="14"/>
      <c r="D2378" s="14" t="s">
        <v>3606</v>
      </c>
      <c r="E2378" s="14" t="s">
        <v>2626</v>
      </c>
      <c r="F2378" s="15" t="s">
        <v>22</v>
      </c>
      <c r="G2378" s="21"/>
      <c r="H2378" s="58"/>
      <c r="I2378" s="14"/>
      <c r="J2378" s="14" t="s">
        <v>23</v>
      </c>
      <c r="K2378" s="14"/>
      <c r="L2378" s="14"/>
      <c r="M2378" s="14" t="s">
        <v>1534</v>
      </c>
      <c r="N2378" s="14" t="s">
        <v>25</v>
      </c>
      <c r="O2378" s="14"/>
      <c r="P2378" s="14"/>
      <c r="Q2378" s="14"/>
      <c r="R2378" s="14" t="s">
        <v>2652</v>
      </c>
    </row>
    <row r="2379" spans="1:18">
      <c r="A2379" s="12">
        <v>2383</v>
      </c>
      <c r="B2379" s="13" t="s">
        <v>3608</v>
      </c>
      <c r="C2379" s="31"/>
      <c r="D2379" s="16">
        <v>796</v>
      </c>
      <c r="E2379" s="16" t="s">
        <v>2626</v>
      </c>
      <c r="F2379" s="15" t="s">
        <v>22</v>
      </c>
      <c r="G2379" s="18"/>
      <c r="H2379" s="58">
        <v>1</v>
      </c>
      <c r="I2379" s="16"/>
      <c r="J2379" s="14" t="s">
        <v>23</v>
      </c>
      <c r="K2379" s="18"/>
      <c r="L2379" s="18"/>
      <c r="M2379" s="18"/>
      <c r="N2379" s="18"/>
      <c r="O2379" s="18"/>
      <c r="P2379" s="18"/>
      <c r="Q2379" s="18"/>
      <c r="R2379" s="18"/>
    </row>
    <row r="2380" spans="1:18">
      <c r="A2380" s="12">
        <v>713</v>
      </c>
      <c r="B2380" s="13" t="s">
        <v>3609</v>
      </c>
      <c r="C2380" s="14"/>
      <c r="D2380" s="14" t="s">
        <v>3610</v>
      </c>
      <c r="E2380" s="14" t="s">
        <v>2991</v>
      </c>
      <c r="F2380" s="15" t="s">
        <v>22</v>
      </c>
      <c r="G2380" s="21"/>
      <c r="H2380" s="58"/>
      <c r="I2380" s="14"/>
      <c r="J2380" s="14" t="s">
        <v>23</v>
      </c>
      <c r="K2380" s="14"/>
      <c r="L2380" s="14"/>
      <c r="M2380" s="22" t="s">
        <v>654</v>
      </c>
      <c r="N2380" s="14" t="s">
        <v>25</v>
      </c>
      <c r="O2380" s="14"/>
      <c r="P2380" s="14"/>
      <c r="Q2380" s="14"/>
      <c r="R2380" s="14" t="s">
        <v>1820</v>
      </c>
    </row>
    <row r="2381" spans="1:18">
      <c r="A2381" s="12">
        <v>1433</v>
      </c>
      <c r="B2381" s="13" t="s">
        <v>3611</v>
      </c>
      <c r="C2381" s="14"/>
      <c r="D2381" s="14" t="s">
        <v>3610</v>
      </c>
      <c r="E2381" s="14" t="s">
        <v>2991</v>
      </c>
      <c r="F2381" s="15" t="s">
        <v>22</v>
      </c>
      <c r="G2381" s="21"/>
      <c r="H2381" s="58">
        <v>1</v>
      </c>
      <c r="I2381" s="14"/>
      <c r="J2381" s="14" t="s">
        <v>23</v>
      </c>
      <c r="K2381" s="14"/>
      <c r="L2381" s="14"/>
      <c r="M2381" s="14" t="s">
        <v>1534</v>
      </c>
      <c r="N2381" s="14" t="s">
        <v>25</v>
      </c>
      <c r="O2381" s="14"/>
      <c r="P2381" s="14"/>
      <c r="Q2381" s="14"/>
      <c r="R2381" s="14" t="s">
        <v>2652</v>
      </c>
    </row>
    <row r="2382" spans="1:18">
      <c r="A2382" s="12">
        <v>2384</v>
      </c>
      <c r="B2382" s="13" t="s">
        <v>3612</v>
      </c>
      <c r="C2382" s="31"/>
      <c r="D2382" s="16">
        <v>797</v>
      </c>
      <c r="E2382" s="14" t="s">
        <v>2991</v>
      </c>
      <c r="F2382" s="15" t="s">
        <v>22</v>
      </c>
      <c r="G2382" s="18"/>
      <c r="H2382" s="58">
        <v>1</v>
      </c>
      <c r="I2382" s="16"/>
      <c r="J2382" s="14" t="s">
        <v>23</v>
      </c>
      <c r="K2382" s="18"/>
      <c r="L2382" s="18"/>
      <c r="M2382" s="18"/>
      <c r="N2382" s="18"/>
      <c r="O2382" s="18"/>
      <c r="P2382" s="18"/>
      <c r="Q2382" s="18"/>
      <c r="R2382" s="18"/>
    </row>
    <row r="2383" spans="1:18">
      <c r="A2383" s="12">
        <v>714</v>
      </c>
      <c r="B2383" s="13" t="s">
        <v>3613</v>
      </c>
      <c r="C2383" s="14"/>
      <c r="D2383" s="14" t="s">
        <v>3614</v>
      </c>
      <c r="E2383" s="14" t="s">
        <v>2626</v>
      </c>
      <c r="F2383" s="15" t="s">
        <v>22</v>
      </c>
      <c r="G2383" s="21"/>
      <c r="H2383" s="58"/>
      <c r="I2383" s="14"/>
      <c r="J2383" s="14" t="s">
        <v>23</v>
      </c>
      <c r="K2383" s="14"/>
      <c r="L2383" s="14"/>
      <c r="M2383" s="22" t="s">
        <v>654</v>
      </c>
      <c r="N2383" s="14" t="s">
        <v>25</v>
      </c>
      <c r="O2383" s="14"/>
      <c r="P2383" s="14"/>
      <c r="Q2383" s="14"/>
      <c r="R2383" s="14" t="s">
        <v>1820</v>
      </c>
    </row>
    <row r="2384" spans="1:18">
      <c r="A2384" s="12">
        <v>1534</v>
      </c>
      <c r="B2384" s="13" t="s">
        <v>3615</v>
      </c>
      <c r="C2384" s="14"/>
      <c r="D2384" s="14" t="s">
        <v>3614</v>
      </c>
      <c r="E2384" s="14" t="s">
        <v>2626</v>
      </c>
      <c r="F2384" s="15" t="s">
        <v>22</v>
      </c>
      <c r="G2384" s="14"/>
      <c r="H2384" s="58"/>
      <c r="I2384" s="14"/>
      <c r="J2384" s="14" t="s">
        <v>23</v>
      </c>
      <c r="K2384" s="14"/>
      <c r="L2384" s="14"/>
      <c r="M2384" s="14" t="s">
        <v>2651</v>
      </c>
      <c r="N2384" s="14" t="s">
        <v>25</v>
      </c>
      <c r="O2384" s="14"/>
      <c r="P2384" s="14"/>
      <c r="Q2384" s="14"/>
      <c r="R2384" s="14" t="s">
        <v>1824</v>
      </c>
    </row>
    <row r="2385" spans="1:18">
      <c r="A2385" s="12">
        <v>2385</v>
      </c>
      <c r="B2385" s="13" t="s">
        <v>3616</v>
      </c>
      <c r="C2385" s="31"/>
      <c r="D2385" s="16">
        <v>798</v>
      </c>
      <c r="E2385" s="14" t="s">
        <v>2626</v>
      </c>
      <c r="F2385" s="15" t="s">
        <v>22</v>
      </c>
      <c r="G2385" s="18"/>
      <c r="H2385" s="58"/>
      <c r="I2385" s="18"/>
      <c r="J2385" s="14" t="s">
        <v>23</v>
      </c>
      <c r="K2385" s="18"/>
      <c r="L2385" s="18"/>
      <c r="M2385" s="18"/>
      <c r="N2385" s="18"/>
      <c r="O2385" s="18"/>
      <c r="P2385" s="18"/>
      <c r="Q2385" s="18"/>
      <c r="R2385" s="18"/>
    </row>
    <row r="2386" spans="1:18">
      <c r="A2386" s="12">
        <v>715</v>
      </c>
      <c r="B2386" s="13" t="s">
        <v>3617</v>
      </c>
      <c r="C2386" s="14"/>
      <c r="D2386" s="14" t="s">
        <v>3618</v>
      </c>
      <c r="E2386" s="14" t="s">
        <v>2355</v>
      </c>
      <c r="F2386" s="15" t="s">
        <v>22</v>
      </c>
      <c r="G2386" s="21"/>
      <c r="H2386" s="58"/>
      <c r="I2386" s="14"/>
      <c r="J2386" s="14" t="s">
        <v>23</v>
      </c>
      <c r="K2386" s="14"/>
      <c r="L2386" s="14"/>
      <c r="M2386" s="22" t="s">
        <v>654</v>
      </c>
      <c r="N2386" s="14" t="s">
        <v>25</v>
      </c>
      <c r="O2386" s="14"/>
      <c r="P2386" s="14"/>
      <c r="Q2386" s="14"/>
      <c r="R2386" s="14" t="s">
        <v>1820</v>
      </c>
    </row>
    <row r="2387" spans="1:18">
      <c r="A2387" s="12">
        <v>1535</v>
      </c>
      <c r="B2387" s="13" t="s">
        <v>3619</v>
      </c>
      <c r="C2387" s="14"/>
      <c r="D2387" s="14" t="s">
        <v>3618</v>
      </c>
      <c r="E2387" s="14" t="s">
        <v>2355</v>
      </c>
      <c r="F2387" s="15" t="s">
        <v>22</v>
      </c>
      <c r="G2387" s="14"/>
      <c r="H2387" s="58"/>
      <c r="I2387" s="14"/>
      <c r="J2387" s="14" t="s">
        <v>23</v>
      </c>
      <c r="K2387" s="14"/>
      <c r="L2387" s="14"/>
      <c r="M2387" s="14" t="s">
        <v>2651</v>
      </c>
      <c r="N2387" s="25" t="s">
        <v>37</v>
      </c>
      <c r="O2387" s="14" t="s">
        <v>3620</v>
      </c>
      <c r="P2387" s="14"/>
      <c r="Q2387" s="14"/>
      <c r="R2387" s="14" t="s">
        <v>1824</v>
      </c>
    </row>
    <row r="2388" spans="1:18">
      <c r="A2388" s="12">
        <v>2386</v>
      </c>
      <c r="B2388" s="13" t="s">
        <v>3621</v>
      </c>
      <c r="C2388" s="31"/>
      <c r="D2388" s="16">
        <v>799</v>
      </c>
      <c r="E2388" s="14" t="s">
        <v>2355</v>
      </c>
      <c r="F2388" s="15" t="s">
        <v>22</v>
      </c>
      <c r="G2388" s="18"/>
      <c r="H2388" s="58"/>
      <c r="I2388" s="18"/>
      <c r="J2388" s="14" t="s">
        <v>23</v>
      </c>
      <c r="K2388" s="18"/>
      <c r="L2388" s="18"/>
      <c r="M2388" s="18"/>
      <c r="N2388" s="18"/>
      <c r="O2388" s="18"/>
      <c r="P2388" s="18"/>
      <c r="Q2388" s="18"/>
      <c r="R2388" s="18"/>
    </row>
    <row r="2389" spans="1:18">
      <c r="A2389" s="12">
        <v>716</v>
      </c>
      <c r="B2389" s="13" t="s">
        <v>3622</v>
      </c>
      <c r="C2389" s="14"/>
      <c r="D2389" s="14" t="s">
        <v>3623</v>
      </c>
      <c r="E2389" s="14" t="s">
        <v>3392</v>
      </c>
      <c r="F2389" s="15" t="s">
        <v>22</v>
      </c>
      <c r="G2389" s="21"/>
      <c r="H2389" s="58"/>
      <c r="I2389" s="14"/>
      <c r="J2389" s="14" t="s">
        <v>23</v>
      </c>
      <c r="K2389" s="14"/>
      <c r="L2389" s="14"/>
      <c r="M2389" s="22" t="s">
        <v>654</v>
      </c>
      <c r="N2389" s="14" t="s">
        <v>25</v>
      </c>
      <c r="O2389" s="14"/>
      <c r="P2389" s="14"/>
      <c r="Q2389" s="14"/>
      <c r="R2389" s="14" t="s">
        <v>1820</v>
      </c>
    </row>
    <row r="2390" spans="1:18">
      <c r="A2390" s="12">
        <v>1434</v>
      </c>
      <c r="B2390" s="13" t="s">
        <v>3624</v>
      </c>
      <c r="C2390" s="14"/>
      <c r="D2390" s="14" t="s">
        <v>3623</v>
      </c>
      <c r="E2390" s="14" t="s">
        <v>3392</v>
      </c>
      <c r="F2390" s="15" t="s">
        <v>22</v>
      </c>
      <c r="G2390" s="21"/>
      <c r="H2390" s="58">
        <v>2</v>
      </c>
      <c r="I2390" s="14"/>
      <c r="J2390" s="14" t="s">
        <v>23</v>
      </c>
      <c r="K2390" s="14"/>
      <c r="L2390" s="14"/>
      <c r="M2390" s="14" t="s">
        <v>1534</v>
      </c>
      <c r="N2390" s="14" t="s">
        <v>25</v>
      </c>
      <c r="O2390" s="14"/>
      <c r="P2390" s="14"/>
      <c r="Q2390" s="14"/>
      <c r="R2390" s="14" t="s">
        <v>2652</v>
      </c>
    </row>
    <row r="2391" spans="1:18">
      <c r="A2391" s="12">
        <v>2387</v>
      </c>
      <c r="B2391" s="13" t="s">
        <v>3625</v>
      </c>
      <c r="C2391" s="31"/>
      <c r="D2391" s="16">
        <v>800</v>
      </c>
      <c r="E2391" s="14" t="s">
        <v>3392</v>
      </c>
      <c r="F2391" s="15" t="s">
        <v>22</v>
      </c>
      <c r="G2391" s="18"/>
      <c r="H2391" s="58"/>
      <c r="I2391" s="18"/>
      <c r="J2391" s="14" t="s">
        <v>23</v>
      </c>
      <c r="K2391" s="18"/>
      <c r="L2391" s="18"/>
      <c r="M2391" s="18"/>
      <c r="N2391" s="18"/>
      <c r="O2391" s="18"/>
      <c r="P2391" s="18"/>
      <c r="Q2391" s="18"/>
      <c r="R2391" s="18"/>
    </row>
    <row r="2392" spans="1:18">
      <c r="A2392" s="12">
        <v>2388</v>
      </c>
      <c r="B2392" s="13" t="s">
        <v>3626</v>
      </c>
      <c r="C2392" s="31"/>
      <c r="D2392" s="16">
        <v>851</v>
      </c>
      <c r="E2392" s="16"/>
      <c r="F2392" s="15" t="s">
        <v>22</v>
      </c>
      <c r="G2392" s="18"/>
      <c r="H2392" s="58">
        <v>2</v>
      </c>
      <c r="I2392" s="16"/>
      <c r="J2392" s="14" t="s">
        <v>23</v>
      </c>
      <c r="K2392" s="18"/>
      <c r="L2392" s="18"/>
      <c r="M2392" s="18"/>
      <c r="N2392" s="18"/>
      <c r="O2392" s="18"/>
      <c r="P2392" s="18"/>
      <c r="Q2392" s="18"/>
      <c r="R2392" s="18"/>
    </row>
    <row r="2393" spans="1:18">
      <c r="H2393" s="58"/>
    </row>
    <row r="2394" spans="1:18">
      <c r="H2394" s="58"/>
    </row>
    <row r="2395" spans="1:18">
      <c r="H2395" s="58"/>
    </row>
    <row r="2396" spans="1:18">
      <c r="H2396" s="58"/>
    </row>
    <row r="2397" spans="1:18">
      <c r="H2397" s="58"/>
    </row>
    <row r="2398" spans="1:18">
      <c r="H2398" s="58"/>
    </row>
    <row r="2399" spans="1:18">
      <c r="H2399" s="58"/>
    </row>
    <row r="2400" spans="1:18">
      <c r="H2400" s="58"/>
    </row>
    <row r="2401" spans="8:8">
      <c r="H2401" s="58"/>
    </row>
    <row r="2402" spans="8:8">
      <c r="H2402" s="58"/>
    </row>
    <row r="2403" spans="8:8">
      <c r="H2403" s="58"/>
    </row>
    <row r="2404" spans="8:8">
      <c r="H2404" s="58"/>
    </row>
    <row r="2405" spans="8:8">
      <c r="H2405" s="58"/>
    </row>
    <row r="2406" spans="8:8">
      <c r="H2406" s="58"/>
    </row>
    <row r="2407" spans="8:8">
      <c r="H2407" s="58"/>
    </row>
    <row r="2408" spans="8:8">
      <c r="H2408" s="58"/>
    </row>
    <row r="2409" spans="8:8">
      <c r="H2409" s="58"/>
    </row>
    <row r="2410" spans="8:8">
      <c r="H2410" s="58"/>
    </row>
    <row r="2411" spans="8:8">
      <c r="H2411" s="58"/>
    </row>
    <row r="2412" spans="8:8">
      <c r="H2412" s="58"/>
    </row>
    <row r="2413" spans="8:8">
      <c r="H2413" s="58"/>
    </row>
    <row r="2414" spans="8:8">
      <c r="H2414" s="58"/>
    </row>
    <row r="2415" spans="8:8">
      <c r="H2415" s="58"/>
    </row>
    <row r="2416" spans="8:8">
      <c r="H2416" s="58"/>
    </row>
    <row r="2417" spans="8:8">
      <c r="H2417" s="58"/>
    </row>
    <row r="2418" spans="8:8">
      <c r="H2418" s="58"/>
    </row>
    <row r="2419" spans="8:8">
      <c r="H2419" s="58"/>
    </row>
    <row r="2420" spans="8:8">
      <c r="H2420" s="58"/>
    </row>
    <row r="2421" spans="8:8">
      <c r="H2421" s="58"/>
    </row>
    <row r="2422" spans="8:8">
      <c r="H2422" s="58"/>
    </row>
    <row r="2423" spans="8:8">
      <c r="H2423" s="58"/>
    </row>
    <row r="2424" spans="8:8">
      <c r="H2424" s="58"/>
    </row>
    <row r="2425" spans="8:8">
      <c r="H2425" s="58"/>
    </row>
    <row r="2426" spans="8:8">
      <c r="H2426" s="58"/>
    </row>
    <row r="2427" spans="8:8">
      <c r="H2427" s="58"/>
    </row>
    <row r="2428" spans="8:8">
      <c r="H2428" s="58"/>
    </row>
    <row r="2429" spans="8:8">
      <c r="H2429" s="58"/>
    </row>
    <row r="2430" spans="8:8">
      <c r="H2430" s="58"/>
    </row>
    <row r="2431" spans="8:8">
      <c r="H2431" s="58"/>
    </row>
    <row r="2432" spans="8:8">
      <c r="H2432" s="58"/>
    </row>
    <row r="2433" spans="8:8">
      <c r="H2433" s="58"/>
    </row>
    <row r="2434" spans="8:8">
      <c r="H2434" s="58"/>
    </row>
    <row r="2435" spans="8:8">
      <c r="H2435" s="58"/>
    </row>
    <row r="2436" spans="8:8">
      <c r="H2436" s="58"/>
    </row>
    <row r="2437" spans="8:8">
      <c r="H2437" s="58"/>
    </row>
    <row r="2438" spans="8:8">
      <c r="H2438" s="58"/>
    </row>
    <row r="2439" spans="8:8">
      <c r="H2439" s="58"/>
    </row>
    <row r="2440" spans="8:8">
      <c r="H2440" s="58"/>
    </row>
    <row r="2441" spans="8:8">
      <c r="H2441" s="58"/>
    </row>
    <row r="2442" spans="8:8">
      <c r="H2442" s="58"/>
    </row>
    <row r="2443" spans="8:8">
      <c r="H2443" s="58"/>
    </row>
    <row r="2444" spans="8:8">
      <c r="H2444" s="58"/>
    </row>
    <row r="2445" spans="8:8">
      <c r="H2445" s="58"/>
    </row>
    <row r="2446" spans="8:8">
      <c r="H2446" s="58"/>
    </row>
    <row r="2447" spans="8:8">
      <c r="H2447" s="58"/>
    </row>
    <row r="2448" spans="8:8">
      <c r="H2448" s="58"/>
    </row>
    <row r="2449" spans="8:8">
      <c r="H2449" s="58"/>
    </row>
    <row r="2450" spans="8:8">
      <c r="H2450" s="58"/>
    </row>
    <row r="2451" spans="8:8">
      <c r="H2451" s="58"/>
    </row>
    <row r="2452" spans="8:8">
      <c r="H2452" s="58"/>
    </row>
    <row r="2453" spans="8:8">
      <c r="H2453" s="58"/>
    </row>
    <row r="2454" spans="8:8">
      <c r="H2454" s="58"/>
    </row>
    <row r="2455" spans="8:8">
      <c r="H2455" s="58"/>
    </row>
    <row r="2456" spans="8:8">
      <c r="H2456" s="58"/>
    </row>
    <row r="2457" spans="8:8">
      <c r="H2457" s="58"/>
    </row>
    <row r="2458" spans="8:8">
      <c r="H2458" s="58"/>
    </row>
    <row r="2459" spans="8:8">
      <c r="H2459" s="58"/>
    </row>
    <row r="2460" spans="8:8">
      <c r="H2460" s="58"/>
    </row>
    <row r="2461" spans="8:8">
      <c r="H2461" s="58"/>
    </row>
    <row r="2462" spans="8:8">
      <c r="H2462" s="58"/>
    </row>
    <row r="2463" spans="8:8">
      <c r="H2463" s="58"/>
    </row>
    <row r="2464" spans="8:8">
      <c r="H2464" s="58"/>
    </row>
    <row r="2465" spans="8:8">
      <c r="H2465" s="58"/>
    </row>
    <row r="2466" spans="8:8">
      <c r="H2466" s="58"/>
    </row>
    <row r="2467" spans="8:8">
      <c r="H2467" s="58"/>
    </row>
    <row r="2468" spans="8:8">
      <c r="H2468" s="58"/>
    </row>
    <row r="2469" spans="8:8">
      <c r="H2469" s="58"/>
    </row>
    <row r="2470" spans="8:8">
      <c r="H2470" s="58"/>
    </row>
    <row r="2471" spans="8:8">
      <c r="H2471" s="58"/>
    </row>
    <row r="2472" spans="8:8">
      <c r="H2472" s="58"/>
    </row>
    <row r="2473" spans="8:8">
      <c r="H2473" s="58"/>
    </row>
    <row r="2474" spans="8:8">
      <c r="H2474" s="58"/>
    </row>
    <row r="2475" spans="8:8">
      <c r="H2475" s="58"/>
    </row>
    <row r="2476" spans="8:8">
      <c r="H2476" s="58"/>
    </row>
    <row r="2477" spans="8:8">
      <c r="H2477" s="58"/>
    </row>
    <row r="2478" spans="8:8">
      <c r="H2478" s="58"/>
    </row>
    <row r="2479" spans="8:8">
      <c r="H2479" s="58"/>
    </row>
    <row r="2480" spans="8:8">
      <c r="H2480" s="58"/>
    </row>
    <row r="2481" spans="8:8">
      <c r="H2481" s="58"/>
    </row>
    <row r="2482" spans="8:8">
      <c r="H2482" s="58"/>
    </row>
    <row r="2483" spans="8:8">
      <c r="H2483" s="58"/>
    </row>
    <row r="2484" spans="8:8">
      <c r="H2484" s="58"/>
    </row>
    <row r="2485" spans="8:8">
      <c r="H2485" s="58"/>
    </row>
    <row r="2486" spans="8:8">
      <c r="H2486" s="58"/>
    </row>
    <row r="2487" spans="8:8">
      <c r="H2487" s="58"/>
    </row>
    <row r="2488" spans="8:8">
      <c r="H2488" s="58"/>
    </row>
    <row r="2489" spans="8:8">
      <c r="H2489" s="58"/>
    </row>
    <row r="2490" spans="8:8">
      <c r="H2490" s="58"/>
    </row>
    <row r="2491" spans="8:8">
      <c r="H2491" s="58"/>
    </row>
    <row r="2492" spans="8:8">
      <c r="H2492" s="58"/>
    </row>
    <row r="2493" spans="8:8">
      <c r="H2493" s="58"/>
    </row>
    <row r="2494" spans="8:8">
      <c r="H2494" s="58"/>
    </row>
    <row r="2495" spans="8:8">
      <c r="H2495" s="58"/>
    </row>
    <row r="2496" spans="8:8">
      <c r="H2496" s="58"/>
    </row>
    <row r="2497" spans="8:8">
      <c r="H2497" s="58"/>
    </row>
    <row r="2498" spans="8:8">
      <c r="H2498" s="58"/>
    </row>
    <row r="2499" spans="8:8">
      <c r="H2499" s="58"/>
    </row>
    <row r="2500" spans="8:8">
      <c r="H2500" s="58"/>
    </row>
    <row r="2501" spans="8:8">
      <c r="H2501" s="58"/>
    </row>
    <row r="2502" spans="8:8">
      <c r="H2502" s="58"/>
    </row>
    <row r="2503" spans="8:8">
      <c r="H2503" s="58"/>
    </row>
    <row r="2504" spans="8:8">
      <c r="H2504" s="58"/>
    </row>
    <row r="2505" spans="8:8">
      <c r="H2505" s="58"/>
    </row>
    <row r="2506" spans="8:8">
      <c r="H2506" s="58"/>
    </row>
    <row r="2507" spans="8:8">
      <c r="H2507" s="58"/>
    </row>
    <row r="2508" spans="8:8">
      <c r="H2508" s="58"/>
    </row>
    <row r="2509" spans="8:8">
      <c r="H2509" s="58"/>
    </row>
    <row r="2510" spans="8:8">
      <c r="H2510" s="58"/>
    </row>
    <row r="2511" spans="8:8">
      <c r="H2511" s="58"/>
    </row>
    <row r="2512" spans="8:8">
      <c r="H2512" s="58"/>
    </row>
    <row r="2513" spans="8:8">
      <c r="H2513" s="58"/>
    </row>
    <row r="2514" spans="8:8">
      <c r="H2514" s="58"/>
    </row>
    <row r="2515" spans="8:8">
      <c r="H2515" s="58"/>
    </row>
    <row r="2516" spans="8:8">
      <c r="H2516" s="58"/>
    </row>
    <row r="2517" spans="8:8">
      <c r="H2517" s="58"/>
    </row>
    <row r="2518" spans="8:8">
      <c r="H2518" s="58"/>
    </row>
    <row r="2519" spans="8:8">
      <c r="H2519" s="58"/>
    </row>
    <row r="2520" spans="8:8">
      <c r="H2520" s="58"/>
    </row>
    <row r="2521" spans="8:8">
      <c r="H2521" s="58"/>
    </row>
    <row r="2522" spans="8:8">
      <c r="H2522" s="58"/>
    </row>
    <row r="2523" spans="8:8">
      <c r="H2523" s="58"/>
    </row>
    <row r="2524" spans="8:8">
      <c r="H2524" s="58"/>
    </row>
    <row r="2525" spans="8:8">
      <c r="H2525" s="58"/>
    </row>
    <row r="2526" spans="8:8">
      <c r="H2526" s="58"/>
    </row>
    <row r="2527" spans="8:8">
      <c r="H2527" s="58"/>
    </row>
    <row r="2528" spans="8:8">
      <c r="H2528" s="58"/>
    </row>
    <row r="2529" spans="8:8">
      <c r="H2529" s="58"/>
    </row>
    <row r="2530" spans="8:8">
      <c r="H2530" s="58"/>
    </row>
    <row r="2531" spans="8:8">
      <c r="H2531" s="58"/>
    </row>
    <row r="2532" spans="8:8">
      <c r="H2532" s="58"/>
    </row>
    <row r="2533" spans="8:8">
      <c r="H2533" s="58"/>
    </row>
    <row r="2534" spans="8:8">
      <c r="H2534" s="58"/>
    </row>
    <row r="2535" spans="8:8">
      <c r="H2535" s="58"/>
    </row>
    <row r="2536" spans="8:8">
      <c r="H2536" s="58"/>
    </row>
    <row r="2537" spans="8:8">
      <c r="H2537" s="58"/>
    </row>
    <row r="2538" spans="8:8">
      <c r="H2538" s="58"/>
    </row>
    <row r="2539" spans="8:8">
      <c r="H2539" s="58"/>
    </row>
    <row r="2952" ht="16.5" customHeight="1"/>
    <row r="3183" ht="16.5" customHeight="1"/>
    <row r="3244" ht="24" customHeight="1"/>
    <row r="3245" ht="24" customHeight="1"/>
    <row r="3353" ht="15.75" customHeight="1"/>
    <row r="3473" ht="24" customHeight="1"/>
    <row r="3474" ht="24" customHeight="1"/>
    <row r="3475" ht="24" customHeight="1"/>
    <row r="3476" ht="24" customHeight="1"/>
    <row r="3477" ht="24" customHeight="1"/>
    <row r="3478" ht="24" customHeight="1"/>
    <row r="3479" ht="24" customHeight="1"/>
    <row r="3480" ht="24" customHeight="1"/>
    <row r="3481" ht="24" customHeight="1"/>
    <row r="3482" ht="24" customHeight="1"/>
    <row r="3483" ht="24" customHeight="1"/>
    <row r="3484" ht="24" customHeight="1"/>
    <row r="3485" ht="24" customHeight="1"/>
    <row r="3486" ht="24" customHeight="1"/>
    <row r="3487" ht="24" customHeight="1"/>
    <row r="3488" ht="24" customHeight="1"/>
    <row r="3489" ht="24" customHeight="1"/>
    <row r="3490" ht="24" customHeight="1"/>
    <row r="3491" ht="24" customHeight="1"/>
    <row r="3492" ht="24" customHeight="1"/>
    <row r="3493" ht="24" customHeight="1"/>
    <row r="3494" ht="24" customHeight="1"/>
    <row r="3495" ht="24" customHeight="1"/>
    <row r="3496" ht="24" customHeight="1"/>
    <row r="3497" ht="24" customHeight="1"/>
    <row r="3498" ht="24" customHeight="1"/>
    <row r="3499" ht="24" customHeight="1"/>
    <row r="3500" ht="24" customHeight="1"/>
    <row r="3501" ht="24" customHeight="1"/>
    <row r="3502" ht="24" customHeight="1"/>
    <row r="3503" ht="24" customHeight="1"/>
    <row r="3504" ht="24" customHeight="1"/>
    <row r="3505" ht="24" customHeight="1"/>
    <row r="3506" ht="24" customHeight="1"/>
    <row r="3507" ht="24" customHeight="1"/>
    <row r="3508" ht="24" customHeight="1"/>
    <row r="3509" ht="24" customHeight="1"/>
    <row r="3510" ht="24" customHeight="1"/>
    <row r="3511" ht="24" customHeight="1"/>
    <row r="3512" ht="24" customHeight="1"/>
    <row r="3513" ht="24" customHeight="1"/>
    <row r="3514" ht="24" customHeight="1"/>
    <row r="3515" ht="24" customHeight="1"/>
    <row r="3516" ht="24" customHeight="1"/>
    <row r="3517" ht="24" customHeight="1"/>
    <row r="3518" ht="24" customHeight="1"/>
    <row r="3519" ht="24" customHeight="1"/>
    <row r="3520" ht="24" customHeight="1"/>
    <row r="3521" ht="24" customHeight="1"/>
    <row r="3522" ht="24" customHeight="1"/>
    <row r="3523" ht="24" customHeight="1"/>
    <row r="3524" ht="24" customHeight="1"/>
    <row r="3525" ht="24" customHeight="1"/>
    <row r="3526" ht="24" customHeight="1"/>
    <row r="3527" ht="24" customHeight="1"/>
    <row r="3528" ht="24" customHeight="1"/>
    <row r="3529" ht="24" customHeight="1"/>
    <row r="3530" ht="24" customHeight="1"/>
    <row r="3531" ht="24" customHeight="1"/>
    <row r="3532" ht="24" customHeight="1"/>
    <row r="3762" ht="15.75" customHeight="1"/>
    <row r="3883" ht="16.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</sheetData>
  <autoFilter ref="A4:AMM2392"/>
  <mergeCells count="1">
    <mergeCell ref="N2:R2"/>
  </mergeCells>
  <dataValidations count="1">
    <dataValidation type="list" allowBlank="1" showInputMessage="1" showErrorMessage="1" sqref="L11">
      <formula1>#REF!</formula1>
      <formula2>0</formula2>
    </dataValidation>
  </dataValidations>
  <pageMargins left="0.31496062992125984" right="0.31496062992125984" top="0.74803149606299213" bottom="0.74803149606299213" header="0.51181102362204722" footer="0.51181102362204722"/>
  <pageSetup paperSize="8" scale="8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>
      <selection activeCell="H21" sqref="H21"/>
    </sheetView>
  </sheetViews>
  <sheetFormatPr baseColWidth="10" defaultColWidth="11.42578125" defaultRowHeight="15"/>
  <cols>
    <col min="1" max="1" width="11.42578125" customWidth="1"/>
    <col min="2" max="4" width="0" hidden="1" customWidth="1"/>
  </cols>
  <sheetData>
    <row r="2" spans="1:7">
      <c r="A2" t="s">
        <v>3627</v>
      </c>
      <c r="B2" t="s">
        <v>3628</v>
      </c>
      <c r="C2" t="s">
        <v>3629</v>
      </c>
      <c r="D2" t="s">
        <v>3630</v>
      </c>
      <c r="E2" t="s">
        <v>3631</v>
      </c>
      <c r="F2" t="s">
        <v>3632</v>
      </c>
    </row>
    <row r="3" spans="1:7">
      <c r="A3" t="s">
        <v>115</v>
      </c>
      <c r="B3">
        <v>19</v>
      </c>
      <c r="C3">
        <v>16</v>
      </c>
      <c r="D3">
        <v>3</v>
      </c>
      <c r="E3" s="47">
        <f>100*D3/B3</f>
        <v>15.789473684210526</v>
      </c>
      <c r="F3">
        <v>2</v>
      </c>
      <c r="G3">
        <f>CORREL(E3:E14,F3:F14)</f>
        <v>0.4357533991412792</v>
      </c>
    </row>
    <row r="4" spans="1:7">
      <c r="A4" t="s">
        <v>3392</v>
      </c>
      <c r="B4">
        <v>25</v>
      </c>
      <c r="C4">
        <v>14</v>
      </c>
      <c r="D4">
        <v>11</v>
      </c>
      <c r="E4" s="47">
        <f t="shared" ref="E4:E14" si="0">100*D4/B4</f>
        <v>44</v>
      </c>
      <c r="F4">
        <v>3</v>
      </c>
    </row>
    <row r="5" spans="1:7">
      <c r="A5" t="s">
        <v>3203</v>
      </c>
      <c r="B5">
        <v>21</v>
      </c>
      <c r="C5">
        <v>17</v>
      </c>
      <c r="D5">
        <v>4</v>
      </c>
      <c r="E5" s="47">
        <f t="shared" si="0"/>
        <v>19.047619047619047</v>
      </c>
      <c r="F5">
        <v>3</v>
      </c>
    </row>
    <row r="6" spans="1:7">
      <c r="A6" t="s">
        <v>21</v>
      </c>
      <c r="B6">
        <v>105</v>
      </c>
      <c r="C6">
        <v>99</v>
      </c>
      <c r="D6">
        <v>6</v>
      </c>
      <c r="E6" s="47">
        <f t="shared" si="0"/>
        <v>5.7142857142857144</v>
      </c>
      <c r="F6">
        <v>1</v>
      </c>
    </row>
    <row r="7" spans="1:7">
      <c r="A7" t="s">
        <v>215</v>
      </c>
      <c r="B7">
        <v>22</v>
      </c>
      <c r="C7">
        <v>2</v>
      </c>
      <c r="D7">
        <v>20</v>
      </c>
      <c r="E7" s="47">
        <f t="shared" si="0"/>
        <v>90.909090909090907</v>
      </c>
      <c r="F7">
        <v>3</v>
      </c>
    </row>
    <row r="8" spans="1:7">
      <c r="A8" t="s">
        <v>36</v>
      </c>
      <c r="B8">
        <v>147</v>
      </c>
      <c r="C8">
        <v>65</v>
      </c>
      <c r="D8">
        <v>82</v>
      </c>
      <c r="E8" s="47">
        <f t="shared" si="0"/>
        <v>55.782312925170068</v>
      </c>
      <c r="F8">
        <v>2</v>
      </c>
    </row>
    <row r="9" spans="1:7">
      <c r="A9" t="s">
        <v>44</v>
      </c>
      <c r="B9">
        <v>111</v>
      </c>
      <c r="C9">
        <v>57</v>
      </c>
      <c r="D9">
        <v>54</v>
      </c>
      <c r="E9" s="47">
        <f t="shared" si="0"/>
        <v>48.648648648648646</v>
      </c>
      <c r="F9">
        <v>3</v>
      </c>
    </row>
    <row r="10" spans="1:7">
      <c r="A10" t="s">
        <v>3633</v>
      </c>
      <c r="B10">
        <v>35</v>
      </c>
      <c r="C10">
        <v>20</v>
      </c>
      <c r="D10">
        <v>15</v>
      </c>
      <c r="E10" s="47">
        <f t="shared" si="0"/>
        <v>42.857142857142854</v>
      </c>
      <c r="F10">
        <v>3</v>
      </c>
    </row>
    <row r="11" spans="1:7">
      <c r="A11" t="s">
        <v>768</v>
      </c>
      <c r="B11">
        <v>14</v>
      </c>
      <c r="C11">
        <v>11</v>
      </c>
      <c r="D11">
        <v>3</v>
      </c>
      <c r="E11" s="47">
        <f t="shared" si="0"/>
        <v>21.428571428571427</v>
      </c>
      <c r="F11">
        <v>1</v>
      </c>
    </row>
    <row r="12" spans="1:7">
      <c r="A12" t="s">
        <v>497</v>
      </c>
      <c r="B12">
        <v>10</v>
      </c>
      <c r="C12">
        <v>5</v>
      </c>
      <c r="D12">
        <v>5</v>
      </c>
      <c r="E12" s="47">
        <f t="shared" si="0"/>
        <v>50</v>
      </c>
      <c r="F12">
        <v>1</v>
      </c>
    </row>
    <row r="13" spans="1:7">
      <c r="A13" t="s">
        <v>3162</v>
      </c>
      <c r="B13">
        <v>145</v>
      </c>
      <c r="C13">
        <v>76</v>
      </c>
      <c r="D13">
        <v>69</v>
      </c>
      <c r="E13" s="47">
        <f t="shared" si="0"/>
        <v>47.586206896551722</v>
      </c>
      <c r="F13">
        <v>3</v>
      </c>
    </row>
    <row r="14" spans="1:7">
      <c r="A14" t="s">
        <v>3628</v>
      </c>
      <c r="B14">
        <f>SUM(B3:B13)</f>
        <v>654</v>
      </c>
      <c r="C14">
        <f>SUM(C3:C13)</f>
        <v>382</v>
      </c>
      <c r="D14">
        <f>SUM(D3:D13)</f>
        <v>272</v>
      </c>
      <c r="E14" s="47">
        <f t="shared" si="0"/>
        <v>41.590214067278289</v>
      </c>
      <c r="F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F2" sqref="F2"/>
    </sheetView>
  </sheetViews>
  <sheetFormatPr baseColWidth="10" defaultColWidth="11.42578125" defaultRowHeight="15"/>
  <cols>
    <col min="3" max="3" width="17.5703125" customWidth="1"/>
    <col min="4" max="4" width="39.85546875" customWidth="1"/>
    <col min="5" max="5" width="41.28515625" bestFit="1" customWidth="1"/>
    <col min="6" max="10" width="12" bestFit="1" customWidth="1"/>
    <col min="11" max="11" width="3" customWidth="1"/>
    <col min="12" max="12" width="11" customWidth="1"/>
    <col min="13" max="13" width="12" bestFit="1" customWidth="1"/>
    <col min="14" max="14" width="3" customWidth="1"/>
    <col min="15" max="17" width="12" bestFit="1" customWidth="1"/>
    <col min="18" max="18" width="11" customWidth="1"/>
    <col min="19" max="19" width="12.5703125" bestFit="1" customWidth="1"/>
  </cols>
  <sheetData>
    <row r="1" spans="1:6">
      <c r="A1" t="s">
        <v>3627</v>
      </c>
      <c r="B1" t="s">
        <v>3628</v>
      </c>
      <c r="C1" t="s">
        <v>3629</v>
      </c>
      <c r="D1" t="s">
        <v>3630</v>
      </c>
      <c r="E1" t="s">
        <v>3631</v>
      </c>
      <c r="F1" t="s">
        <v>3632</v>
      </c>
    </row>
    <row r="2" spans="1:6">
      <c r="A2" t="s">
        <v>115</v>
      </c>
      <c r="B2">
        <v>19</v>
      </c>
      <c r="C2">
        <v>16</v>
      </c>
      <c r="D2">
        <v>3</v>
      </c>
      <c r="E2" s="47">
        <f>100*D2/B2</f>
        <v>15.789473684210526</v>
      </c>
      <c r="F2">
        <v>2</v>
      </c>
    </row>
    <row r="3" spans="1:6">
      <c r="A3" t="s">
        <v>3392</v>
      </c>
      <c r="B3">
        <v>25</v>
      </c>
      <c r="C3">
        <v>14</v>
      </c>
      <c r="D3">
        <v>11</v>
      </c>
      <c r="E3" s="47">
        <f t="shared" ref="E3:E16" si="0">100*D3/B3</f>
        <v>44</v>
      </c>
      <c r="F3">
        <v>3</v>
      </c>
    </row>
    <row r="4" spans="1:6">
      <c r="A4" t="s">
        <v>3203</v>
      </c>
      <c r="B4">
        <v>21</v>
      </c>
      <c r="C4">
        <v>17</v>
      </c>
      <c r="D4">
        <v>4</v>
      </c>
      <c r="E4" s="47">
        <f t="shared" si="0"/>
        <v>19.047619047619047</v>
      </c>
      <c r="F4">
        <v>3</v>
      </c>
    </row>
    <row r="5" spans="1:6">
      <c r="A5" t="s">
        <v>21</v>
      </c>
      <c r="B5">
        <v>105</v>
      </c>
      <c r="C5">
        <v>99</v>
      </c>
      <c r="D5">
        <v>6</v>
      </c>
      <c r="E5" s="47">
        <f t="shared" si="0"/>
        <v>5.7142857142857144</v>
      </c>
      <c r="F5">
        <v>1</v>
      </c>
    </row>
    <row r="6" spans="1:6">
      <c r="A6" t="s">
        <v>215</v>
      </c>
      <c r="B6">
        <v>22</v>
      </c>
      <c r="C6">
        <v>2</v>
      </c>
      <c r="D6">
        <v>20</v>
      </c>
      <c r="E6" s="47">
        <f t="shared" si="0"/>
        <v>90.909090909090907</v>
      </c>
      <c r="F6">
        <v>3</v>
      </c>
    </row>
    <row r="7" spans="1:6">
      <c r="A7" t="s">
        <v>36</v>
      </c>
      <c r="B7">
        <v>147</v>
      </c>
      <c r="C7">
        <v>65</v>
      </c>
      <c r="D7">
        <v>82</v>
      </c>
      <c r="E7" s="47">
        <f t="shared" si="0"/>
        <v>55.782312925170068</v>
      </c>
      <c r="F7">
        <v>2</v>
      </c>
    </row>
    <row r="8" spans="1:6">
      <c r="A8" t="s">
        <v>321</v>
      </c>
      <c r="B8">
        <v>6</v>
      </c>
      <c r="C8">
        <v>6</v>
      </c>
      <c r="D8">
        <v>0</v>
      </c>
      <c r="E8" s="47">
        <f t="shared" si="0"/>
        <v>0</v>
      </c>
      <c r="F8">
        <v>0</v>
      </c>
    </row>
    <row r="9" spans="1:6">
      <c r="A9" t="s">
        <v>44</v>
      </c>
      <c r="B9">
        <v>111</v>
      </c>
      <c r="C9">
        <v>57</v>
      </c>
      <c r="D9">
        <v>54</v>
      </c>
      <c r="E9" s="47">
        <f t="shared" si="0"/>
        <v>48.648648648648646</v>
      </c>
      <c r="F9">
        <v>3</v>
      </c>
    </row>
    <row r="10" spans="1:6">
      <c r="A10" t="s">
        <v>3633</v>
      </c>
      <c r="B10">
        <v>35</v>
      </c>
      <c r="C10">
        <v>20</v>
      </c>
      <c r="D10">
        <v>15</v>
      </c>
      <c r="E10" s="47">
        <f t="shared" si="0"/>
        <v>42.857142857142854</v>
      </c>
      <c r="F10">
        <v>3</v>
      </c>
    </row>
    <row r="11" spans="1:6">
      <c r="A11" t="s">
        <v>768</v>
      </c>
      <c r="B11">
        <v>14</v>
      </c>
      <c r="C11">
        <v>11</v>
      </c>
      <c r="D11">
        <v>3</v>
      </c>
      <c r="E11" s="47">
        <f t="shared" si="0"/>
        <v>21.428571428571427</v>
      </c>
      <c r="F11">
        <v>1</v>
      </c>
    </row>
    <row r="12" spans="1:6">
      <c r="A12" t="s">
        <v>497</v>
      </c>
      <c r="B12">
        <v>10</v>
      </c>
      <c r="C12">
        <v>5</v>
      </c>
      <c r="D12">
        <v>5</v>
      </c>
      <c r="E12" s="47">
        <f t="shared" si="0"/>
        <v>50</v>
      </c>
      <c r="F12">
        <v>1</v>
      </c>
    </row>
    <row r="13" spans="1:6">
      <c r="A13" t="s">
        <v>3162</v>
      </c>
      <c r="B13">
        <v>145</v>
      </c>
      <c r="C13">
        <v>76</v>
      </c>
      <c r="D13">
        <v>69</v>
      </c>
      <c r="E13" s="47">
        <f t="shared" si="0"/>
        <v>47.586206896551722</v>
      </c>
      <c r="F13">
        <v>3</v>
      </c>
    </row>
    <row r="14" spans="1:6">
      <c r="A14" t="s">
        <v>172</v>
      </c>
      <c r="B14">
        <v>67</v>
      </c>
      <c r="C14">
        <v>39</v>
      </c>
      <c r="D14">
        <v>38</v>
      </c>
      <c r="E14" s="47">
        <f t="shared" si="0"/>
        <v>56.71641791044776</v>
      </c>
      <c r="F14">
        <v>3</v>
      </c>
    </row>
    <row r="15" spans="1:6">
      <c r="A15" t="s">
        <v>236</v>
      </c>
      <c r="B15">
        <v>1</v>
      </c>
      <c r="C15">
        <v>1</v>
      </c>
      <c r="D15">
        <v>0</v>
      </c>
      <c r="E15" s="47">
        <f t="shared" si="0"/>
        <v>0</v>
      </c>
      <c r="F15">
        <v>0</v>
      </c>
    </row>
    <row r="16" spans="1:6">
      <c r="A16" t="s">
        <v>3628</v>
      </c>
      <c r="B16">
        <f>SUM(B2:B15)</f>
        <v>728</v>
      </c>
      <c r="C16">
        <f>SUM(C2:C15)</f>
        <v>428</v>
      </c>
      <c r="D16">
        <f>SUM(D2:D15)</f>
        <v>310</v>
      </c>
      <c r="E16" s="47">
        <f t="shared" si="0"/>
        <v>42.582417582417584</v>
      </c>
      <c r="F16">
        <v>3</v>
      </c>
    </row>
    <row r="21" spans="3:4">
      <c r="C21" s="48" t="s">
        <v>3634</v>
      </c>
      <c r="D21" t="s">
        <v>3635</v>
      </c>
    </row>
    <row r="22" spans="3:4">
      <c r="C22" s="49" t="s">
        <v>172</v>
      </c>
      <c r="D22" s="37">
        <v>3</v>
      </c>
    </row>
    <row r="23" spans="3:4">
      <c r="C23" s="49" t="s">
        <v>236</v>
      </c>
      <c r="D23" s="37">
        <v>0</v>
      </c>
    </row>
    <row r="24" spans="3:4">
      <c r="C24" s="49" t="s">
        <v>3392</v>
      </c>
      <c r="D24" s="37">
        <v>3</v>
      </c>
    </row>
    <row r="25" spans="3:4">
      <c r="C25" s="49" t="s">
        <v>3203</v>
      </c>
      <c r="D25" s="37">
        <v>3</v>
      </c>
    </row>
    <row r="26" spans="3:4">
      <c r="C26" s="49" t="s">
        <v>21</v>
      </c>
      <c r="D26" s="37">
        <v>1</v>
      </c>
    </row>
    <row r="27" spans="3:4">
      <c r="C27" s="49" t="s">
        <v>115</v>
      </c>
      <c r="D27" s="37">
        <v>2</v>
      </c>
    </row>
    <row r="28" spans="3:4">
      <c r="C28" s="49" t="s">
        <v>215</v>
      </c>
      <c r="D28" s="37">
        <v>3</v>
      </c>
    </row>
    <row r="29" spans="3:4">
      <c r="C29" s="49" t="s">
        <v>36</v>
      </c>
      <c r="D29" s="37">
        <v>2</v>
      </c>
    </row>
    <row r="30" spans="3:4">
      <c r="C30" s="49" t="s">
        <v>321</v>
      </c>
      <c r="D30" s="37">
        <v>0</v>
      </c>
    </row>
    <row r="31" spans="3:4">
      <c r="C31" s="49" t="s">
        <v>3633</v>
      </c>
      <c r="D31" s="37">
        <v>3</v>
      </c>
    </row>
    <row r="32" spans="3:4">
      <c r="C32" s="49" t="s">
        <v>768</v>
      </c>
      <c r="D32" s="37">
        <v>1</v>
      </c>
    </row>
    <row r="33" spans="3:4">
      <c r="C33" s="49" t="s">
        <v>497</v>
      </c>
      <c r="D33" s="37">
        <v>1</v>
      </c>
    </row>
    <row r="34" spans="3:4">
      <c r="C34" s="49" t="s">
        <v>3628</v>
      </c>
      <c r="D34" s="37">
        <v>3</v>
      </c>
    </row>
    <row r="35" spans="3:4">
      <c r="C35" s="49" t="s">
        <v>44</v>
      </c>
      <c r="D35" s="37">
        <v>3</v>
      </c>
    </row>
    <row r="36" spans="3:4">
      <c r="C36" s="49" t="s">
        <v>3162</v>
      </c>
      <c r="D36" s="37">
        <v>3</v>
      </c>
    </row>
    <row r="37" spans="3:4">
      <c r="C37" s="49" t="s">
        <v>3636</v>
      </c>
      <c r="D37" s="37"/>
    </row>
    <row r="38" spans="3:4">
      <c r="C38" s="49" t="s">
        <v>3637</v>
      </c>
      <c r="D38" s="37">
        <v>31</v>
      </c>
    </row>
  </sheetData>
  <pageMargins left="0.70866141732283472" right="0.70866141732283472" top="0.74803149606299213" bottom="0.74803149606299213" header="0.31496062992125984" footer="0.31496062992125984"/>
  <pageSetup paperSize="9" scale="44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workbookViewId="0">
      <selection activeCell="F19" sqref="F19"/>
    </sheetView>
  </sheetViews>
  <sheetFormatPr baseColWidth="10" defaultColWidth="11.42578125" defaultRowHeight="15"/>
  <cols>
    <col min="3" max="4" width="11.42578125" customWidth="1"/>
    <col min="6" max="7" width="18.5703125" customWidth="1"/>
    <col min="12" max="12" width="17.5703125" customWidth="1"/>
    <col min="13" max="13" width="18.140625" customWidth="1"/>
  </cols>
  <sheetData>
    <row r="1" spans="1:8">
      <c r="A1" s="59" t="s">
        <v>3627</v>
      </c>
      <c r="B1" s="59" t="s">
        <v>3628</v>
      </c>
      <c r="C1" s="59" t="s">
        <v>3629</v>
      </c>
      <c r="D1" s="59" t="s">
        <v>3630</v>
      </c>
      <c r="E1" s="59" t="s">
        <v>3631</v>
      </c>
      <c r="F1" s="59" t="s">
        <v>3632</v>
      </c>
      <c r="G1" s="59" t="s">
        <v>3638</v>
      </c>
      <c r="H1" s="59" t="s">
        <v>3639</v>
      </c>
    </row>
    <row r="2" spans="1:8">
      <c r="A2" s="59" t="s">
        <v>115</v>
      </c>
      <c r="B2" s="59">
        <v>18</v>
      </c>
      <c r="C2" s="59">
        <v>17</v>
      </c>
      <c r="D2" s="59">
        <v>1</v>
      </c>
      <c r="E2" s="60">
        <f>100*D2/B2</f>
        <v>5.5555555555555554</v>
      </c>
      <c r="F2" s="59">
        <v>1</v>
      </c>
      <c r="G2" s="59">
        <v>0</v>
      </c>
      <c r="H2" s="59"/>
    </row>
    <row r="3" spans="1:8">
      <c r="A3" s="59" t="s">
        <v>3392</v>
      </c>
      <c r="B3" s="59">
        <v>30</v>
      </c>
      <c r="C3" s="59">
        <v>20</v>
      </c>
      <c r="D3" s="59">
        <v>10</v>
      </c>
      <c r="E3" s="60">
        <f t="shared" ref="E3:E17" si="0">100*D3/B3</f>
        <v>33.333333333333336</v>
      </c>
      <c r="F3" s="59">
        <v>2</v>
      </c>
      <c r="G3" s="59">
        <v>0</v>
      </c>
      <c r="H3" s="59">
        <v>0</v>
      </c>
    </row>
    <row r="4" spans="1:8">
      <c r="A4" s="59" t="s">
        <v>3203</v>
      </c>
      <c r="B4" s="59">
        <v>22</v>
      </c>
      <c r="C4" s="59">
        <v>19</v>
      </c>
      <c r="D4" s="59">
        <v>3</v>
      </c>
      <c r="E4" s="60">
        <f t="shared" si="0"/>
        <v>13.636363636363637</v>
      </c>
      <c r="F4" s="59">
        <v>3</v>
      </c>
      <c r="G4" s="59">
        <v>0</v>
      </c>
      <c r="H4" s="59">
        <v>0</v>
      </c>
    </row>
    <row r="5" spans="1:8">
      <c r="A5" s="59" t="s">
        <v>694</v>
      </c>
      <c r="B5" s="59">
        <v>1</v>
      </c>
      <c r="C5" s="59">
        <v>0</v>
      </c>
      <c r="D5" s="59">
        <v>1</v>
      </c>
      <c r="E5" s="60">
        <f t="shared" si="0"/>
        <v>100</v>
      </c>
      <c r="F5" s="59">
        <v>3</v>
      </c>
      <c r="G5" s="59">
        <v>0</v>
      </c>
      <c r="H5" s="59">
        <v>0</v>
      </c>
    </row>
    <row r="6" spans="1:8">
      <c r="A6" s="59" t="s">
        <v>21</v>
      </c>
      <c r="B6" s="59">
        <v>114</v>
      </c>
      <c r="C6" s="59">
        <v>107</v>
      </c>
      <c r="D6" s="59">
        <v>7</v>
      </c>
      <c r="E6" s="60">
        <f t="shared" si="0"/>
        <v>6.1403508771929829</v>
      </c>
      <c r="F6" s="59">
        <v>2</v>
      </c>
      <c r="G6" s="59">
        <v>0</v>
      </c>
      <c r="H6" s="59">
        <v>0</v>
      </c>
    </row>
    <row r="7" spans="1:8">
      <c r="A7" s="59" t="s">
        <v>215</v>
      </c>
      <c r="B7" s="59">
        <v>23</v>
      </c>
      <c r="C7" s="59">
        <v>2</v>
      </c>
      <c r="D7" s="59">
        <v>21</v>
      </c>
      <c r="E7" s="60">
        <f t="shared" si="0"/>
        <v>91.304347826086953</v>
      </c>
      <c r="F7" s="59">
        <v>2</v>
      </c>
      <c r="G7" s="59">
        <v>0</v>
      </c>
      <c r="H7" s="59">
        <v>0</v>
      </c>
    </row>
    <row r="8" spans="1:8">
      <c r="A8" s="59" t="s">
        <v>36</v>
      </c>
      <c r="B8" s="59">
        <v>159</v>
      </c>
      <c r="C8" s="59">
        <v>71</v>
      </c>
      <c r="D8" s="59">
        <v>88</v>
      </c>
      <c r="E8" s="60">
        <f t="shared" si="0"/>
        <v>55.345911949685537</v>
      </c>
      <c r="F8" s="59">
        <v>2</v>
      </c>
      <c r="G8" s="59">
        <v>1</v>
      </c>
      <c r="H8" s="59">
        <v>1.1299999999999999</v>
      </c>
    </row>
    <row r="9" spans="1:8">
      <c r="A9" s="59" t="s">
        <v>321</v>
      </c>
      <c r="B9" s="59">
        <v>6</v>
      </c>
      <c r="C9" s="59">
        <v>6</v>
      </c>
      <c r="D9" s="59">
        <v>0</v>
      </c>
      <c r="E9" s="60">
        <f t="shared" si="0"/>
        <v>0</v>
      </c>
      <c r="F9" s="59">
        <v>0</v>
      </c>
      <c r="G9" s="59">
        <v>0</v>
      </c>
      <c r="H9" s="59">
        <v>0</v>
      </c>
    </row>
    <row r="10" spans="1:8">
      <c r="A10" s="59" t="s">
        <v>44</v>
      </c>
      <c r="B10" s="59">
        <v>123</v>
      </c>
      <c r="C10" s="59">
        <v>64</v>
      </c>
      <c r="D10" s="59">
        <v>59</v>
      </c>
      <c r="E10" s="60">
        <f t="shared" si="0"/>
        <v>47.967479674796749</v>
      </c>
      <c r="F10" s="59">
        <v>2</v>
      </c>
      <c r="G10" s="59">
        <v>0</v>
      </c>
      <c r="H10" s="59">
        <v>0</v>
      </c>
    </row>
    <row r="11" spans="1:8">
      <c r="A11" s="59" t="s">
        <v>3633</v>
      </c>
      <c r="B11" s="59">
        <v>38</v>
      </c>
      <c r="C11" s="59">
        <v>20</v>
      </c>
      <c r="D11" s="59">
        <v>18</v>
      </c>
      <c r="E11" s="60">
        <f t="shared" si="0"/>
        <v>47.368421052631582</v>
      </c>
      <c r="F11" s="59">
        <v>2</v>
      </c>
      <c r="G11" s="59">
        <v>0</v>
      </c>
      <c r="H11" s="59">
        <v>0</v>
      </c>
    </row>
    <row r="12" spans="1:8">
      <c r="A12" s="59" t="s">
        <v>768</v>
      </c>
      <c r="B12" s="59">
        <v>14</v>
      </c>
      <c r="C12" s="59">
        <v>11</v>
      </c>
      <c r="D12" s="59">
        <v>3</v>
      </c>
      <c r="E12" s="60">
        <f t="shared" si="0"/>
        <v>21.428571428571427</v>
      </c>
      <c r="F12" s="59">
        <v>3</v>
      </c>
      <c r="G12" s="59">
        <v>0</v>
      </c>
      <c r="H12" s="59">
        <v>0</v>
      </c>
    </row>
    <row r="13" spans="1:8">
      <c r="A13" s="59" t="s">
        <v>497</v>
      </c>
      <c r="B13" s="59">
        <v>10</v>
      </c>
      <c r="C13" s="59">
        <v>5</v>
      </c>
      <c r="D13" s="59">
        <v>5</v>
      </c>
      <c r="E13" s="60">
        <f t="shared" si="0"/>
        <v>50</v>
      </c>
      <c r="F13" s="59">
        <v>1</v>
      </c>
      <c r="G13" s="59">
        <v>0</v>
      </c>
      <c r="H13" s="59">
        <v>0</v>
      </c>
    </row>
    <row r="14" spans="1:8">
      <c r="A14" s="59" t="s">
        <v>3162</v>
      </c>
      <c r="B14" s="59">
        <v>157</v>
      </c>
      <c r="C14" s="59">
        <v>88</v>
      </c>
      <c r="D14" s="59">
        <v>69</v>
      </c>
      <c r="E14" s="60">
        <f t="shared" si="0"/>
        <v>43.949044585987259</v>
      </c>
      <c r="F14" s="59">
        <v>3</v>
      </c>
      <c r="G14" s="59">
        <v>0</v>
      </c>
      <c r="H14" s="59">
        <v>0</v>
      </c>
    </row>
    <row r="15" spans="1:8">
      <c r="A15" s="59" t="s">
        <v>172</v>
      </c>
      <c r="B15" s="59">
        <v>73</v>
      </c>
      <c r="C15" s="59">
        <v>47</v>
      </c>
      <c r="D15" s="59">
        <v>26</v>
      </c>
      <c r="E15" s="60">
        <f t="shared" si="0"/>
        <v>35.61643835616438</v>
      </c>
      <c r="F15" s="59">
        <v>2</v>
      </c>
      <c r="G15" s="59">
        <v>0</v>
      </c>
      <c r="H15" s="59">
        <v>0</v>
      </c>
    </row>
    <row r="16" spans="1:8">
      <c r="A16" s="59" t="s">
        <v>236</v>
      </c>
      <c r="B16" s="59">
        <v>1</v>
      </c>
      <c r="C16" s="59">
        <v>0</v>
      </c>
      <c r="D16" s="59">
        <v>1</v>
      </c>
      <c r="E16" s="60">
        <f t="shared" si="0"/>
        <v>100</v>
      </c>
      <c r="F16" s="59"/>
      <c r="G16" s="59">
        <v>0</v>
      </c>
      <c r="H16" s="59">
        <v>0</v>
      </c>
    </row>
    <row r="17" spans="1:13">
      <c r="A17" s="59" t="s">
        <v>3628</v>
      </c>
      <c r="B17" s="59">
        <f>SUM(B2:B16)</f>
        <v>789</v>
      </c>
      <c r="C17" s="59">
        <f>SUM(C2:C16)</f>
        <v>477</v>
      </c>
      <c r="D17" s="59">
        <f>SUM(D2:D16)</f>
        <v>312</v>
      </c>
      <c r="E17" s="60">
        <f t="shared" si="0"/>
        <v>39.543726235741445</v>
      </c>
      <c r="F17" s="59">
        <v>2</v>
      </c>
      <c r="G17" s="59">
        <v>1</v>
      </c>
      <c r="H17" s="59">
        <v>0.32</v>
      </c>
      <c r="L17" s="48" t="s">
        <v>3628</v>
      </c>
      <c r="M17" t="s">
        <v>3640</v>
      </c>
    </row>
    <row r="19" spans="1:13">
      <c r="L19" s="48" t="s">
        <v>3634</v>
      </c>
      <c r="M19" t="s">
        <v>3641</v>
      </c>
    </row>
    <row r="20" spans="1:13">
      <c r="L20" s="49" t="s">
        <v>172</v>
      </c>
      <c r="M20" s="37">
        <v>56.71641791044776</v>
      </c>
    </row>
    <row r="21" spans="1:13">
      <c r="L21" s="49" t="s">
        <v>236</v>
      </c>
      <c r="M21" s="37">
        <v>0</v>
      </c>
    </row>
    <row r="22" spans="1:13">
      <c r="L22" s="49" t="s">
        <v>3392</v>
      </c>
      <c r="M22" s="37">
        <v>44</v>
      </c>
    </row>
    <row r="23" spans="1:13">
      <c r="L23" s="49" t="s">
        <v>3203</v>
      </c>
      <c r="M23" s="37">
        <v>19.047619047619047</v>
      </c>
    </row>
    <row r="24" spans="1:13">
      <c r="L24" s="49" t="s">
        <v>21</v>
      </c>
      <c r="M24" s="37">
        <v>5.7142857142857144</v>
      </c>
    </row>
    <row r="25" spans="1:13">
      <c r="L25" s="49" t="s">
        <v>115</v>
      </c>
      <c r="M25" s="37">
        <v>15.789473684210526</v>
      </c>
    </row>
    <row r="26" spans="1:13">
      <c r="L26" s="49" t="s">
        <v>215</v>
      </c>
      <c r="M26" s="37">
        <v>90.909090909090907</v>
      </c>
    </row>
    <row r="27" spans="1:13">
      <c r="L27" s="49" t="s">
        <v>36</v>
      </c>
      <c r="M27" s="37">
        <v>55.782312925170068</v>
      </c>
    </row>
    <row r="28" spans="1:13">
      <c r="L28" s="49" t="s">
        <v>321</v>
      </c>
      <c r="M28" s="37">
        <v>0</v>
      </c>
    </row>
    <row r="29" spans="1:13">
      <c r="L29" s="49" t="s">
        <v>3633</v>
      </c>
      <c r="M29" s="37">
        <v>42.857142857142854</v>
      </c>
    </row>
    <row r="30" spans="1:13">
      <c r="L30" s="49" t="s">
        <v>768</v>
      </c>
      <c r="M30" s="37">
        <v>21.428571428571427</v>
      </c>
    </row>
    <row r="31" spans="1:13">
      <c r="L31" s="49" t="s">
        <v>497</v>
      </c>
      <c r="M31" s="37">
        <v>50</v>
      </c>
    </row>
    <row r="32" spans="1:13">
      <c r="L32" s="49" t="s">
        <v>3628</v>
      </c>
      <c r="M32" s="37">
        <v>42.582417582417584</v>
      </c>
    </row>
    <row r="33" spans="12:13">
      <c r="L33" s="49" t="s">
        <v>44</v>
      </c>
      <c r="M33" s="37">
        <v>48.648648648648646</v>
      </c>
    </row>
    <row r="34" spans="12:13">
      <c r="L34" s="49" t="s">
        <v>3162</v>
      </c>
      <c r="M34" s="37">
        <v>47.586206896551722</v>
      </c>
    </row>
    <row r="35" spans="12:13">
      <c r="L35" s="49" t="s">
        <v>3637</v>
      </c>
      <c r="M35" s="37">
        <v>541.06218760415629</v>
      </c>
    </row>
  </sheetData>
  <pageMargins left="0.7" right="0.7" top="0.75" bottom="0.75" header="0.3" footer="0.3"/>
  <pageSetup paperSize="9" scale="5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9"/>
  <sheetViews>
    <sheetView topLeftCell="A723" workbookViewId="0">
      <selection activeCell="C7" sqref="C7"/>
    </sheetView>
  </sheetViews>
  <sheetFormatPr baseColWidth="10" defaultColWidth="11.42578125" defaultRowHeight="15"/>
  <cols>
    <col min="1" max="2" width="11.42578125" customWidth="1"/>
    <col min="3" max="3" width="18.140625" customWidth="1"/>
  </cols>
  <sheetData>
    <row r="1" spans="1:1">
      <c r="A1" s="14" t="s">
        <v>20</v>
      </c>
    </row>
    <row r="2" spans="1:1">
      <c r="A2" s="14" t="s">
        <v>35</v>
      </c>
    </row>
    <row r="3" spans="1:1">
      <c r="A3" s="14" t="s">
        <v>43</v>
      </c>
    </row>
    <row r="4" spans="1:1">
      <c r="A4" s="14" t="s">
        <v>51</v>
      </c>
    </row>
    <row r="5" spans="1:1">
      <c r="A5" s="14" t="s">
        <v>58</v>
      </c>
    </row>
    <row r="6" spans="1:1">
      <c r="A6" s="14" t="s">
        <v>62</v>
      </c>
    </row>
    <row r="7" spans="1:1">
      <c r="A7" s="14" t="s">
        <v>69</v>
      </c>
    </row>
    <row r="8" spans="1:1">
      <c r="A8" s="14" t="s">
        <v>75</v>
      </c>
    </row>
    <row r="9" spans="1:1">
      <c r="A9" s="14" t="s">
        <v>79</v>
      </c>
    </row>
    <row r="10" spans="1:1">
      <c r="A10" s="14" t="s">
        <v>86</v>
      </c>
    </row>
    <row r="11" spans="1:1">
      <c r="A11" s="14" t="s">
        <v>91</v>
      </c>
    </row>
    <row r="12" spans="1:1">
      <c r="A12" s="14" t="s">
        <v>96</v>
      </c>
    </row>
    <row r="13" spans="1:1">
      <c r="A13" s="14" t="s">
        <v>101</v>
      </c>
    </row>
    <row r="14" spans="1:1">
      <c r="A14" s="14" t="s">
        <v>105</v>
      </c>
    </row>
    <row r="15" spans="1:1">
      <c r="A15" s="14" t="s">
        <v>109</v>
      </c>
    </row>
    <row r="16" spans="1:1">
      <c r="A16" s="14" t="s">
        <v>114</v>
      </c>
    </row>
    <row r="17" spans="1:1">
      <c r="A17" s="14" t="s">
        <v>119</v>
      </c>
    </row>
    <row r="18" spans="1:1">
      <c r="A18" s="14" t="s">
        <v>124</v>
      </c>
    </row>
    <row r="19" spans="1:1">
      <c r="A19" s="14" t="s">
        <v>128</v>
      </c>
    </row>
    <row r="20" spans="1:1">
      <c r="A20" s="14" t="s">
        <v>132</v>
      </c>
    </row>
    <row r="21" spans="1:1">
      <c r="A21" s="14" t="s">
        <v>136</v>
      </c>
    </row>
    <row r="22" spans="1:1">
      <c r="A22" s="14" t="s">
        <v>144</v>
      </c>
    </row>
    <row r="23" spans="1:1">
      <c r="A23" s="14" t="s">
        <v>148</v>
      </c>
    </row>
    <row r="24" spans="1:1">
      <c r="A24" s="14" t="s">
        <v>155</v>
      </c>
    </row>
    <row r="25" spans="1:1">
      <c r="A25" s="14" t="s">
        <v>162</v>
      </c>
    </row>
    <row r="26" spans="1:1">
      <c r="A26" s="14" t="s">
        <v>167</v>
      </c>
    </row>
    <row r="27" spans="1:1">
      <c r="A27" s="14" t="s">
        <v>171</v>
      </c>
    </row>
    <row r="28" spans="1:1">
      <c r="A28" s="14" t="s">
        <v>173</v>
      </c>
    </row>
    <row r="29" spans="1:1">
      <c r="A29" s="14" t="s">
        <v>185</v>
      </c>
    </row>
    <row r="30" spans="1:1">
      <c r="A30" s="14" t="s">
        <v>80</v>
      </c>
    </row>
    <row r="31" spans="1:1">
      <c r="A31" s="14" t="s">
        <v>52</v>
      </c>
    </row>
    <row r="32" spans="1:1">
      <c r="A32" s="14" t="s">
        <v>38</v>
      </c>
    </row>
    <row r="33" spans="1:1">
      <c r="A33" s="14" t="s">
        <v>179</v>
      </c>
    </row>
    <row r="34" spans="1:1">
      <c r="A34" s="14" t="s">
        <v>45</v>
      </c>
    </row>
    <row r="35" spans="1:1">
      <c r="A35" s="14" t="s">
        <v>189</v>
      </c>
    </row>
    <row r="36" spans="1:1">
      <c r="A36" s="14" t="s">
        <v>138</v>
      </c>
    </row>
    <row r="37" spans="1:1">
      <c r="A37" s="14" t="s">
        <v>221</v>
      </c>
    </row>
    <row r="38" spans="1:1">
      <c r="A38" s="14" t="s">
        <v>227</v>
      </c>
    </row>
    <row r="39" spans="1:1">
      <c r="A39" s="14" t="s">
        <v>231</v>
      </c>
    </row>
    <row r="40" spans="1:1">
      <c r="A40" s="14" t="s">
        <v>235</v>
      </c>
    </row>
    <row r="41" spans="1:1">
      <c r="A41" s="14" t="s">
        <v>242</v>
      </c>
    </row>
    <row r="42" spans="1:1">
      <c r="A42" s="14" t="s">
        <v>246</v>
      </c>
    </row>
    <row r="43" spans="1:1">
      <c r="A43" s="14" t="s">
        <v>250</v>
      </c>
    </row>
    <row r="44" spans="1:1">
      <c r="A44" s="14" t="s">
        <v>256</v>
      </c>
    </row>
    <row r="45" spans="1:1">
      <c r="A45" s="14" t="s">
        <v>263</v>
      </c>
    </row>
    <row r="46" spans="1:1">
      <c r="A46" s="14" t="s">
        <v>269</v>
      </c>
    </row>
    <row r="47" spans="1:1">
      <c r="A47" s="14" t="s">
        <v>275</v>
      </c>
    </row>
    <row r="48" spans="1:1">
      <c r="A48" s="14" t="s">
        <v>281</v>
      </c>
    </row>
    <row r="49" spans="1:1">
      <c r="A49" s="14" t="s">
        <v>287</v>
      </c>
    </row>
    <row r="50" spans="1:1">
      <c r="A50" s="14" t="s">
        <v>293</v>
      </c>
    </row>
    <row r="51" spans="1:1">
      <c r="A51" s="14" t="s">
        <v>297</v>
      </c>
    </row>
    <row r="52" spans="1:1">
      <c r="A52" s="14" t="s">
        <v>303</v>
      </c>
    </row>
    <row r="53" spans="1:1">
      <c r="A53" s="14" t="s">
        <v>310</v>
      </c>
    </row>
    <row r="54" spans="1:1">
      <c r="A54" s="14" t="s">
        <v>316</v>
      </c>
    </row>
    <row r="55" spans="1:1">
      <c r="A55" s="14" t="s">
        <v>320</v>
      </c>
    </row>
    <row r="56" spans="1:1">
      <c r="A56" s="14" t="s">
        <v>325</v>
      </c>
    </row>
    <row r="57" spans="1:1">
      <c r="A57" s="14" t="s">
        <v>331</v>
      </c>
    </row>
    <row r="58" spans="1:1">
      <c r="A58" s="14" t="s">
        <v>335</v>
      </c>
    </row>
    <row r="59" spans="1:1">
      <c r="A59" s="14" t="s">
        <v>341</v>
      </c>
    </row>
    <row r="60" spans="1:1">
      <c r="A60" s="14" t="s">
        <v>346</v>
      </c>
    </row>
    <row r="61" spans="1:1">
      <c r="A61" s="14" t="s">
        <v>350</v>
      </c>
    </row>
    <row r="62" spans="1:1">
      <c r="A62" s="14" t="s">
        <v>354</v>
      </c>
    </row>
    <row r="63" spans="1:1">
      <c r="A63" s="14" t="s">
        <v>360</v>
      </c>
    </row>
    <row r="64" spans="1:1">
      <c r="A64" s="14" t="s">
        <v>366</v>
      </c>
    </row>
    <row r="65" spans="1:1">
      <c r="A65" s="14" t="s">
        <v>371</v>
      </c>
    </row>
    <row r="66" spans="1:1">
      <c r="A66" s="14" t="s">
        <v>375</v>
      </c>
    </row>
    <row r="67" spans="1:1">
      <c r="A67" s="14" t="s">
        <v>381</v>
      </c>
    </row>
    <row r="68" spans="1:1">
      <c r="A68" s="14" t="s">
        <v>387</v>
      </c>
    </row>
    <row r="69" spans="1:1">
      <c r="A69" s="14" t="s">
        <v>393</v>
      </c>
    </row>
    <row r="70" spans="1:1">
      <c r="A70" s="14" t="s">
        <v>397</v>
      </c>
    </row>
    <row r="71" spans="1:1">
      <c r="A71" s="14" t="s">
        <v>404</v>
      </c>
    </row>
    <row r="72" spans="1:1">
      <c r="A72" s="14" t="s">
        <v>410</v>
      </c>
    </row>
    <row r="73" spans="1:1">
      <c r="A73" s="14" t="s">
        <v>415</v>
      </c>
    </row>
    <row r="74" spans="1:1">
      <c r="A74" s="14" t="s">
        <v>420</v>
      </c>
    </row>
    <row r="75" spans="1:1">
      <c r="A75" s="14" t="s">
        <v>426</v>
      </c>
    </row>
    <row r="76" spans="1:1">
      <c r="A76" s="14" t="s">
        <v>432</v>
      </c>
    </row>
    <row r="77" spans="1:1">
      <c r="A77" s="14" t="s">
        <v>438</v>
      </c>
    </row>
    <row r="78" spans="1:1">
      <c r="A78" s="14" t="s">
        <v>442</v>
      </c>
    </row>
    <row r="79" spans="1:1">
      <c r="A79" s="14" t="s">
        <v>448</v>
      </c>
    </row>
    <row r="80" spans="1:1">
      <c r="A80" s="14" t="s">
        <v>454</v>
      </c>
    </row>
    <row r="81" spans="1:1">
      <c r="A81" s="14" t="s">
        <v>459</v>
      </c>
    </row>
    <row r="82" spans="1:1">
      <c r="A82" s="14" t="s">
        <v>464</v>
      </c>
    </row>
    <row r="83" spans="1:1">
      <c r="A83" s="14" t="s">
        <v>469</v>
      </c>
    </row>
    <row r="84" spans="1:1">
      <c r="A84" s="14" t="s">
        <v>475</v>
      </c>
    </row>
    <row r="85" spans="1:1">
      <c r="A85" s="14" t="s">
        <v>481</v>
      </c>
    </row>
    <row r="86" spans="1:1">
      <c r="A86" s="14" t="s">
        <v>487</v>
      </c>
    </row>
    <row r="87" spans="1:1">
      <c r="A87" s="14" t="s">
        <v>492</v>
      </c>
    </row>
    <row r="88" spans="1:1">
      <c r="A88" s="14" t="s">
        <v>496</v>
      </c>
    </row>
    <row r="89" spans="1:1">
      <c r="A89" s="14" t="s">
        <v>501</v>
      </c>
    </row>
    <row r="90" spans="1:1">
      <c r="A90" s="14" t="s">
        <v>505</v>
      </c>
    </row>
    <row r="91" spans="1:1">
      <c r="A91" s="14" t="s">
        <v>510</v>
      </c>
    </row>
    <row r="92" spans="1:1">
      <c r="A92" s="14" t="s">
        <v>515</v>
      </c>
    </row>
    <row r="93" spans="1:1">
      <c r="A93" s="14" t="s">
        <v>519</v>
      </c>
    </row>
    <row r="94" spans="1:1">
      <c r="A94" s="14" t="s">
        <v>523</v>
      </c>
    </row>
    <row r="95" spans="1:1">
      <c r="A95" s="14" t="s">
        <v>527</v>
      </c>
    </row>
    <row r="96" spans="1:1">
      <c r="A96" s="14" t="s">
        <v>534</v>
      </c>
    </row>
    <row r="97" spans="1:1">
      <c r="A97" s="14" t="s">
        <v>538</v>
      </c>
    </row>
    <row r="98" spans="1:1">
      <c r="A98" s="14" t="s">
        <v>542</v>
      </c>
    </row>
    <row r="99" spans="1:1">
      <c r="A99" s="14" t="s">
        <v>546</v>
      </c>
    </row>
    <row r="100" spans="1:1">
      <c r="A100" s="14" t="s">
        <v>551</v>
      </c>
    </row>
    <row r="101" spans="1:1">
      <c r="A101" s="14" t="s">
        <v>555</v>
      </c>
    </row>
    <row r="102" spans="1:1">
      <c r="A102" s="14" t="s">
        <v>559</v>
      </c>
    </row>
    <row r="103" spans="1:1">
      <c r="A103" s="14" t="s">
        <v>563</v>
      </c>
    </row>
    <row r="104" spans="1:1">
      <c r="A104" s="14" t="s">
        <v>567</v>
      </c>
    </row>
    <row r="105" spans="1:1">
      <c r="A105" s="14" t="s">
        <v>571</v>
      </c>
    </row>
    <row r="106" spans="1:1">
      <c r="A106" s="14" t="s">
        <v>575</v>
      </c>
    </row>
    <row r="107" spans="1:1">
      <c r="A107" s="14" t="s">
        <v>579</v>
      </c>
    </row>
    <row r="108" spans="1:1">
      <c r="A108" s="14" t="s">
        <v>584</v>
      </c>
    </row>
    <row r="109" spans="1:1">
      <c r="A109" s="14" t="s">
        <v>590</v>
      </c>
    </row>
    <row r="110" spans="1:1">
      <c r="A110" s="14" t="s">
        <v>594</v>
      </c>
    </row>
    <row r="111" spans="1:1">
      <c r="A111" s="14" t="s">
        <v>598</v>
      </c>
    </row>
    <row r="112" spans="1:1">
      <c r="A112" s="14" t="s">
        <v>602</v>
      </c>
    </row>
    <row r="113" spans="1:1">
      <c r="A113" s="14" t="s">
        <v>606</v>
      </c>
    </row>
    <row r="114" spans="1:1">
      <c r="A114" s="14" t="s">
        <v>612</v>
      </c>
    </row>
    <row r="115" spans="1:1">
      <c r="A115" s="14" t="s">
        <v>618</v>
      </c>
    </row>
    <row r="116" spans="1:1">
      <c r="A116" s="14" t="s">
        <v>623</v>
      </c>
    </row>
    <row r="117" spans="1:1">
      <c r="A117" s="14" t="s">
        <v>627</v>
      </c>
    </row>
    <row r="118" spans="1:1">
      <c r="A118" s="14" t="s">
        <v>631</v>
      </c>
    </row>
    <row r="119" spans="1:1">
      <c r="A119" s="14" t="s">
        <v>635</v>
      </c>
    </row>
    <row r="120" spans="1:1">
      <c r="A120" s="14" t="s">
        <v>641</v>
      </c>
    </row>
    <row r="121" spans="1:1">
      <c r="A121" s="14" t="s">
        <v>647</v>
      </c>
    </row>
    <row r="122" spans="1:1">
      <c r="A122" s="14" t="s">
        <v>653</v>
      </c>
    </row>
    <row r="123" spans="1:1">
      <c r="A123" s="14" t="s">
        <v>659</v>
      </c>
    </row>
    <row r="124" spans="1:1">
      <c r="A124" s="14" t="s">
        <v>665</v>
      </c>
    </row>
    <row r="125" spans="1:1">
      <c r="A125" s="14" t="s">
        <v>671</v>
      </c>
    </row>
    <row r="126" spans="1:1">
      <c r="A126" s="14" t="s">
        <v>675</v>
      </c>
    </row>
    <row r="127" spans="1:1">
      <c r="A127" s="14" t="s">
        <v>679</v>
      </c>
    </row>
    <row r="128" spans="1:1">
      <c r="A128" s="14" t="s">
        <v>684</v>
      </c>
    </row>
    <row r="129" spans="1:1">
      <c r="A129" s="14" t="s">
        <v>693</v>
      </c>
    </row>
    <row r="130" spans="1:1">
      <c r="A130" s="14" t="s">
        <v>698</v>
      </c>
    </row>
    <row r="131" spans="1:1">
      <c r="A131" s="14" t="s">
        <v>702</v>
      </c>
    </row>
    <row r="132" spans="1:1">
      <c r="A132" s="14" t="s">
        <v>706</v>
      </c>
    </row>
    <row r="133" spans="1:1">
      <c r="A133" s="14" t="s">
        <v>710</v>
      </c>
    </row>
    <row r="134" spans="1:1">
      <c r="A134" s="14" t="s">
        <v>715</v>
      </c>
    </row>
    <row r="135" spans="1:1">
      <c r="A135" s="14" t="s">
        <v>719</v>
      </c>
    </row>
    <row r="136" spans="1:1">
      <c r="A136" s="14" t="s">
        <v>723</v>
      </c>
    </row>
    <row r="137" spans="1:1">
      <c r="A137" s="14" t="s">
        <v>727</v>
      </c>
    </row>
    <row r="138" spans="1:1">
      <c r="A138" s="14" t="s">
        <v>733</v>
      </c>
    </row>
    <row r="139" spans="1:1">
      <c r="A139" s="14" t="s">
        <v>737</v>
      </c>
    </row>
    <row r="140" spans="1:1">
      <c r="A140" s="14" t="s">
        <v>741</v>
      </c>
    </row>
    <row r="141" spans="1:1">
      <c r="A141" s="14" t="s">
        <v>747</v>
      </c>
    </row>
    <row r="142" spans="1:1">
      <c r="A142" s="14" t="s">
        <v>751</v>
      </c>
    </row>
    <row r="143" spans="1:1">
      <c r="A143" s="14" t="s">
        <v>757</v>
      </c>
    </row>
    <row r="144" spans="1:1">
      <c r="A144" s="14" t="s">
        <v>762</v>
      </c>
    </row>
    <row r="145" spans="1:1">
      <c r="A145" s="14" t="s">
        <v>767</v>
      </c>
    </row>
    <row r="146" spans="1:1">
      <c r="A146" s="14" t="s">
        <v>772</v>
      </c>
    </row>
    <row r="147" spans="1:1">
      <c r="A147" s="14" t="s">
        <v>776</v>
      </c>
    </row>
    <row r="148" spans="1:1">
      <c r="A148" s="14" t="s">
        <v>780</v>
      </c>
    </row>
    <row r="149" spans="1:1">
      <c r="A149" s="14" t="s">
        <v>786</v>
      </c>
    </row>
    <row r="150" spans="1:1">
      <c r="A150" s="14" t="s">
        <v>793</v>
      </c>
    </row>
    <row r="151" spans="1:1">
      <c r="A151" s="14" t="s">
        <v>799</v>
      </c>
    </row>
    <row r="152" spans="1:1">
      <c r="A152" s="14" t="s">
        <v>803</v>
      </c>
    </row>
    <row r="153" spans="1:1">
      <c r="A153" s="14" t="s">
        <v>807</v>
      </c>
    </row>
    <row r="154" spans="1:1">
      <c r="A154" s="14" t="s">
        <v>811</v>
      </c>
    </row>
    <row r="155" spans="1:1">
      <c r="A155" s="14" t="s">
        <v>817</v>
      </c>
    </row>
    <row r="156" spans="1:1">
      <c r="A156" s="14" t="s">
        <v>821</v>
      </c>
    </row>
    <row r="157" spans="1:1">
      <c r="A157" s="14" t="s">
        <v>825</v>
      </c>
    </row>
    <row r="158" spans="1:1">
      <c r="A158" s="14" t="s">
        <v>831</v>
      </c>
    </row>
    <row r="159" spans="1:1">
      <c r="A159" s="14" t="s">
        <v>836</v>
      </c>
    </row>
    <row r="160" spans="1:1">
      <c r="A160" s="14" t="s">
        <v>842</v>
      </c>
    </row>
    <row r="161" spans="1:1">
      <c r="A161" s="14" t="s">
        <v>848</v>
      </c>
    </row>
    <row r="162" spans="1:1">
      <c r="A162" s="14" t="s">
        <v>854</v>
      </c>
    </row>
    <row r="163" spans="1:1">
      <c r="A163" s="14" t="s">
        <v>858</v>
      </c>
    </row>
    <row r="164" spans="1:1">
      <c r="A164" s="14" t="s">
        <v>863</v>
      </c>
    </row>
    <row r="165" spans="1:1">
      <c r="A165" s="14" t="s">
        <v>867</v>
      </c>
    </row>
    <row r="166" spans="1:1">
      <c r="A166" s="14" t="s">
        <v>871</v>
      </c>
    </row>
    <row r="167" spans="1:1">
      <c r="A167" s="14" t="s">
        <v>875</v>
      </c>
    </row>
    <row r="168" spans="1:1">
      <c r="A168" s="14" t="s">
        <v>881</v>
      </c>
    </row>
    <row r="169" spans="1:1">
      <c r="A169" s="14" t="s">
        <v>886</v>
      </c>
    </row>
    <row r="170" spans="1:1">
      <c r="A170" s="14" t="s">
        <v>892</v>
      </c>
    </row>
    <row r="171" spans="1:1">
      <c r="A171" s="14" t="s">
        <v>898</v>
      </c>
    </row>
    <row r="172" spans="1:1">
      <c r="A172" s="14" t="s">
        <v>902</v>
      </c>
    </row>
    <row r="173" spans="1:1">
      <c r="A173" s="14" t="s">
        <v>908</v>
      </c>
    </row>
    <row r="174" spans="1:1">
      <c r="A174" s="14" t="s">
        <v>912</v>
      </c>
    </row>
    <row r="175" spans="1:1">
      <c r="A175" s="14" t="s">
        <v>917</v>
      </c>
    </row>
    <row r="176" spans="1:1">
      <c r="A176" s="14" t="s">
        <v>922</v>
      </c>
    </row>
    <row r="177" spans="1:1">
      <c r="A177" s="14" t="s">
        <v>928</v>
      </c>
    </row>
    <row r="178" spans="1:1">
      <c r="A178" s="14" t="s">
        <v>932</v>
      </c>
    </row>
    <row r="179" spans="1:1">
      <c r="A179" s="14" t="s">
        <v>938</v>
      </c>
    </row>
    <row r="180" spans="1:1">
      <c r="A180" s="14" t="s">
        <v>943</v>
      </c>
    </row>
    <row r="181" spans="1:1">
      <c r="A181" s="14" t="s">
        <v>948</v>
      </c>
    </row>
    <row r="182" spans="1:1">
      <c r="A182" s="14" t="s">
        <v>954</v>
      </c>
    </row>
    <row r="183" spans="1:1">
      <c r="A183" s="14" t="s">
        <v>960</v>
      </c>
    </row>
    <row r="184" spans="1:1">
      <c r="A184" s="14" t="s">
        <v>965</v>
      </c>
    </row>
    <row r="185" spans="1:1">
      <c r="A185" s="14" t="s">
        <v>969</v>
      </c>
    </row>
    <row r="186" spans="1:1">
      <c r="A186" s="14" t="s">
        <v>973</v>
      </c>
    </row>
    <row r="187" spans="1:1">
      <c r="A187" s="14" t="s">
        <v>980</v>
      </c>
    </row>
    <row r="188" spans="1:1">
      <c r="A188" s="14" t="s">
        <v>984</v>
      </c>
    </row>
    <row r="189" spans="1:1">
      <c r="A189" s="14" t="s">
        <v>989</v>
      </c>
    </row>
    <row r="190" spans="1:1">
      <c r="A190" s="14" t="s">
        <v>994</v>
      </c>
    </row>
    <row r="191" spans="1:1">
      <c r="A191" s="14" t="s">
        <v>999</v>
      </c>
    </row>
    <row r="192" spans="1:1">
      <c r="A192" s="14" t="s">
        <v>1004</v>
      </c>
    </row>
    <row r="193" spans="1:1">
      <c r="A193" s="14" t="s">
        <v>1008</v>
      </c>
    </row>
    <row r="194" spans="1:1">
      <c r="A194" s="14" t="s">
        <v>1014</v>
      </c>
    </row>
    <row r="195" spans="1:1">
      <c r="A195" s="14" t="s">
        <v>1020</v>
      </c>
    </row>
    <row r="196" spans="1:1">
      <c r="A196" s="14" t="s">
        <v>1024</v>
      </c>
    </row>
    <row r="197" spans="1:1">
      <c r="A197" s="14" t="s">
        <v>1030</v>
      </c>
    </row>
    <row r="198" spans="1:1">
      <c r="A198" s="14" t="s">
        <v>1036</v>
      </c>
    </row>
    <row r="199" spans="1:1">
      <c r="A199" s="14" t="s">
        <v>1040</v>
      </c>
    </row>
    <row r="200" spans="1:1">
      <c r="A200" s="14" t="s">
        <v>1045</v>
      </c>
    </row>
    <row r="201" spans="1:1">
      <c r="A201" s="14" t="s">
        <v>1051</v>
      </c>
    </row>
    <row r="202" spans="1:1">
      <c r="A202" s="14" t="s">
        <v>1057</v>
      </c>
    </row>
    <row r="203" spans="1:1">
      <c r="A203" s="39" t="s">
        <v>1061</v>
      </c>
    </row>
    <row r="204" spans="1:1">
      <c r="A204" s="14" t="s">
        <v>1067</v>
      </c>
    </row>
    <row r="205" spans="1:1">
      <c r="A205" s="14" t="s">
        <v>1072</v>
      </c>
    </row>
    <row r="206" spans="1:1">
      <c r="A206" s="14" t="s">
        <v>1078</v>
      </c>
    </row>
    <row r="207" spans="1:1">
      <c r="A207" s="14" t="s">
        <v>1084</v>
      </c>
    </row>
    <row r="208" spans="1:1">
      <c r="A208" s="14" t="s">
        <v>1090</v>
      </c>
    </row>
    <row r="209" spans="1:1">
      <c r="A209" s="14" t="s">
        <v>1095</v>
      </c>
    </row>
    <row r="210" spans="1:1">
      <c r="A210" s="14" t="s">
        <v>1115</v>
      </c>
    </row>
    <row r="211" spans="1:1">
      <c r="A211" s="14" t="s">
        <v>1121</v>
      </c>
    </row>
    <row r="212" spans="1:1">
      <c r="A212" s="14" t="s">
        <v>1125</v>
      </c>
    </row>
    <row r="213" spans="1:1">
      <c r="A213" s="14" t="s">
        <v>1129</v>
      </c>
    </row>
    <row r="214" spans="1:1">
      <c r="A214" s="14" t="s">
        <v>1135</v>
      </c>
    </row>
    <row r="215" spans="1:1">
      <c r="A215" s="14" t="s">
        <v>1139</v>
      </c>
    </row>
    <row r="216" spans="1:1">
      <c r="A216" s="14" t="s">
        <v>1151</v>
      </c>
    </row>
    <row r="217" spans="1:1">
      <c r="A217" s="14" t="s">
        <v>1157</v>
      </c>
    </row>
    <row r="218" spans="1:1">
      <c r="A218" s="14" t="s">
        <v>1162</v>
      </c>
    </row>
    <row r="219" spans="1:1">
      <c r="A219" s="14" t="s">
        <v>1166</v>
      </c>
    </row>
    <row r="220" spans="1:1">
      <c r="A220" s="14" t="s">
        <v>1170</v>
      </c>
    </row>
    <row r="221" spans="1:1">
      <c r="A221" s="14" t="s">
        <v>1174</v>
      </c>
    </row>
    <row r="222" spans="1:1">
      <c r="A222" s="14" t="s">
        <v>1178</v>
      </c>
    </row>
    <row r="223" spans="1:1">
      <c r="A223" s="14" t="s">
        <v>1183</v>
      </c>
    </row>
    <row r="224" spans="1:1">
      <c r="A224" s="14" t="s">
        <v>1191</v>
      </c>
    </row>
    <row r="225" spans="1:1">
      <c r="A225" s="14" t="s">
        <v>1198</v>
      </c>
    </row>
    <row r="226" spans="1:1">
      <c r="A226" s="14" t="s">
        <v>1203</v>
      </c>
    </row>
    <row r="227" spans="1:1">
      <c r="A227" s="14" t="s">
        <v>1207</v>
      </c>
    </row>
    <row r="228" spans="1:1">
      <c r="A228" s="14" t="s">
        <v>1211</v>
      </c>
    </row>
    <row r="229" spans="1:1">
      <c r="A229" s="14" t="s">
        <v>1216</v>
      </c>
    </row>
    <row r="230" spans="1:1">
      <c r="A230" s="14" t="s">
        <v>1221</v>
      </c>
    </row>
    <row r="231" spans="1:1">
      <c r="A231" s="14" t="s">
        <v>1225</v>
      </c>
    </row>
    <row r="232" spans="1:1">
      <c r="A232" s="14" t="s">
        <v>1229</v>
      </c>
    </row>
    <row r="233" spans="1:1">
      <c r="A233" s="14" t="s">
        <v>1233</v>
      </c>
    </row>
    <row r="234" spans="1:1">
      <c r="A234" s="14" t="s">
        <v>1237</v>
      </c>
    </row>
    <row r="235" spans="1:1">
      <c r="A235" s="14" t="s">
        <v>1241</v>
      </c>
    </row>
    <row r="236" spans="1:1">
      <c r="A236" s="14" t="s">
        <v>1246</v>
      </c>
    </row>
    <row r="237" spans="1:1">
      <c r="A237" s="14" t="s">
        <v>1250</v>
      </c>
    </row>
    <row r="238" spans="1:1">
      <c r="A238" s="14" t="s">
        <v>1254</v>
      </c>
    </row>
    <row r="239" spans="1:1">
      <c r="A239" s="14" t="s">
        <v>1259</v>
      </c>
    </row>
    <row r="240" spans="1:1">
      <c r="A240" s="14" t="s">
        <v>1263</v>
      </c>
    </row>
    <row r="241" spans="1:1">
      <c r="A241" s="14" t="s">
        <v>1267</v>
      </c>
    </row>
    <row r="242" spans="1:1">
      <c r="A242" s="14" t="s">
        <v>1273</v>
      </c>
    </row>
    <row r="243" spans="1:1">
      <c r="A243" s="14" t="s">
        <v>1277</v>
      </c>
    </row>
    <row r="244" spans="1:1">
      <c r="A244" s="14" t="s">
        <v>1282</v>
      </c>
    </row>
    <row r="245" spans="1:1">
      <c r="A245" s="14" t="s">
        <v>1288</v>
      </c>
    </row>
    <row r="246" spans="1:1">
      <c r="A246" s="14" t="s">
        <v>1293</v>
      </c>
    </row>
    <row r="247" spans="1:1">
      <c r="A247" s="14" t="s">
        <v>1297</v>
      </c>
    </row>
    <row r="248" spans="1:1">
      <c r="A248" s="14" t="s">
        <v>1302</v>
      </c>
    </row>
    <row r="249" spans="1:1">
      <c r="A249" s="14" t="s">
        <v>1306</v>
      </c>
    </row>
    <row r="250" spans="1:1">
      <c r="A250" s="14" t="s">
        <v>1310</v>
      </c>
    </row>
    <row r="251" spans="1:1">
      <c r="A251" s="14" t="s">
        <v>1315</v>
      </c>
    </row>
    <row r="252" spans="1:1">
      <c r="A252" s="14" t="s">
        <v>1319</v>
      </c>
    </row>
    <row r="253" spans="1:1">
      <c r="A253" s="14" t="s">
        <v>1324</v>
      </c>
    </row>
    <row r="254" spans="1:1">
      <c r="A254" s="14" t="s">
        <v>1328</v>
      </c>
    </row>
    <row r="255" spans="1:1">
      <c r="A255" s="14" t="s">
        <v>1332</v>
      </c>
    </row>
    <row r="256" spans="1:1">
      <c r="A256" s="14" t="s">
        <v>1338</v>
      </c>
    </row>
    <row r="257" spans="1:1">
      <c r="A257" s="14" t="s">
        <v>1342</v>
      </c>
    </row>
    <row r="258" spans="1:1">
      <c r="A258" s="14" t="s">
        <v>1346</v>
      </c>
    </row>
    <row r="259" spans="1:1">
      <c r="A259" s="14" t="s">
        <v>1351</v>
      </c>
    </row>
    <row r="260" spans="1:1">
      <c r="A260" s="14" t="s">
        <v>1357</v>
      </c>
    </row>
    <row r="261" spans="1:1">
      <c r="A261" s="14" t="s">
        <v>1363</v>
      </c>
    </row>
    <row r="262" spans="1:1">
      <c r="A262" s="14" t="s">
        <v>1367</v>
      </c>
    </row>
    <row r="263" spans="1:1">
      <c r="A263" s="14" t="s">
        <v>1372</v>
      </c>
    </row>
    <row r="264" spans="1:1">
      <c r="A264" s="14" t="s">
        <v>1376</v>
      </c>
    </row>
    <row r="265" spans="1:1">
      <c r="A265" s="14" t="s">
        <v>1380</v>
      </c>
    </row>
    <row r="266" spans="1:1">
      <c r="A266" s="14" t="s">
        <v>1384</v>
      </c>
    </row>
    <row r="267" spans="1:1">
      <c r="A267" s="14" t="s">
        <v>1388</v>
      </c>
    </row>
    <row r="268" spans="1:1">
      <c r="A268" s="14" t="s">
        <v>1393</v>
      </c>
    </row>
    <row r="269" spans="1:1">
      <c r="A269" s="14" t="s">
        <v>1397</v>
      </c>
    </row>
    <row r="270" spans="1:1">
      <c r="A270" s="14" t="s">
        <v>1400</v>
      </c>
    </row>
    <row r="271" spans="1:1">
      <c r="A271" s="14" t="s">
        <v>1404</v>
      </c>
    </row>
    <row r="272" spans="1:1">
      <c r="A272" s="14" t="s">
        <v>1408</v>
      </c>
    </row>
    <row r="273" spans="1:1">
      <c r="A273" s="14" t="s">
        <v>1412</v>
      </c>
    </row>
    <row r="274" spans="1:1">
      <c r="A274" s="14" t="s">
        <v>1416</v>
      </c>
    </row>
    <row r="275" spans="1:1">
      <c r="A275" s="14" t="s">
        <v>1420</v>
      </c>
    </row>
    <row r="276" spans="1:1">
      <c r="A276" s="14" t="s">
        <v>1424</v>
      </c>
    </row>
    <row r="277" spans="1:1">
      <c r="A277" s="14" t="s">
        <v>1428</v>
      </c>
    </row>
    <row r="278" spans="1:1">
      <c r="A278" s="14" t="s">
        <v>1432</v>
      </c>
    </row>
    <row r="279" spans="1:1">
      <c r="A279" s="14" t="s">
        <v>1436</v>
      </c>
    </row>
    <row r="280" spans="1:1">
      <c r="A280" s="14" t="s">
        <v>1442</v>
      </c>
    </row>
    <row r="281" spans="1:1">
      <c r="A281" s="14" t="s">
        <v>1446</v>
      </c>
    </row>
    <row r="282" spans="1:1">
      <c r="A282" s="14" t="s">
        <v>1453</v>
      </c>
    </row>
    <row r="283" spans="1:1">
      <c r="A283" s="14" t="s">
        <v>1457</v>
      </c>
    </row>
    <row r="284" spans="1:1">
      <c r="A284" s="14" t="s">
        <v>1461</v>
      </c>
    </row>
    <row r="285" spans="1:1">
      <c r="A285" s="14" t="s">
        <v>1465</v>
      </c>
    </row>
    <row r="286" spans="1:1">
      <c r="A286" s="14" t="s">
        <v>1470</v>
      </c>
    </row>
    <row r="287" spans="1:1">
      <c r="A287" s="14" t="s">
        <v>1474</v>
      </c>
    </row>
    <row r="288" spans="1:1">
      <c r="A288" s="14" t="s">
        <v>1478</v>
      </c>
    </row>
    <row r="289" spans="1:1">
      <c r="A289" s="14" t="s">
        <v>1482</v>
      </c>
    </row>
    <row r="290" spans="1:1">
      <c r="A290" s="14" t="s">
        <v>1486</v>
      </c>
    </row>
    <row r="291" spans="1:1">
      <c r="A291" s="14" t="s">
        <v>1490</v>
      </c>
    </row>
    <row r="292" spans="1:1">
      <c r="A292" s="14" t="s">
        <v>1496</v>
      </c>
    </row>
    <row r="293" spans="1:1">
      <c r="A293" s="14" t="s">
        <v>1500</v>
      </c>
    </row>
    <row r="294" spans="1:1">
      <c r="A294" s="14" t="s">
        <v>1505</v>
      </c>
    </row>
    <row r="295" spans="1:1">
      <c r="A295" s="14" t="s">
        <v>1510</v>
      </c>
    </row>
    <row r="296" spans="1:1">
      <c r="A296" s="14" t="s">
        <v>1515</v>
      </c>
    </row>
    <row r="297" spans="1:1">
      <c r="A297" s="14" t="s">
        <v>1519</v>
      </c>
    </row>
    <row r="298" spans="1:1">
      <c r="A298" s="14" t="s">
        <v>1523</v>
      </c>
    </row>
    <row r="299" spans="1:1">
      <c r="A299" s="14" t="s">
        <v>1528</v>
      </c>
    </row>
    <row r="300" spans="1:1">
      <c r="A300" s="14" t="s">
        <v>1532</v>
      </c>
    </row>
    <row r="301" spans="1:1">
      <c r="A301" s="14" t="s">
        <v>1536</v>
      </c>
    </row>
    <row r="302" spans="1:1">
      <c r="A302" s="14" t="s">
        <v>1536</v>
      </c>
    </row>
    <row r="303" spans="1:1">
      <c r="A303" s="14" t="s">
        <v>1542</v>
      </c>
    </row>
    <row r="304" spans="1:1">
      <c r="A304" s="14" t="s">
        <v>1546</v>
      </c>
    </row>
    <row r="305" spans="1:1">
      <c r="A305" s="14" t="s">
        <v>1549</v>
      </c>
    </row>
    <row r="306" spans="1:1">
      <c r="A306" s="14" t="s">
        <v>1553</v>
      </c>
    </row>
    <row r="307" spans="1:1">
      <c r="A307" s="14" t="s">
        <v>1558</v>
      </c>
    </row>
    <row r="308" spans="1:1">
      <c r="A308" s="14" t="s">
        <v>1563</v>
      </c>
    </row>
    <row r="309" spans="1:1">
      <c r="A309" s="14" t="s">
        <v>1567</v>
      </c>
    </row>
    <row r="310" spans="1:1">
      <c r="A310" s="14" t="s">
        <v>1572</v>
      </c>
    </row>
    <row r="311" spans="1:1">
      <c r="A311" s="14" t="s">
        <v>1576</v>
      </c>
    </row>
    <row r="312" spans="1:1">
      <c r="A312" s="14" t="s">
        <v>1580</v>
      </c>
    </row>
    <row r="313" spans="1:1">
      <c r="A313" s="14" t="s">
        <v>1584</v>
      </c>
    </row>
    <row r="314" spans="1:1">
      <c r="A314" s="14" t="s">
        <v>1589</v>
      </c>
    </row>
    <row r="315" spans="1:1">
      <c r="A315" s="14" t="s">
        <v>1593</v>
      </c>
    </row>
    <row r="316" spans="1:1">
      <c r="A316" s="14" t="s">
        <v>1597</v>
      </c>
    </row>
    <row r="317" spans="1:1">
      <c r="A317" s="14" t="s">
        <v>1602</v>
      </c>
    </row>
    <row r="318" spans="1:1">
      <c r="A318" s="14" t="s">
        <v>1607</v>
      </c>
    </row>
    <row r="319" spans="1:1">
      <c r="A319" s="14" t="s">
        <v>1611</v>
      </c>
    </row>
    <row r="320" spans="1:1">
      <c r="A320" s="14" t="s">
        <v>1616</v>
      </c>
    </row>
    <row r="321" spans="1:1">
      <c r="A321" s="14" t="s">
        <v>1621</v>
      </c>
    </row>
    <row r="322" spans="1:1">
      <c r="A322" s="14" t="s">
        <v>1626</v>
      </c>
    </row>
    <row r="323" spans="1:1">
      <c r="A323" s="14" t="s">
        <v>1631</v>
      </c>
    </row>
    <row r="324" spans="1:1">
      <c r="A324" s="14" t="s">
        <v>1635</v>
      </c>
    </row>
    <row r="325" spans="1:1">
      <c r="A325" s="14" t="s">
        <v>1638</v>
      </c>
    </row>
    <row r="326" spans="1:1">
      <c r="A326" s="14" t="s">
        <v>1646</v>
      </c>
    </row>
    <row r="327" spans="1:1">
      <c r="A327" s="14" t="s">
        <v>1650</v>
      </c>
    </row>
    <row r="328" spans="1:1">
      <c r="A328" s="14" t="s">
        <v>1655</v>
      </c>
    </row>
    <row r="329" spans="1:1">
      <c r="A329" s="14" t="s">
        <v>1659</v>
      </c>
    </row>
    <row r="330" spans="1:1">
      <c r="A330" s="14" t="s">
        <v>1663</v>
      </c>
    </row>
    <row r="331" spans="1:1">
      <c r="A331" s="14" t="s">
        <v>1667</v>
      </c>
    </row>
    <row r="332" spans="1:1">
      <c r="A332" s="14" t="s">
        <v>1671</v>
      </c>
    </row>
    <row r="333" spans="1:1">
      <c r="A333" s="14" t="s">
        <v>1676</v>
      </c>
    </row>
    <row r="334" spans="1:1">
      <c r="A334" s="14" t="s">
        <v>1681</v>
      </c>
    </row>
    <row r="335" spans="1:1">
      <c r="A335" s="14" t="s">
        <v>1685</v>
      </c>
    </row>
    <row r="336" spans="1:1">
      <c r="A336" s="14" t="s">
        <v>1689</v>
      </c>
    </row>
    <row r="337" spans="1:1">
      <c r="A337" s="14" t="s">
        <v>1694</v>
      </c>
    </row>
    <row r="338" spans="1:1">
      <c r="A338" s="14" t="s">
        <v>1699</v>
      </c>
    </row>
    <row r="339" spans="1:1">
      <c r="A339" s="14" t="s">
        <v>1703</v>
      </c>
    </row>
    <row r="340" spans="1:1">
      <c r="A340" s="14" t="s">
        <v>1707</v>
      </c>
    </row>
    <row r="341" spans="1:1">
      <c r="A341" s="14" t="s">
        <v>1712</v>
      </c>
    </row>
    <row r="342" spans="1:1">
      <c r="A342" s="14" t="s">
        <v>1716</v>
      </c>
    </row>
    <row r="343" spans="1:1">
      <c r="A343" s="14" t="s">
        <v>1720</v>
      </c>
    </row>
    <row r="344" spans="1:1">
      <c r="A344" s="14" t="s">
        <v>1724</v>
      </c>
    </row>
    <row r="345" spans="1:1">
      <c r="A345" s="14" t="s">
        <v>1728</v>
      </c>
    </row>
    <row r="346" spans="1:1">
      <c r="A346" s="14" t="s">
        <v>1733</v>
      </c>
    </row>
    <row r="347" spans="1:1">
      <c r="A347" s="14" t="s">
        <v>1737</v>
      </c>
    </row>
    <row r="348" spans="1:1">
      <c r="A348" s="14" t="s">
        <v>1741</v>
      </c>
    </row>
    <row r="349" spans="1:1">
      <c r="A349" s="14" t="s">
        <v>1746</v>
      </c>
    </row>
    <row r="350" spans="1:1">
      <c r="A350" s="14" t="s">
        <v>1750</v>
      </c>
    </row>
    <row r="351" spans="1:1">
      <c r="A351" s="14" t="s">
        <v>1754</v>
      </c>
    </row>
    <row r="352" spans="1:1">
      <c r="A352" s="14" t="s">
        <v>1758</v>
      </c>
    </row>
    <row r="353" spans="1:1">
      <c r="A353" s="14" t="s">
        <v>1762</v>
      </c>
    </row>
    <row r="354" spans="1:1">
      <c r="A354" s="14" t="s">
        <v>1767</v>
      </c>
    </row>
    <row r="355" spans="1:1">
      <c r="A355" s="14" t="s">
        <v>1772</v>
      </c>
    </row>
    <row r="356" spans="1:1">
      <c r="A356" s="14" t="s">
        <v>1776</v>
      </c>
    </row>
    <row r="357" spans="1:1">
      <c r="A357" s="14" t="s">
        <v>1780</v>
      </c>
    </row>
    <row r="358" spans="1:1">
      <c r="A358" s="14" t="s">
        <v>1784</v>
      </c>
    </row>
    <row r="359" spans="1:1">
      <c r="A359" s="14" t="s">
        <v>1789</v>
      </c>
    </row>
    <row r="360" spans="1:1">
      <c r="A360" s="14" t="s">
        <v>1794</v>
      </c>
    </row>
    <row r="361" spans="1:1">
      <c r="A361" s="14" t="s">
        <v>1799</v>
      </c>
    </row>
    <row r="362" spans="1:1">
      <c r="A362" s="14" t="s">
        <v>1805</v>
      </c>
    </row>
    <row r="363" spans="1:1">
      <c r="A363" s="14" t="s">
        <v>1808</v>
      </c>
    </row>
    <row r="364" spans="1:1">
      <c r="A364" s="14" t="s">
        <v>1814</v>
      </c>
    </row>
    <row r="365" spans="1:1">
      <c r="A365" s="14" t="s">
        <v>1818</v>
      </c>
    </row>
    <row r="366" spans="1:1">
      <c r="A366" s="14" t="s">
        <v>1818</v>
      </c>
    </row>
    <row r="367" spans="1:1">
      <c r="A367" s="14" t="s">
        <v>1828</v>
      </c>
    </row>
    <row r="368" spans="1:1">
      <c r="A368" s="14" t="s">
        <v>1831</v>
      </c>
    </row>
    <row r="369" spans="1:1">
      <c r="A369" s="14" t="s">
        <v>1835</v>
      </c>
    </row>
    <row r="370" spans="1:1">
      <c r="A370" s="14" t="s">
        <v>1840</v>
      </c>
    </row>
    <row r="371" spans="1:1">
      <c r="A371" s="14" t="s">
        <v>1844</v>
      </c>
    </row>
    <row r="372" spans="1:1">
      <c r="A372" s="14" t="s">
        <v>1849</v>
      </c>
    </row>
    <row r="373" spans="1:1">
      <c r="A373" s="14" t="s">
        <v>1853</v>
      </c>
    </row>
    <row r="374" spans="1:1">
      <c r="A374" s="14" t="s">
        <v>1858</v>
      </c>
    </row>
    <row r="375" spans="1:1">
      <c r="A375" s="14" t="s">
        <v>1863</v>
      </c>
    </row>
    <row r="376" spans="1:1">
      <c r="A376" s="14" t="s">
        <v>1867</v>
      </c>
    </row>
    <row r="377" spans="1:1">
      <c r="A377" s="14" t="s">
        <v>1872</v>
      </c>
    </row>
    <row r="378" spans="1:1">
      <c r="A378" s="14" t="s">
        <v>1876</v>
      </c>
    </row>
    <row r="379" spans="1:1">
      <c r="A379" s="14" t="s">
        <v>1880</v>
      </c>
    </row>
    <row r="380" spans="1:1">
      <c r="A380" s="14" t="s">
        <v>1884</v>
      </c>
    </row>
    <row r="381" spans="1:1">
      <c r="A381" s="14" t="s">
        <v>1888</v>
      </c>
    </row>
    <row r="382" spans="1:1">
      <c r="A382" s="14" t="s">
        <v>1892</v>
      </c>
    </row>
    <row r="383" spans="1:1">
      <c r="A383" s="14" t="s">
        <v>1897</v>
      </c>
    </row>
    <row r="384" spans="1:1">
      <c r="A384" s="14" t="s">
        <v>1902</v>
      </c>
    </row>
    <row r="385" spans="1:1">
      <c r="A385" s="14" t="s">
        <v>1906</v>
      </c>
    </row>
    <row r="386" spans="1:1">
      <c r="A386" s="14" t="s">
        <v>1910</v>
      </c>
    </row>
    <row r="387" spans="1:1">
      <c r="A387" s="14" t="s">
        <v>1914</v>
      </c>
    </row>
    <row r="388" spans="1:1">
      <c r="A388" s="14" t="s">
        <v>1918</v>
      </c>
    </row>
    <row r="389" spans="1:1">
      <c r="A389" s="14" t="s">
        <v>1922</v>
      </c>
    </row>
    <row r="390" spans="1:1">
      <c r="A390" s="14" t="s">
        <v>1927</v>
      </c>
    </row>
    <row r="391" spans="1:1">
      <c r="A391" s="14" t="s">
        <v>1932</v>
      </c>
    </row>
    <row r="392" spans="1:1">
      <c r="A392" s="14" t="s">
        <v>1936</v>
      </c>
    </row>
    <row r="393" spans="1:1">
      <c r="A393" s="14" t="s">
        <v>1940</v>
      </c>
    </row>
    <row r="394" spans="1:1">
      <c r="A394" s="14" t="s">
        <v>1944</v>
      </c>
    </row>
    <row r="395" spans="1:1">
      <c r="A395" s="14" t="s">
        <v>1948</v>
      </c>
    </row>
    <row r="396" spans="1:1">
      <c r="A396" s="14" t="s">
        <v>1952</v>
      </c>
    </row>
    <row r="397" spans="1:1">
      <c r="A397" s="14" t="s">
        <v>1956</v>
      </c>
    </row>
    <row r="398" spans="1:1">
      <c r="A398" s="14" t="s">
        <v>1960</v>
      </c>
    </row>
    <row r="399" spans="1:1">
      <c r="A399" s="14" t="s">
        <v>1965</v>
      </c>
    </row>
    <row r="400" spans="1:1">
      <c r="A400" s="14" t="s">
        <v>1969</v>
      </c>
    </row>
    <row r="401" spans="1:1">
      <c r="A401" s="14" t="s">
        <v>1973</v>
      </c>
    </row>
    <row r="402" spans="1:1">
      <c r="A402" s="14" t="s">
        <v>1977</v>
      </c>
    </row>
    <row r="403" spans="1:1">
      <c r="A403" s="14" t="s">
        <v>1982</v>
      </c>
    </row>
    <row r="404" spans="1:1">
      <c r="A404" s="14" t="s">
        <v>1987</v>
      </c>
    </row>
    <row r="405" spans="1:1">
      <c r="A405" s="14" t="s">
        <v>1991</v>
      </c>
    </row>
    <row r="406" spans="1:1">
      <c r="A406" s="14" t="s">
        <v>1995</v>
      </c>
    </row>
    <row r="407" spans="1:1">
      <c r="A407" s="14" t="s">
        <v>1999</v>
      </c>
    </row>
    <row r="408" spans="1:1">
      <c r="A408" s="14" t="s">
        <v>2003</v>
      </c>
    </row>
    <row r="409" spans="1:1">
      <c r="A409" s="14" t="s">
        <v>2007</v>
      </c>
    </row>
    <row r="410" spans="1:1">
      <c r="A410" s="14" t="s">
        <v>2011</v>
      </c>
    </row>
    <row r="411" spans="1:1">
      <c r="A411" s="14" t="s">
        <v>2015</v>
      </c>
    </row>
    <row r="412" spans="1:1">
      <c r="A412" s="14" t="s">
        <v>2019</v>
      </c>
    </row>
    <row r="413" spans="1:1">
      <c r="A413" s="14" t="s">
        <v>2023</v>
      </c>
    </row>
    <row r="414" spans="1:1">
      <c r="A414" s="14" t="s">
        <v>2028</v>
      </c>
    </row>
    <row r="415" spans="1:1">
      <c r="A415" s="14" t="s">
        <v>2033</v>
      </c>
    </row>
    <row r="416" spans="1:1">
      <c r="A416" s="14" t="s">
        <v>2037</v>
      </c>
    </row>
    <row r="417" spans="1:1">
      <c r="A417" s="14" t="s">
        <v>2041</v>
      </c>
    </row>
    <row r="418" spans="1:1">
      <c r="A418" s="14" t="s">
        <v>2045</v>
      </c>
    </row>
    <row r="419" spans="1:1">
      <c r="A419" s="14" t="s">
        <v>2049</v>
      </c>
    </row>
    <row r="420" spans="1:1">
      <c r="A420" s="14" t="s">
        <v>2054</v>
      </c>
    </row>
    <row r="421" spans="1:1">
      <c r="A421" s="14" t="s">
        <v>2058</v>
      </c>
    </row>
    <row r="422" spans="1:1">
      <c r="A422" s="14" t="s">
        <v>2065</v>
      </c>
    </row>
    <row r="423" spans="1:1">
      <c r="A423" s="14" t="s">
        <v>2070</v>
      </c>
    </row>
    <row r="424" spans="1:1">
      <c r="A424" s="14" t="s">
        <v>2074</v>
      </c>
    </row>
    <row r="425" spans="1:1">
      <c r="A425" s="14" t="s">
        <v>2074</v>
      </c>
    </row>
    <row r="426" spans="1:1">
      <c r="A426" s="14" t="s">
        <v>2079</v>
      </c>
    </row>
    <row r="427" spans="1:1">
      <c r="A427" s="14" t="s">
        <v>2083</v>
      </c>
    </row>
    <row r="428" spans="1:1">
      <c r="A428" s="14" t="s">
        <v>2088</v>
      </c>
    </row>
    <row r="429" spans="1:1">
      <c r="A429" s="14" t="s">
        <v>2095</v>
      </c>
    </row>
    <row r="430" spans="1:1">
      <c r="A430" s="14" t="s">
        <v>2099</v>
      </c>
    </row>
    <row r="431" spans="1:1">
      <c r="A431" s="14" t="s">
        <v>2103</v>
      </c>
    </row>
    <row r="432" spans="1:1">
      <c r="A432" s="14" t="s">
        <v>2106</v>
      </c>
    </row>
    <row r="433" spans="1:1">
      <c r="A433" s="14" t="s">
        <v>2110</v>
      </c>
    </row>
    <row r="434" spans="1:1">
      <c r="A434" s="14" t="s">
        <v>2115</v>
      </c>
    </row>
    <row r="435" spans="1:1">
      <c r="A435" s="14" t="s">
        <v>2119</v>
      </c>
    </row>
    <row r="436" spans="1:1">
      <c r="A436" s="14" t="s">
        <v>2123</v>
      </c>
    </row>
    <row r="437" spans="1:1">
      <c r="A437" s="14" t="s">
        <v>2127</v>
      </c>
    </row>
    <row r="438" spans="1:1">
      <c r="A438" s="14" t="s">
        <v>2131</v>
      </c>
    </row>
    <row r="439" spans="1:1">
      <c r="A439" s="14" t="s">
        <v>2136</v>
      </c>
    </row>
    <row r="440" spans="1:1">
      <c r="A440" s="14" t="s">
        <v>2140</v>
      </c>
    </row>
    <row r="441" spans="1:1">
      <c r="A441" s="14" t="s">
        <v>2144</v>
      </c>
    </row>
    <row r="442" spans="1:1">
      <c r="A442" s="14" t="s">
        <v>2148</v>
      </c>
    </row>
    <row r="443" spans="1:1">
      <c r="A443" s="14" t="s">
        <v>2152</v>
      </c>
    </row>
    <row r="444" spans="1:1">
      <c r="A444" s="14" t="s">
        <v>2156</v>
      </c>
    </row>
    <row r="445" spans="1:1">
      <c r="A445" s="14" t="s">
        <v>2161</v>
      </c>
    </row>
    <row r="446" spans="1:1">
      <c r="A446" s="14" t="s">
        <v>2165</v>
      </c>
    </row>
    <row r="447" spans="1:1">
      <c r="A447" s="14" t="s">
        <v>2169</v>
      </c>
    </row>
    <row r="448" spans="1:1">
      <c r="A448" s="14" t="s">
        <v>2173</v>
      </c>
    </row>
    <row r="449" spans="1:1">
      <c r="A449" s="14" t="s">
        <v>2177</v>
      </c>
    </row>
    <row r="450" spans="1:1">
      <c r="A450" s="14" t="s">
        <v>2181</v>
      </c>
    </row>
    <row r="451" spans="1:1">
      <c r="A451" s="14" t="s">
        <v>2185</v>
      </c>
    </row>
    <row r="452" spans="1:1">
      <c r="A452" s="14" t="s">
        <v>2190</v>
      </c>
    </row>
    <row r="453" spans="1:1">
      <c r="A453" s="14" t="s">
        <v>2195</v>
      </c>
    </row>
    <row r="454" spans="1:1">
      <c r="A454" s="14" t="s">
        <v>2199</v>
      </c>
    </row>
    <row r="455" spans="1:1">
      <c r="A455" s="14" t="s">
        <v>2203</v>
      </c>
    </row>
    <row r="456" spans="1:1">
      <c r="A456" s="14" t="s">
        <v>2208</v>
      </c>
    </row>
    <row r="457" spans="1:1">
      <c r="A457" s="14" t="s">
        <v>2212</v>
      </c>
    </row>
    <row r="458" spans="1:1">
      <c r="A458" s="14" t="s">
        <v>2215</v>
      </c>
    </row>
    <row r="459" spans="1:1">
      <c r="A459" s="14" t="s">
        <v>2220</v>
      </c>
    </row>
    <row r="460" spans="1:1">
      <c r="A460" s="14" t="s">
        <v>2225</v>
      </c>
    </row>
    <row r="461" spans="1:1">
      <c r="A461" s="14" t="s">
        <v>2229</v>
      </c>
    </row>
    <row r="462" spans="1:1">
      <c r="A462" s="14" t="s">
        <v>2233</v>
      </c>
    </row>
    <row r="463" spans="1:1">
      <c r="A463" s="14" t="s">
        <v>2240</v>
      </c>
    </row>
    <row r="464" spans="1:1">
      <c r="A464" s="14" t="s">
        <v>2245</v>
      </c>
    </row>
    <row r="465" spans="1:1">
      <c r="A465" s="14" t="s">
        <v>2249</v>
      </c>
    </row>
    <row r="466" spans="1:1">
      <c r="A466" s="14" t="s">
        <v>2253</v>
      </c>
    </row>
    <row r="467" spans="1:1">
      <c r="A467" s="14" t="s">
        <v>2257</v>
      </c>
    </row>
    <row r="468" spans="1:1">
      <c r="A468" s="14" t="s">
        <v>2261</v>
      </c>
    </row>
    <row r="469" spans="1:1">
      <c r="A469" s="14" t="s">
        <v>2264</v>
      </c>
    </row>
    <row r="470" spans="1:1">
      <c r="A470" s="14" t="s">
        <v>2268</v>
      </c>
    </row>
    <row r="471" spans="1:1">
      <c r="A471" s="14" t="s">
        <v>2272</v>
      </c>
    </row>
    <row r="472" spans="1:1">
      <c r="A472" s="14" t="s">
        <v>2276</v>
      </c>
    </row>
    <row r="473" spans="1:1">
      <c r="A473" s="14" t="s">
        <v>2284</v>
      </c>
    </row>
    <row r="474" spans="1:1">
      <c r="A474" s="14" t="s">
        <v>2289</v>
      </c>
    </row>
    <row r="475" spans="1:1">
      <c r="A475" s="14" t="s">
        <v>2294</v>
      </c>
    </row>
    <row r="476" spans="1:1">
      <c r="A476" s="14" t="s">
        <v>2298</v>
      </c>
    </row>
    <row r="477" spans="1:1">
      <c r="A477" s="14" t="s">
        <v>2302</v>
      </c>
    </row>
    <row r="478" spans="1:1">
      <c r="A478" s="14" t="s">
        <v>2306</v>
      </c>
    </row>
    <row r="479" spans="1:1">
      <c r="A479" s="14" t="s">
        <v>2310</v>
      </c>
    </row>
    <row r="480" spans="1:1">
      <c r="A480" s="14" t="s">
        <v>2317</v>
      </c>
    </row>
    <row r="481" spans="1:1">
      <c r="A481" s="14" t="s">
        <v>2322</v>
      </c>
    </row>
    <row r="482" spans="1:1">
      <c r="A482" s="14" t="s">
        <v>2326</v>
      </c>
    </row>
    <row r="483" spans="1:1">
      <c r="A483" s="14" t="s">
        <v>2330</v>
      </c>
    </row>
    <row r="484" spans="1:1">
      <c r="A484" s="14" t="s">
        <v>2336</v>
      </c>
    </row>
    <row r="485" spans="1:1">
      <c r="A485" s="14" t="s">
        <v>2341</v>
      </c>
    </row>
    <row r="486" spans="1:1">
      <c r="A486" s="14" t="s">
        <v>2346</v>
      </c>
    </row>
    <row r="487" spans="1:1">
      <c r="A487" s="14" t="s">
        <v>2350</v>
      </c>
    </row>
    <row r="488" spans="1:1">
      <c r="A488" s="14" t="s">
        <v>2354</v>
      </c>
    </row>
    <row r="489" spans="1:1">
      <c r="A489" s="14" t="s">
        <v>2359</v>
      </c>
    </row>
    <row r="490" spans="1:1">
      <c r="A490" s="14" t="s">
        <v>2364</v>
      </c>
    </row>
    <row r="491" spans="1:1">
      <c r="A491" s="14" t="s">
        <v>2368</v>
      </c>
    </row>
    <row r="492" spans="1:1">
      <c r="A492" s="14" t="s">
        <v>2372</v>
      </c>
    </row>
    <row r="493" spans="1:1">
      <c r="A493" s="14" t="s">
        <v>2377</v>
      </c>
    </row>
    <row r="494" spans="1:1">
      <c r="A494" s="14" t="s">
        <v>2381</v>
      </c>
    </row>
    <row r="495" spans="1:1">
      <c r="A495" s="14" t="s">
        <v>2386</v>
      </c>
    </row>
    <row r="496" spans="1:1">
      <c r="A496" s="14" t="s">
        <v>2390</v>
      </c>
    </row>
    <row r="497" spans="1:1">
      <c r="A497" s="14" t="s">
        <v>2390</v>
      </c>
    </row>
    <row r="498" spans="1:1">
      <c r="A498" s="14" t="s">
        <v>2396</v>
      </c>
    </row>
    <row r="499" spans="1:1">
      <c r="A499" s="14" t="s">
        <v>2401</v>
      </c>
    </row>
    <row r="500" spans="1:1">
      <c r="A500" s="14" t="s">
        <v>2405</v>
      </c>
    </row>
    <row r="501" spans="1:1">
      <c r="A501" s="14" t="s">
        <v>2405</v>
      </c>
    </row>
    <row r="502" spans="1:1">
      <c r="A502" s="14" t="s">
        <v>2411</v>
      </c>
    </row>
    <row r="503" spans="1:1">
      <c r="A503" s="14" t="s">
        <v>2411</v>
      </c>
    </row>
    <row r="504" spans="1:1">
      <c r="A504" s="14" t="s">
        <v>2417</v>
      </c>
    </row>
    <row r="505" spans="1:1">
      <c r="A505" s="14" t="s">
        <v>2421</v>
      </c>
    </row>
    <row r="506" spans="1:1">
      <c r="A506" s="14" t="s">
        <v>2425</v>
      </c>
    </row>
    <row r="507" spans="1:1">
      <c r="A507" s="14" t="s">
        <v>2429</v>
      </c>
    </row>
    <row r="508" spans="1:1">
      <c r="A508" s="14" t="s">
        <v>2429</v>
      </c>
    </row>
    <row r="509" spans="1:1">
      <c r="A509" s="14" t="s">
        <v>2435</v>
      </c>
    </row>
    <row r="510" spans="1:1">
      <c r="A510" s="14" t="s">
        <v>2439</v>
      </c>
    </row>
    <row r="511" spans="1:1">
      <c r="A511" s="14" t="s">
        <v>2444</v>
      </c>
    </row>
    <row r="512" spans="1:1">
      <c r="A512" s="14" t="s">
        <v>2448</v>
      </c>
    </row>
    <row r="513" spans="1:1">
      <c r="A513" s="14" t="s">
        <v>2453</v>
      </c>
    </row>
    <row r="514" spans="1:1">
      <c r="A514" s="14" t="s">
        <v>2457</v>
      </c>
    </row>
    <row r="515" spans="1:1">
      <c r="A515" s="14" t="s">
        <v>2461</v>
      </c>
    </row>
    <row r="516" spans="1:1">
      <c r="A516" s="14" t="s">
        <v>2465</v>
      </c>
    </row>
    <row r="517" spans="1:1">
      <c r="A517" s="14" t="s">
        <v>2469</v>
      </c>
    </row>
    <row r="518" spans="1:1">
      <c r="A518" s="14" t="s">
        <v>2473</v>
      </c>
    </row>
    <row r="519" spans="1:1">
      <c r="A519" s="14" t="s">
        <v>2477</v>
      </c>
    </row>
    <row r="520" spans="1:1">
      <c r="A520" s="14" t="s">
        <v>2481</v>
      </c>
    </row>
    <row r="521" spans="1:1">
      <c r="A521" s="14" t="s">
        <v>2484</v>
      </c>
    </row>
    <row r="522" spans="1:1">
      <c r="A522" s="14" t="s">
        <v>2488</v>
      </c>
    </row>
    <row r="523" spans="1:1">
      <c r="A523" s="14" t="s">
        <v>2492</v>
      </c>
    </row>
    <row r="524" spans="1:1">
      <c r="A524" s="14" t="s">
        <v>2497</v>
      </c>
    </row>
    <row r="525" spans="1:1">
      <c r="A525" s="14" t="s">
        <v>2501</v>
      </c>
    </row>
    <row r="526" spans="1:1">
      <c r="A526" s="14" t="s">
        <v>2506</v>
      </c>
    </row>
    <row r="527" spans="1:1">
      <c r="A527" s="14" t="s">
        <v>2510</v>
      </c>
    </row>
    <row r="528" spans="1:1">
      <c r="A528" s="14" t="s">
        <v>2514</v>
      </c>
    </row>
    <row r="529" spans="1:1">
      <c r="A529" s="14" t="s">
        <v>2519</v>
      </c>
    </row>
    <row r="530" spans="1:1">
      <c r="A530" s="14" t="s">
        <v>2523</v>
      </c>
    </row>
    <row r="531" spans="1:1">
      <c r="A531" s="14" t="s">
        <v>2526</v>
      </c>
    </row>
    <row r="532" spans="1:1">
      <c r="A532" s="14" t="s">
        <v>2531</v>
      </c>
    </row>
    <row r="533" spans="1:1">
      <c r="A533" s="14" t="s">
        <v>2535</v>
      </c>
    </row>
    <row r="534" spans="1:1">
      <c r="A534" s="14" t="s">
        <v>2539</v>
      </c>
    </row>
    <row r="535" spans="1:1">
      <c r="A535" s="14" t="s">
        <v>2543</v>
      </c>
    </row>
    <row r="536" spans="1:1">
      <c r="A536" s="14" t="s">
        <v>2547</v>
      </c>
    </row>
    <row r="537" spans="1:1">
      <c r="A537" s="14" t="s">
        <v>2551</v>
      </c>
    </row>
    <row r="538" spans="1:1">
      <c r="A538" s="14" t="s">
        <v>2555</v>
      </c>
    </row>
    <row r="539" spans="1:1">
      <c r="A539" s="14" t="s">
        <v>2559</v>
      </c>
    </row>
    <row r="540" spans="1:1">
      <c r="A540" s="14" t="s">
        <v>2562</v>
      </c>
    </row>
    <row r="541" spans="1:1">
      <c r="A541" s="14" t="s">
        <v>2566</v>
      </c>
    </row>
    <row r="542" spans="1:1">
      <c r="A542" s="14" t="s">
        <v>2569</v>
      </c>
    </row>
    <row r="543" spans="1:1">
      <c r="A543" s="14" t="s">
        <v>2573</v>
      </c>
    </row>
    <row r="544" spans="1:1">
      <c r="A544" s="14" t="s">
        <v>2578</v>
      </c>
    </row>
    <row r="545" spans="1:1">
      <c r="A545" s="14" t="s">
        <v>2582</v>
      </c>
    </row>
    <row r="546" spans="1:1">
      <c r="A546" s="14" t="s">
        <v>2586</v>
      </c>
    </row>
    <row r="547" spans="1:1">
      <c r="A547" s="14" t="s">
        <v>2590</v>
      </c>
    </row>
    <row r="548" spans="1:1">
      <c r="A548" s="14" t="s">
        <v>2595</v>
      </c>
    </row>
    <row r="549" spans="1:1">
      <c r="A549" s="14" t="s">
        <v>2600</v>
      </c>
    </row>
    <row r="550" spans="1:1">
      <c r="A550" s="14" t="s">
        <v>2604</v>
      </c>
    </row>
    <row r="551" spans="1:1">
      <c r="A551" s="14" t="s">
        <v>2609</v>
      </c>
    </row>
    <row r="552" spans="1:1">
      <c r="A552" s="14" t="s">
        <v>2615</v>
      </c>
    </row>
    <row r="553" spans="1:1">
      <c r="A553" s="14" t="s">
        <v>2619</v>
      </c>
    </row>
    <row r="554" spans="1:1">
      <c r="A554" s="14" t="s">
        <v>2623</v>
      </c>
    </row>
    <row r="555" spans="1:1">
      <c r="A555" s="14" t="s">
        <v>2625</v>
      </c>
    </row>
    <row r="556" spans="1:1">
      <c r="A556" s="14" t="s">
        <v>2630</v>
      </c>
    </row>
    <row r="557" spans="1:1">
      <c r="A557" s="14" t="s">
        <v>2634</v>
      </c>
    </row>
    <row r="558" spans="1:1">
      <c r="A558" s="14" t="s">
        <v>2639</v>
      </c>
    </row>
    <row r="559" spans="1:1">
      <c r="A559" s="14" t="s">
        <v>2644</v>
      </c>
    </row>
    <row r="560" spans="1:1">
      <c r="A560" s="14" t="s">
        <v>2648</v>
      </c>
    </row>
    <row r="561" spans="1:1">
      <c r="A561" s="14" t="s">
        <v>2648</v>
      </c>
    </row>
    <row r="562" spans="1:1">
      <c r="A562" s="14" t="s">
        <v>2655</v>
      </c>
    </row>
    <row r="563" spans="1:1">
      <c r="A563" s="14" t="s">
        <v>2659</v>
      </c>
    </row>
    <row r="564" spans="1:1">
      <c r="A564" s="14" t="s">
        <v>2663</v>
      </c>
    </row>
    <row r="565" spans="1:1">
      <c r="A565" s="14" t="s">
        <v>2667</v>
      </c>
    </row>
    <row r="566" spans="1:1">
      <c r="A566" s="14" t="s">
        <v>2672</v>
      </c>
    </row>
    <row r="567" spans="1:1">
      <c r="A567" s="14" t="s">
        <v>2676</v>
      </c>
    </row>
    <row r="568" spans="1:1">
      <c r="A568" s="14" t="s">
        <v>2681</v>
      </c>
    </row>
    <row r="569" spans="1:1">
      <c r="A569" s="14" t="s">
        <v>2685</v>
      </c>
    </row>
    <row r="570" spans="1:1">
      <c r="A570" s="14" t="s">
        <v>2689</v>
      </c>
    </row>
    <row r="571" spans="1:1">
      <c r="A571" s="14" t="s">
        <v>2691</v>
      </c>
    </row>
    <row r="572" spans="1:1">
      <c r="A572" s="14" t="s">
        <v>2694</v>
      </c>
    </row>
    <row r="573" spans="1:1">
      <c r="A573" s="14" t="s">
        <v>2699</v>
      </c>
    </row>
    <row r="574" spans="1:1">
      <c r="A574" s="14" t="s">
        <v>2704</v>
      </c>
    </row>
    <row r="575" spans="1:1">
      <c r="A575" s="14" t="s">
        <v>2709</v>
      </c>
    </row>
    <row r="576" spans="1:1">
      <c r="A576" s="14" t="s">
        <v>2714</v>
      </c>
    </row>
    <row r="577" spans="1:1">
      <c r="A577" s="14" t="s">
        <v>2718</v>
      </c>
    </row>
    <row r="578" spans="1:1">
      <c r="A578" s="14" t="s">
        <v>2723</v>
      </c>
    </row>
    <row r="579" spans="1:1">
      <c r="A579" s="14" t="s">
        <v>2728</v>
      </c>
    </row>
    <row r="580" spans="1:1">
      <c r="A580" s="14" t="s">
        <v>2733</v>
      </c>
    </row>
    <row r="581" spans="1:1">
      <c r="A581" s="14" t="s">
        <v>2741</v>
      </c>
    </row>
    <row r="582" spans="1:1">
      <c r="A582" s="14" t="s">
        <v>2746</v>
      </c>
    </row>
    <row r="583" spans="1:1">
      <c r="A583" s="14" t="s">
        <v>2751</v>
      </c>
    </row>
    <row r="584" spans="1:1">
      <c r="A584" s="14" t="s">
        <v>2759</v>
      </c>
    </row>
    <row r="585" spans="1:1">
      <c r="A585" s="14" t="s">
        <v>2763</v>
      </c>
    </row>
    <row r="586" spans="1:1">
      <c r="A586" s="14" t="s">
        <v>2767</v>
      </c>
    </row>
    <row r="587" spans="1:1">
      <c r="A587" s="14" t="s">
        <v>2771</v>
      </c>
    </row>
    <row r="588" spans="1:1">
      <c r="A588" s="14" t="s">
        <v>2775</v>
      </c>
    </row>
    <row r="589" spans="1:1">
      <c r="A589" s="14" t="s">
        <v>2780</v>
      </c>
    </row>
    <row r="590" spans="1:1">
      <c r="A590" s="14" t="s">
        <v>2784</v>
      </c>
    </row>
    <row r="591" spans="1:1">
      <c r="A591" s="14" t="s">
        <v>2788</v>
      </c>
    </row>
    <row r="592" spans="1:1">
      <c r="A592" s="14" t="s">
        <v>2793</v>
      </c>
    </row>
    <row r="593" spans="1:1">
      <c r="A593" s="14" t="s">
        <v>2797</v>
      </c>
    </row>
    <row r="594" spans="1:1">
      <c r="A594" s="14" t="s">
        <v>2801</v>
      </c>
    </row>
    <row r="595" spans="1:1">
      <c r="A595" s="14" t="s">
        <v>2805</v>
      </c>
    </row>
    <row r="596" spans="1:1">
      <c r="A596" s="14" t="s">
        <v>2809</v>
      </c>
    </row>
    <row r="597" spans="1:1">
      <c r="A597" s="14" t="s">
        <v>2814</v>
      </c>
    </row>
    <row r="598" spans="1:1">
      <c r="A598" s="14" t="s">
        <v>2820</v>
      </c>
    </row>
    <row r="599" spans="1:1">
      <c r="A599" s="14" t="s">
        <v>2824</v>
      </c>
    </row>
    <row r="600" spans="1:1">
      <c r="A600" s="14" t="s">
        <v>2829</v>
      </c>
    </row>
    <row r="601" spans="1:1">
      <c r="A601" s="14" t="s">
        <v>2834</v>
      </c>
    </row>
    <row r="602" spans="1:1">
      <c r="A602" s="14" t="s">
        <v>2839</v>
      </c>
    </row>
    <row r="603" spans="1:1">
      <c r="A603" s="14" t="s">
        <v>2844</v>
      </c>
    </row>
    <row r="604" spans="1:1">
      <c r="A604" s="14" t="s">
        <v>2848</v>
      </c>
    </row>
    <row r="605" spans="1:1">
      <c r="A605" s="14" t="s">
        <v>2852</v>
      </c>
    </row>
    <row r="606" spans="1:1">
      <c r="A606" s="14" t="s">
        <v>2856</v>
      </c>
    </row>
    <row r="607" spans="1:1">
      <c r="A607" s="14" t="s">
        <v>2860</v>
      </c>
    </row>
    <row r="608" spans="1:1">
      <c r="A608" s="14" t="s">
        <v>2865</v>
      </c>
    </row>
    <row r="609" spans="1:1">
      <c r="A609" s="14" t="s">
        <v>2869</v>
      </c>
    </row>
    <row r="610" spans="1:1">
      <c r="A610" s="14" t="s">
        <v>2874</v>
      </c>
    </row>
    <row r="611" spans="1:1">
      <c r="A611" s="14" t="s">
        <v>2879</v>
      </c>
    </row>
    <row r="612" spans="1:1">
      <c r="A612" s="14" t="s">
        <v>2883</v>
      </c>
    </row>
    <row r="613" spans="1:1">
      <c r="A613" s="14" t="s">
        <v>2887</v>
      </c>
    </row>
    <row r="614" spans="1:1">
      <c r="A614" s="14" t="s">
        <v>2892</v>
      </c>
    </row>
    <row r="615" spans="1:1">
      <c r="A615" s="14" t="s">
        <v>2897</v>
      </c>
    </row>
    <row r="616" spans="1:1">
      <c r="A616" s="14" t="s">
        <v>2901</v>
      </c>
    </row>
    <row r="617" spans="1:1">
      <c r="A617" s="14" t="s">
        <v>2905</v>
      </c>
    </row>
    <row r="618" spans="1:1">
      <c r="A618" s="14" t="s">
        <v>2910</v>
      </c>
    </row>
    <row r="619" spans="1:1">
      <c r="A619" s="14" t="s">
        <v>2914</v>
      </c>
    </row>
    <row r="620" spans="1:1">
      <c r="A620" s="14" t="s">
        <v>2918</v>
      </c>
    </row>
    <row r="621" spans="1:1">
      <c r="A621" s="14" t="s">
        <v>2922</v>
      </c>
    </row>
    <row r="622" spans="1:1">
      <c r="A622" s="14" t="s">
        <v>2926</v>
      </c>
    </row>
    <row r="623" spans="1:1">
      <c r="A623" s="14" t="s">
        <v>2930</v>
      </c>
    </row>
    <row r="624" spans="1:1">
      <c r="A624" s="14" t="s">
        <v>2934</v>
      </c>
    </row>
    <row r="625" spans="1:1">
      <c r="A625" s="14" t="s">
        <v>2941</v>
      </c>
    </row>
    <row r="626" spans="1:1">
      <c r="A626" s="14" t="s">
        <v>2946</v>
      </c>
    </row>
    <row r="627" spans="1:1">
      <c r="A627" s="14" t="s">
        <v>2950</v>
      </c>
    </row>
    <row r="628" spans="1:1">
      <c r="A628" s="14" t="s">
        <v>2954</v>
      </c>
    </row>
    <row r="629" spans="1:1">
      <c r="A629" s="14" t="s">
        <v>2958</v>
      </c>
    </row>
    <row r="630" spans="1:1">
      <c r="A630" s="14" t="s">
        <v>2962</v>
      </c>
    </row>
    <row r="631" spans="1:1">
      <c r="A631" s="14" t="s">
        <v>2965</v>
      </c>
    </row>
    <row r="632" spans="1:1">
      <c r="A632" s="14" t="s">
        <v>2970</v>
      </c>
    </row>
    <row r="633" spans="1:1">
      <c r="A633" s="14" t="s">
        <v>2975</v>
      </c>
    </row>
    <row r="634" spans="1:1">
      <c r="A634" s="14" t="s">
        <v>2975</v>
      </c>
    </row>
    <row r="635" spans="1:1">
      <c r="A635" s="14" t="s">
        <v>2981</v>
      </c>
    </row>
    <row r="636" spans="1:1">
      <c r="A636" s="14" t="s">
        <v>2986</v>
      </c>
    </row>
    <row r="637" spans="1:1">
      <c r="A637" s="14" t="s">
        <v>2986</v>
      </c>
    </row>
    <row r="638" spans="1:1">
      <c r="A638" s="14" t="s">
        <v>2990</v>
      </c>
    </row>
    <row r="639" spans="1:1">
      <c r="A639" s="14" t="s">
        <v>2996</v>
      </c>
    </row>
    <row r="640" spans="1:1">
      <c r="A640" s="14" t="s">
        <v>2999</v>
      </c>
    </row>
    <row r="641" spans="1:1">
      <c r="A641" s="14" t="s">
        <v>3003</v>
      </c>
    </row>
    <row r="642" spans="1:1">
      <c r="A642" s="14" t="s">
        <v>3007</v>
      </c>
    </row>
    <row r="643" spans="1:1">
      <c r="A643" s="14" t="s">
        <v>3011</v>
      </c>
    </row>
    <row r="644" spans="1:1">
      <c r="A644" s="14" t="s">
        <v>3016</v>
      </c>
    </row>
    <row r="645" spans="1:1">
      <c r="A645" s="14" t="s">
        <v>3021</v>
      </c>
    </row>
    <row r="646" spans="1:1">
      <c r="A646" s="14" t="s">
        <v>3024</v>
      </c>
    </row>
    <row r="647" spans="1:1">
      <c r="A647" s="14" t="s">
        <v>3028</v>
      </c>
    </row>
    <row r="648" spans="1:1">
      <c r="A648" s="14" t="s">
        <v>3033</v>
      </c>
    </row>
    <row r="649" spans="1:1">
      <c r="A649" s="14" t="s">
        <v>3037</v>
      </c>
    </row>
    <row r="650" spans="1:1">
      <c r="A650" s="14" t="s">
        <v>3041</v>
      </c>
    </row>
    <row r="651" spans="1:1">
      <c r="A651" s="14" t="s">
        <v>3045</v>
      </c>
    </row>
    <row r="652" spans="1:1">
      <c r="A652" s="14" t="s">
        <v>3050</v>
      </c>
    </row>
    <row r="653" spans="1:1">
      <c r="A653" s="14" t="s">
        <v>3054</v>
      </c>
    </row>
    <row r="654" spans="1:1">
      <c r="A654" s="14" t="s">
        <v>3058</v>
      </c>
    </row>
    <row r="655" spans="1:1">
      <c r="A655" s="14" t="s">
        <v>3063</v>
      </c>
    </row>
    <row r="656" spans="1:1">
      <c r="A656" s="14" t="s">
        <v>3067</v>
      </c>
    </row>
    <row r="657" spans="1:1">
      <c r="A657" s="14" t="s">
        <v>3071</v>
      </c>
    </row>
    <row r="658" spans="1:1">
      <c r="A658" s="14" t="s">
        <v>3075</v>
      </c>
    </row>
    <row r="659" spans="1:1">
      <c r="A659" s="14" t="s">
        <v>3080</v>
      </c>
    </row>
    <row r="660" spans="1:1">
      <c r="A660" s="14" t="s">
        <v>3085</v>
      </c>
    </row>
    <row r="661" spans="1:1">
      <c r="A661" s="14" t="s">
        <v>3089</v>
      </c>
    </row>
    <row r="662" spans="1:1">
      <c r="A662" s="14" t="s">
        <v>3093</v>
      </c>
    </row>
    <row r="663" spans="1:1">
      <c r="A663" s="14" t="s">
        <v>3097</v>
      </c>
    </row>
    <row r="664" spans="1:1">
      <c r="A664" s="14" t="s">
        <v>3103</v>
      </c>
    </row>
    <row r="665" spans="1:1">
      <c r="A665" s="14" t="s">
        <v>3108</v>
      </c>
    </row>
    <row r="666" spans="1:1">
      <c r="A666" s="14" t="s">
        <v>3112</v>
      </c>
    </row>
    <row r="667" spans="1:1">
      <c r="A667" s="14" t="s">
        <v>3116</v>
      </c>
    </row>
    <row r="668" spans="1:1">
      <c r="A668" s="14" t="s">
        <v>3120</v>
      </c>
    </row>
    <row r="669" spans="1:1">
      <c r="A669" s="14" t="s">
        <v>3124</v>
      </c>
    </row>
    <row r="670" spans="1:1">
      <c r="A670" s="14" t="s">
        <v>3128</v>
      </c>
    </row>
    <row r="671" spans="1:1">
      <c r="A671" s="14" t="s">
        <v>3132</v>
      </c>
    </row>
    <row r="672" spans="1:1">
      <c r="A672" s="14" t="s">
        <v>3139</v>
      </c>
    </row>
    <row r="673" spans="1:1">
      <c r="A673" s="14" t="s">
        <v>3142</v>
      </c>
    </row>
    <row r="674" spans="1:1">
      <c r="A674" s="14" t="s">
        <v>3147</v>
      </c>
    </row>
    <row r="675" spans="1:1">
      <c r="A675" s="14" t="s">
        <v>3151</v>
      </c>
    </row>
    <row r="676" spans="1:1">
      <c r="A676" s="14" t="s">
        <v>3155</v>
      </c>
    </row>
    <row r="677" spans="1:1">
      <c r="A677" s="14" t="s">
        <v>3159</v>
      </c>
    </row>
    <row r="678" spans="1:1">
      <c r="A678" s="14" t="s">
        <v>3165</v>
      </c>
    </row>
    <row r="679" spans="1:1">
      <c r="A679" s="14" t="s">
        <v>3169</v>
      </c>
    </row>
    <row r="680" spans="1:1">
      <c r="A680" s="14" t="s">
        <v>3173</v>
      </c>
    </row>
    <row r="681" spans="1:1">
      <c r="A681" s="14" t="s">
        <v>3177</v>
      </c>
    </row>
    <row r="682" spans="1:1">
      <c r="A682" s="14" t="s">
        <v>3183</v>
      </c>
    </row>
    <row r="683" spans="1:1">
      <c r="A683" s="14" t="s">
        <v>3187</v>
      </c>
    </row>
    <row r="684" spans="1:1">
      <c r="A684" s="14" t="s">
        <v>3190</v>
      </c>
    </row>
    <row r="685" spans="1:1">
      <c r="A685" s="14" t="s">
        <v>3194</v>
      </c>
    </row>
    <row r="686" spans="1:1">
      <c r="A686" s="14" t="s">
        <v>3198</v>
      </c>
    </row>
    <row r="687" spans="1:1">
      <c r="A687" s="14" t="s">
        <v>3202</v>
      </c>
    </row>
    <row r="688" spans="1:1">
      <c r="A688" s="14" t="s">
        <v>3207</v>
      </c>
    </row>
    <row r="689" spans="1:1">
      <c r="A689" s="14" t="s">
        <v>3211</v>
      </c>
    </row>
    <row r="690" spans="1:1">
      <c r="A690" s="14" t="s">
        <v>3216</v>
      </c>
    </row>
    <row r="691" spans="1:1">
      <c r="A691" s="14" t="s">
        <v>3220</v>
      </c>
    </row>
    <row r="692" spans="1:1">
      <c r="A692" s="14" t="s">
        <v>3225</v>
      </c>
    </row>
    <row r="693" spans="1:1">
      <c r="A693" s="14" t="s">
        <v>3229</v>
      </c>
    </row>
    <row r="694" spans="1:1">
      <c r="A694" s="14" t="s">
        <v>3233</v>
      </c>
    </row>
    <row r="695" spans="1:1">
      <c r="A695" s="14" t="s">
        <v>3237</v>
      </c>
    </row>
    <row r="696" spans="1:1">
      <c r="A696" s="14" t="s">
        <v>3241</v>
      </c>
    </row>
    <row r="697" spans="1:1">
      <c r="A697" s="14" t="s">
        <v>3245</v>
      </c>
    </row>
    <row r="698" spans="1:1">
      <c r="A698" s="14" t="s">
        <v>3249</v>
      </c>
    </row>
    <row r="699" spans="1:1">
      <c r="A699" s="14" t="s">
        <v>3253</v>
      </c>
    </row>
    <row r="700" spans="1:1">
      <c r="A700" s="14" t="s">
        <v>3257</v>
      </c>
    </row>
    <row r="701" spans="1:1">
      <c r="A701" s="14" t="s">
        <v>3261</v>
      </c>
    </row>
    <row r="702" spans="1:1">
      <c r="A702" s="14" t="s">
        <v>3265</v>
      </c>
    </row>
    <row r="703" spans="1:1">
      <c r="A703" s="14" t="s">
        <v>3270</v>
      </c>
    </row>
    <row r="704" spans="1:1">
      <c r="A704" s="14" t="s">
        <v>3275</v>
      </c>
    </row>
    <row r="705" spans="1:1">
      <c r="A705" s="14" t="s">
        <v>3280</v>
      </c>
    </row>
    <row r="706" spans="1:1">
      <c r="A706" s="14" t="s">
        <v>3285</v>
      </c>
    </row>
    <row r="707" spans="1:1">
      <c r="A707" s="14" t="s">
        <v>3289</v>
      </c>
    </row>
    <row r="708" spans="1:1">
      <c r="A708" s="14" t="s">
        <v>3293</v>
      </c>
    </row>
    <row r="709" spans="1:1">
      <c r="A709" s="14" t="s">
        <v>3296</v>
      </c>
    </row>
    <row r="710" spans="1:1">
      <c r="A710" s="14" t="s">
        <v>3300</v>
      </c>
    </row>
    <row r="711" spans="1:1">
      <c r="A711" s="14" t="s">
        <v>3304</v>
      </c>
    </row>
    <row r="712" spans="1:1">
      <c r="A712" s="14" t="s">
        <v>3309</v>
      </c>
    </row>
    <row r="713" spans="1:1">
      <c r="A713" s="14" t="s">
        <v>3313</v>
      </c>
    </row>
    <row r="714" spans="1:1">
      <c r="A714" s="14" t="s">
        <v>3320</v>
      </c>
    </row>
    <row r="715" spans="1:1">
      <c r="A715" s="14" t="s">
        <v>3324</v>
      </c>
    </row>
    <row r="716" spans="1:1">
      <c r="A716" s="14" t="s">
        <v>3328</v>
      </c>
    </row>
    <row r="717" spans="1:1">
      <c r="A717" s="14" t="s">
        <v>3332</v>
      </c>
    </row>
    <row r="718" spans="1:1">
      <c r="A718" s="14" t="s">
        <v>3336</v>
      </c>
    </row>
    <row r="719" spans="1:1">
      <c r="A719" s="14" t="s">
        <v>3340</v>
      </c>
    </row>
    <row r="720" spans="1:1">
      <c r="A720" s="14" t="s">
        <v>3345</v>
      </c>
    </row>
    <row r="721" spans="1:1">
      <c r="A721" s="14" t="s">
        <v>3349</v>
      </c>
    </row>
    <row r="722" spans="1:1">
      <c r="A722" s="14" t="s">
        <v>3353</v>
      </c>
    </row>
    <row r="723" spans="1:1">
      <c r="A723" s="14" t="s">
        <v>3357</v>
      </c>
    </row>
    <row r="724" spans="1:1">
      <c r="A724" s="14" t="s">
        <v>3362</v>
      </c>
    </row>
    <row r="725" spans="1:1">
      <c r="A725" s="14" t="s">
        <v>3366</v>
      </c>
    </row>
    <row r="726" spans="1:1">
      <c r="A726" s="14" t="s">
        <v>3370</v>
      </c>
    </row>
    <row r="727" spans="1:1">
      <c r="A727" s="14" t="s">
        <v>3374</v>
      </c>
    </row>
    <row r="728" spans="1:1">
      <c r="A728" s="14" t="s">
        <v>3379</v>
      </c>
    </row>
    <row r="729" spans="1:1">
      <c r="A729" s="14" t="s">
        <v>3383</v>
      </c>
    </row>
    <row r="730" spans="1:1">
      <c r="A730" s="14" t="s">
        <v>3387</v>
      </c>
    </row>
    <row r="731" spans="1:1">
      <c r="A731" s="14" t="s">
        <v>3391</v>
      </c>
    </row>
    <row r="732" spans="1:1">
      <c r="A732" s="14" t="s">
        <v>3396</v>
      </c>
    </row>
    <row r="733" spans="1:1">
      <c r="A733" s="14" t="s">
        <v>3399</v>
      </c>
    </row>
    <row r="734" spans="1:1">
      <c r="A734" s="14" t="s">
        <v>3403</v>
      </c>
    </row>
    <row r="735" spans="1:1">
      <c r="A735" s="14" t="s">
        <v>3407</v>
      </c>
    </row>
    <row r="736" spans="1:1">
      <c r="A736" s="14" t="s">
        <v>3411</v>
      </c>
    </row>
    <row r="737" spans="1:1">
      <c r="A737" s="14" t="s">
        <v>3415</v>
      </c>
    </row>
    <row r="738" spans="1:1">
      <c r="A738" s="14" t="s">
        <v>3419</v>
      </c>
    </row>
    <row r="739" spans="1:1">
      <c r="A739" s="14" t="s">
        <v>3424</v>
      </c>
    </row>
    <row r="740" spans="1:1">
      <c r="A740" s="14" t="s">
        <v>3428</v>
      </c>
    </row>
    <row r="741" spans="1:1">
      <c r="A741" s="14" t="s">
        <v>3432</v>
      </c>
    </row>
    <row r="742" spans="1:1">
      <c r="A742" s="14" t="s">
        <v>3436</v>
      </c>
    </row>
    <row r="743" spans="1:1">
      <c r="A743" s="14" t="s">
        <v>3440</v>
      </c>
    </row>
    <row r="744" spans="1:1">
      <c r="A744" s="14" t="s">
        <v>3444</v>
      </c>
    </row>
    <row r="745" spans="1:1">
      <c r="A745" s="14" t="s">
        <v>3448</v>
      </c>
    </row>
    <row r="746" spans="1:1">
      <c r="A746" s="14" t="s">
        <v>3452</v>
      </c>
    </row>
    <row r="747" spans="1:1">
      <c r="A747" s="14" t="s">
        <v>3456</v>
      </c>
    </row>
    <row r="748" spans="1:1">
      <c r="A748" s="14" t="s">
        <v>3460</v>
      </c>
    </row>
    <row r="749" spans="1:1">
      <c r="A749" s="14" t="s">
        <v>3464</v>
      </c>
    </row>
    <row r="750" spans="1:1">
      <c r="A750" s="14" t="s">
        <v>3468</v>
      </c>
    </row>
    <row r="751" spans="1:1">
      <c r="A751" s="14" t="s">
        <v>3472</v>
      </c>
    </row>
    <row r="752" spans="1:1">
      <c r="A752" s="14" t="s">
        <v>3480</v>
      </c>
    </row>
    <row r="753" spans="1:1">
      <c r="A753" s="14" t="s">
        <v>3484</v>
      </c>
    </row>
    <row r="754" spans="1:1">
      <c r="A754" s="14" t="s">
        <v>3488</v>
      </c>
    </row>
    <row r="755" spans="1:1">
      <c r="A755" s="14" t="s">
        <v>3488</v>
      </c>
    </row>
    <row r="756" spans="1:1">
      <c r="A756" s="14" t="s">
        <v>3493</v>
      </c>
    </row>
    <row r="757" spans="1:1">
      <c r="A757" s="14" t="s">
        <v>3497</v>
      </c>
    </row>
    <row r="758" spans="1:1">
      <c r="A758" s="14" t="s">
        <v>3501</v>
      </c>
    </row>
    <row r="759" spans="1:1">
      <c r="A759" s="14" t="s">
        <v>3505</v>
      </c>
    </row>
    <row r="760" spans="1:1">
      <c r="A760" s="14" t="s">
        <v>3509</v>
      </c>
    </row>
    <row r="761" spans="1:1">
      <c r="A761" s="14" t="s">
        <v>3513</v>
      </c>
    </row>
    <row r="762" spans="1:1">
      <c r="A762" s="14" t="s">
        <v>3517</v>
      </c>
    </row>
    <row r="763" spans="1:1">
      <c r="A763" s="14" t="s">
        <v>3521</v>
      </c>
    </row>
    <row r="764" spans="1:1">
      <c r="A764" s="14" t="s">
        <v>3524</v>
      </c>
    </row>
    <row r="765" spans="1:1">
      <c r="A765" s="14" t="s">
        <v>3527</v>
      </c>
    </row>
    <row r="766" spans="1:1">
      <c r="A766" s="14" t="s">
        <v>3531</v>
      </c>
    </row>
    <row r="767" spans="1:1">
      <c r="A767" s="14" t="s">
        <v>3535</v>
      </c>
    </row>
    <row r="768" spans="1:1">
      <c r="A768" s="14" t="s">
        <v>3539</v>
      </c>
    </row>
    <row r="769" spans="1:1">
      <c r="A769" s="14" t="s">
        <v>3543</v>
      </c>
    </row>
    <row r="770" spans="1:1">
      <c r="A770" s="14" t="s">
        <v>3547</v>
      </c>
    </row>
    <row r="771" spans="1:1">
      <c r="A771" s="14" t="s">
        <v>3551</v>
      </c>
    </row>
    <row r="772" spans="1:1">
      <c r="A772" s="14" t="s">
        <v>3556</v>
      </c>
    </row>
    <row r="773" spans="1:1">
      <c r="A773" s="14" t="s">
        <v>3560</v>
      </c>
    </row>
    <row r="774" spans="1:1">
      <c r="A774" s="14" t="s">
        <v>3564</v>
      </c>
    </row>
    <row r="775" spans="1:1">
      <c r="A775" s="14" t="s">
        <v>3568</v>
      </c>
    </row>
    <row r="776" spans="1:1">
      <c r="A776" s="14" t="s">
        <v>3572</v>
      </c>
    </row>
    <row r="777" spans="1:1">
      <c r="A777" s="14" t="s">
        <v>3576</v>
      </c>
    </row>
    <row r="778" spans="1:1">
      <c r="A778" s="14" t="s">
        <v>3580</v>
      </c>
    </row>
    <row r="779" spans="1:1">
      <c r="A779" s="14" t="s">
        <v>3584</v>
      </c>
    </row>
    <row r="780" spans="1:1">
      <c r="A780" s="14" t="s">
        <v>3588</v>
      </c>
    </row>
    <row r="781" spans="1:1">
      <c r="A781" s="14" t="s">
        <v>3591</v>
      </c>
    </row>
    <row r="782" spans="1:1">
      <c r="A782" s="14" t="s">
        <v>3595</v>
      </c>
    </row>
    <row r="783" spans="1:1">
      <c r="A783" s="14" t="s">
        <v>3599</v>
      </c>
    </row>
    <row r="784" spans="1:1">
      <c r="A784" s="14" t="s">
        <v>3603</v>
      </c>
    </row>
    <row r="785" spans="1:1">
      <c r="A785" s="14" t="s">
        <v>3606</v>
      </c>
    </row>
    <row r="786" spans="1:1">
      <c r="A786" s="14" t="s">
        <v>3610</v>
      </c>
    </row>
    <row r="787" spans="1:1">
      <c r="A787" s="14" t="s">
        <v>3614</v>
      </c>
    </row>
    <row r="788" spans="1:1">
      <c r="A788" s="14" t="s">
        <v>3618</v>
      </c>
    </row>
    <row r="789" spans="1:1">
      <c r="A789" s="14" t="s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Hoja1</vt:lpstr>
      <vt:lpstr>Hoja4</vt:lpstr>
      <vt:lpstr>Hoja2</vt:lpstr>
      <vt:lpstr>Hoja3</vt:lpstr>
      <vt:lpstr>Hoja5</vt:lpstr>
      <vt:lpstr>Hoja1!Títulos_a_imprimir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Olmo Garcia</dc:creator>
  <cp:keywords/>
  <dc:description/>
  <cp:lastModifiedBy>Usuario</cp:lastModifiedBy>
  <cp:revision>2</cp:revision>
  <dcterms:created xsi:type="dcterms:W3CDTF">2019-01-18T10:27:06Z</dcterms:created>
  <dcterms:modified xsi:type="dcterms:W3CDTF">2020-02-03T16:56:43Z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